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캐릭터" sheetId="2" state="visible" r:id="rId4"/>
    <sheet name="등장비중" sheetId="3" state="visible" r:id="rId5"/>
    <sheet name="턴_설계" sheetId="4" state="visible" r:id="rId6"/>
    <sheet name="12부_구성" sheetId="5" state="visible" r:id="rId7"/>
    <sheet name="아크_구성계획" sheetId="6" state="visible" r:id="rId8"/>
    <sheet name="화별목차_전체" sheetId="7" state="visible" r:id="rId9"/>
    <sheet name="복선_회수" sheetId="8" state="visible" r:id="rId10"/>
    <sheet name="현안_배치" sheetId="9" state="visible" r:id="rId11"/>
    <sheet name="현안_분포" sheetId="10" state="visible" r:id="rId12"/>
    <sheet name="정치제도" sheetId="11" state="visible" r:id="rId13"/>
    <sheet name="정치경로_의석" sheetId="12" state="visible" r:id="rId14"/>
    <sheet name="호칭규칙" sheetId="13" state="visible" r:id="rId15"/>
    <sheet name="Larissa_폭발과욕" sheetId="14" state="visible" r:id="rId16"/>
    <sheet name="DomPedro_죽음" sheetId="15" state="visible" r:id="rId17"/>
    <sheet name="Freire_출처" sheetId="16" state="visible" r:id="rId18"/>
    <sheet name="대화문규칙" sheetId="17" state="visible" r:id="rId19"/>
    <sheet name="변경이력_미결" sheetId="18" state="visible" r:id="rId20"/>
  </sheets>
  <definedNames>
    <definedName function="false" hidden="true" localSheetId="6" name="_xlnm._FilterDatabase" vbProcedure="false">화별목차_전체!$A$4:$J$160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<sst xmlns="http://schemas.openxmlformats.org/spreadsheetml/2006/main" count="3976" uniqueCount="2974">
  <si>
    <r>
      <rPr>
        <b val="true"/>
        <sz val="14"/>
        <color rgb="FF1F3864"/>
        <rFont val="Arial"/>
        <family val="0"/>
        <charset val="1"/>
      </rPr>
      <t xml:space="preserve">São Paulo </t>
    </r>
    <r>
      <rPr>
        <b val="true"/>
        <sz val="14"/>
        <color rgb="FF1F3864"/>
        <rFont val="WenQuanYi Zen Hei"/>
        <family val="2"/>
      </rPr>
      <t xml:space="preserve">포르투갈어 낭독 교재 — 캐릭터 바이블 </t>
    </r>
    <r>
      <rPr>
        <b val="true"/>
        <sz val="14"/>
        <color rgb="FF1F3864"/>
        <rFont val="Arial"/>
        <family val="0"/>
        <charset val="1"/>
      </rPr>
      <t xml:space="preserve">(</t>
    </r>
    <r>
      <rPr>
        <b val="true"/>
        <sz val="14"/>
        <color rgb="FF1F3864"/>
        <rFont val="WenQuanYi Zen Hei"/>
        <family val="2"/>
      </rPr>
      <t xml:space="preserve">부활자 특별편</t>
    </r>
    <r>
      <rPr>
        <b val="true"/>
        <sz val="14"/>
        <color rgb="FF1F3864"/>
        <rFont val="Arial"/>
        <family val="0"/>
        <charset val="1"/>
      </rPr>
      <t xml:space="preserve">)</t>
    </r>
  </si>
  <si>
    <r>
      <rPr>
        <i val="true"/>
        <sz val="9"/>
        <color rgb="FF595959"/>
        <rFont val="Arial"/>
        <family val="0"/>
        <charset val="1"/>
      </rPr>
      <t xml:space="preserve">v2.0 · </t>
    </r>
    <r>
      <rPr>
        <i val="true"/>
        <sz val="9"/>
        <color rgb="FF595959"/>
        <rFont val="WenQuanYi Zen Hei"/>
        <family val="2"/>
      </rPr>
      <t xml:space="preserve">상파울루 배경 </t>
    </r>
    <r>
      <rPr>
        <i val="true"/>
        <sz val="9"/>
        <color rgb="FF595959"/>
        <rFont val="Arial"/>
        <family val="0"/>
        <charset val="1"/>
      </rPr>
      <t xml:space="preserve">13</t>
    </r>
    <r>
      <rPr>
        <i val="true"/>
        <sz val="9"/>
        <color rgb="FF595959"/>
        <rFont val="WenQuanYi Zen Hei"/>
        <family val="2"/>
      </rPr>
      <t xml:space="preserve">부작 옴니버스</t>
    </r>
    <r>
      <rPr>
        <i val="true"/>
        <sz val="9"/>
        <color rgb="FF595959"/>
        <rFont val="Arial"/>
        <family val="0"/>
        <charset val="1"/>
      </rPr>
      <t xml:space="preserve">(156</t>
    </r>
    <r>
      <rPr>
        <i val="true"/>
        <sz val="9"/>
        <color rgb="FF595959"/>
        <rFont val="WenQuanYi Zen Hei"/>
        <family val="2"/>
      </rPr>
      <t xml:space="preserve">화</t>
    </r>
    <r>
      <rPr>
        <i val="true"/>
        <sz val="9"/>
        <color rgb="FF595959"/>
        <rFont val="Arial"/>
        <family val="0"/>
        <charset val="1"/>
      </rPr>
      <t xml:space="preserve">) · 10</t>
    </r>
    <r>
      <rPr>
        <i val="true"/>
        <sz val="9"/>
        <color rgb="FF595959"/>
        <rFont val="WenQuanYi Zen Hei"/>
        <family val="2"/>
      </rPr>
      <t xml:space="preserve">부 대선 이후 브라질리아</t>
    </r>
    <r>
      <rPr>
        <i val="true"/>
        <sz val="9"/>
        <color rgb="FF595959"/>
        <rFont val="Arial"/>
        <family val="0"/>
        <charset val="1"/>
      </rPr>
      <t xml:space="preserve">·</t>
    </r>
    <r>
      <rPr>
        <i val="true"/>
        <sz val="9"/>
        <color rgb="FF595959"/>
        <rFont val="WenQuanYi Zen Hei"/>
        <family val="2"/>
      </rPr>
      <t xml:space="preserve">상파울루 </t>
    </r>
    <r>
      <rPr>
        <i val="true"/>
        <sz val="9"/>
        <color rgb="FF595959"/>
        <rFont val="Arial"/>
        <family val="0"/>
        <charset val="1"/>
      </rPr>
      <t xml:space="preserve">· </t>
    </r>
    <r>
      <rPr>
        <i val="true"/>
        <sz val="9"/>
        <color rgb="FF595959"/>
        <rFont val="WenQuanYi Zen Hei"/>
        <family val="2"/>
      </rPr>
      <t xml:space="preserve">부활 </t>
    </r>
    <r>
      <rPr>
        <i val="true"/>
        <sz val="9"/>
        <color rgb="FF595959"/>
        <rFont val="Arial"/>
        <family val="0"/>
        <charset val="1"/>
      </rPr>
      <t xml:space="preserve">6</t>
    </r>
    <r>
      <rPr>
        <i val="true"/>
        <sz val="9"/>
        <color rgb="FF595959"/>
        <rFont val="WenQuanYi Zen Hei"/>
        <family val="2"/>
      </rPr>
      <t xml:space="preserve">인 </t>
    </r>
    <r>
      <rPr>
        <i val="true"/>
        <sz val="9"/>
        <color rgb="FF595959"/>
        <rFont val="Arial"/>
        <family val="0"/>
        <charset val="1"/>
      </rPr>
      <t xml:space="preserve">= Dom Pedro·Machado·Zumbi·Dumont·Freire·Isabel</t>
    </r>
  </si>
  <si>
    <t xml:space="preserve">기본 설정</t>
  </si>
  <si>
    <t xml:space="preserve">부 수</t>
  </si>
  <si>
    <r>
      <rPr>
        <sz val="10"/>
        <rFont val="Arial"/>
        <family val="0"/>
        <charset val="1"/>
      </rPr>
      <t xml:space="preserve">1 </t>
    </r>
    <r>
      <rPr>
        <sz val="10"/>
        <rFont val="WenQuanYi Zen Hei"/>
        <family val="2"/>
      </rPr>
      <t xml:space="preserve">사무소</t>
    </r>
    <r>
      <rPr>
        <sz val="10"/>
        <rFont val="Arial"/>
        <family val="0"/>
        <charset val="1"/>
      </rPr>
      <t xml:space="preserve">(Bixiga, </t>
    </r>
    <r>
      <rPr>
        <sz val="10"/>
        <rFont val="WenQuanYi Zen Hei"/>
        <family val="2"/>
      </rPr>
      <t xml:space="preserve">개소 </t>
    </r>
    <r>
      <rPr>
        <sz val="10"/>
        <rFont val="Arial"/>
        <family val="0"/>
        <charset val="1"/>
      </rPr>
      <t xml:space="preserve">1</t>
    </r>
    <r>
      <rPr>
        <sz val="10"/>
        <rFont val="WenQuanYi Zen Hei"/>
        <family val="2"/>
      </rPr>
      <t xml:space="preserve">개월 후</t>
    </r>
    <r>
      <rPr>
        <sz val="10"/>
        <rFont val="Arial"/>
        <family val="0"/>
        <charset val="1"/>
      </rPr>
      <t xml:space="preserve">, 6</t>
    </r>
    <r>
      <rPr>
        <sz val="10"/>
        <rFont val="WenQuanYi Zen Hei"/>
        <family val="2"/>
      </rPr>
      <t xml:space="preserve">사건</t>
    </r>
    <r>
      <rPr>
        <sz val="10"/>
        <rFont val="Arial"/>
        <family val="0"/>
        <charset val="1"/>
      </rPr>
      <t xml:space="preserve">×2</t>
    </r>
    <r>
      <rPr>
        <sz val="10"/>
        <rFont val="WenQuanYi Zen Hei"/>
        <family val="2"/>
      </rPr>
      <t xml:space="preserve">화</t>
    </r>
    <r>
      <rPr>
        <sz val="10"/>
        <rFont val="Arial"/>
        <family val="0"/>
        <charset val="1"/>
      </rPr>
      <t xml:space="preserve">) → 2~5 </t>
    </r>
    <r>
      <rPr>
        <sz val="10"/>
        <rFont val="WenQuanYi Zen Hei"/>
        <family val="2"/>
      </rPr>
      <t xml:space="preserve">각자의 과거 → </t>
    </r>
    <r>
      <rPr>
        <sz val="10"/>
        <rFont val="Arial"/>
        <family val="0"/>
        <charset val="1"/>
      </rPr>
      <t xml:space="preserve">6 </t>
    </r>
    <r>
      <rPr>
        <sz val="10"/>
        <rFont val="WenQuanYi Zen Hei"/>
        <family val="2"/>
      </rPr>
      <t xml:space="preserve">만남 → </t>
    </r>
    <r>
      <rPr>
        <sz val="10"/>
        <rFont val="Arial"/>
        <family val="0"/>
        <charset val="1"/>
      </rPr>
      <t xml:space="preserve">7 </t>
    </r>
    <r>
      <rPr>
        <sz val="10"/>
        <rFont val="WenQuanYi Zen Hei"/>
        <family val="2"/>
      </rPr>
      <t xml:space="preserve">전면전 → </t>
    </r>
    <r>
      <rPr>
        <sz val="10"/>
        <rFont val="Arial"/>
        <family val="0"/>
        <charset val="1"/>
      </rPr>
      <t xml:space="preserve">8 </t>
    </r>
    <r>
      <rPr>
        <sz val="10"/>
        <rFont val="WenQuanYi Zen Hei"/>
        <family val="2"/>
      </rPr>
      <t xml:space="preserve">창당</t>
    </r>
    <r>
      <rPr>
        <sz val="10"/>
        <rFont val="Arial"/>
        <family val="0"/>
        <charset val="1"/>
      </rPr>
      <t xml:space="preserve">·</t>
    </r>
    <r>
      <rPr>
        <sz val="10"/>
        <rFont val="WenQuanYi Zen Hei"/>
        <family val="2"/>
      </rPr>
      <t xml:space="preserve">시장</t>
    </r>
    <r>
      <rPr>
        <sz val="10"/>
        <rFont val="Arial"/>
        <family val="0"/>
        <charset val="1"/>
      </rPr>
      <t xml:space="preserve">/</t>
    </r>
    <r>
      <rPr>
        <sz val="10"/>
        <rFont val="WenQuanYi Zen Hei"/>
        <family val="2"/>
      </rPr>
      <t xml:space="preserve">시의원 선거 → </t>
    </r>
    <r>
      <rPr>
        <sz val="10"/>
        <rFont val="Arial"/>
        <family val="0"/>
        <charset val="1"/>
      </rPr>
      <t xml:space="preserve">9 </t>
    </r>
    <r>
      <rPr>
        <sz val="10"/>
        <rFont val="WenQuanYi Zen Hei"/>
        <family val="2"/>
      </rPr>
      <t xml:space="preserve">시의회 → </t>
    </r>
    <r>
      <rPr>
        <sz val="10"/>
        <rFont val="Arial"/>
        <family val="0"/>
        <charset val="1"/>
      </rPr>
      <t xml:space="preserve">10 </t>
    </r>
    <r>
      <rPr>
        <sz val="10"/>
        <rFont val="WenQuanYi Zen Hei"/>
        <family val="2"/>
      </rPr>
      <t xml:space="preserve">대선</t>
    </r>
    <r>
      <rPr>
        <sz val="10"/>
        <rFont val="Arial"/>
        <family val="0"/>
        <charset val="1"/>
      </rPr>
      <t xml:space="preserve">(1</t>
    </r>
    <r>
      <rPr>
        <sz val="10"/>
        <rFont val="WenQuanYi Zen Hei"/>
        <family val="2"/>
      </rPr>
      <t xml:space="preserve">차</t>
    </r>
    <r>
      <rPr>
        <sz val="10"/>
        <rFont val="Arial"/>
        <family val="0"/>
        <charset val="1"/>
      </rPr>
      <t xml:space="preserve">·</t>
    </r>
    <r>
      <rPr>
        <sz val="10"/>
        <rFont val="WenQuanYi Zen Hei"/>
        <family val="2"/>
      </rPr>
      <t xml:space="preserve">결선</t>
    </r>
    <r>
      <rPr>
        <sz val="10"/>
        <rFont val="Arial"/>
        <family val="0"/>
        <charset val="1"/>
      </rPr>
      <t xml:space="preserve">)·</t>
    </r>
    <r>
      <rPr>
        <sz val="10"/>
        <rFont val="WenQuanYi Zen Hei"/>
        <family val="2"/>
      </rPr>
      <t xml:space="preserve">대통령 취임 → </t>
    </r>
    <r>
      <rPr>
        <sz val="10"/>
        <rFont val="Arial"/>
        <family val="0"/>
        <charset val="1"/>
      </rPr>
      <t xml:space="preserve">11 </t>
    </r>
    <r>
      <rPr>
        <sz val="10"/>
        <rFont val="WenQuanYi Zen Hei"/>
        <family val="2"/>
      </rPr>
      <t xml:space="preserve">국정 </t>
    </r>
    <r>
      <rPr>
        <sz val="10"/>
        <rFont val="Arial"/>
        <family val="0"/>
        <charset val="1"/>
      </rPr>
      <t xml:space="preserve">I(Mercosul–EU </t>
    </r>
    <r>
      <rPr>
        <sz val="10"/>
        <rFont val="WenQuanYi Zen Hei"/>
        <family val="2"/>
      </rPr>
      <t xml:space="preserve">협상</t>
    </r>
    <r>
      <rPr>
        <sz val="10"/>
        <rFont val="Arial"/>
        <family val="0"/>
        <charset val="1"/>
      </rPr>
      <t xml:space="preserve">·Dom Pedro </t>
    </r>
    <r>
      <rPr>
        <sz val="10"/>
        <rFont val="WenQuanYi Zen Hei"/>
        <family val="2"/>
      </rPr>
      <t xml:space="preserve">사망</t>
    </r>
    <r>
      <rPr>
        <sz val="10"/>
        <rFont val="Arial"/>
        <family val="0"/>
        <charset val="1"/>
      </rPr>
      <t xml:space="preserve">) → 12 </t>
    </r>
    <r>
      <rPr>
        <sz val="10"/>
        <rFont val="WenQuanYi Zen Hei"/>
        <family val="2"/>
      </rPr>
      <t xml:space="preserve">국정 </t>
    </r>
    <r>
      <rPr>
        <sz val="10"/>
        <rFont val="Arial"/>
        <family val="0"/>
        <charset val="1"/>
      </rPr>
      <t xml:space="preserve">II(</t>
    </r>
    <r>
      <rPr>
        <sz val="10"/>
        <rFont val="WenQuanYi Zen Hei"/>
        <family val="2"/>
      </rPr>
      <t xml:space="preserve">장례</t>
    </r>
    <r>
      <rPr>
        <sz val="10"/>
        <rFont val="Arial"/>
        <family val="0"/>
        <charset val="1"/>
      </rPr>
      <t xml:space="preserve">·</t>
    </r>
    <r>
      <rPr>
        <sz val="10"/>
        <rFont val="WenQuanYi Zen Hei"/>
        <family val="2"/>
      </rPr>
      <t xml:space="preserve">유고 메모 승계</t>
    </r>
    <r>
      <rPr>
        <sz val="10"/>
        <rFont val="Arial"/>
        <family val="0"/>
        <charset val="1"/>
      </rPr>
      <t xml:space="preserve">·</t>
    </r>
    <r>
      <rPr>
        <sz val="10"/>
        <rFont val="WenQuanYi Zen Hei"/>
        <family val="2"/>
      </rPr>
      <t xml:space="preserve">탄핵 방어</t>
    </r>
    <r>
      <rPr>
        <sz val="10"/>
        <rFont val="Arial"/>
        <family val="0"/>
        <charset val="1"/>
      </rPr>
      <t xml:space="preserve">·</t>
    </r>
    <r>
      <rPr>
        <sz val="10"/>
        <rFont val="WenQuanYi Zen Hei"/>
        <family val="2"/>
      </rPr>
      <t xml:space="preserve">대홍수</t>
    </r>
    <r>
      <rPr>
        <sz val="10"/>
        <rFont val="Arial"/>
        <family val="0"/>
        <charset val="1"/>
      </rPr>
      <t xml:space="preserve">) → 13 </t>
    </r>
    <r>
      <rPr>
        <sz val="10"/>
        <rFont val="WenQuanYi Zen Hei"/>
        <family val="2"/>
      </rPr>
      <t xml:space="preserve">귀환</t>
    </r>
    <r>
      <rPr>
        <sz val="10"/>
        <rFont val="Arial"/>
        <family val="0"/>
        <charset val="1"/>
      </rPr>
      <t xml:space="preserve">(</t>
    </r>
    <r>
      <rPr>
        <sz val="10"/>
        <rFont val="WenQuanYi Zen Hei"/>
        <family val="2"/>
      </rPr>
      <t xml:space="preserve">원형 구조</t>
    </r>
    <r>
      <rPr>
        <sz val="10"/>
        <rFont val="Arial"/>
        <family val="0"/>
        <charset val="1"/>
      </rPr>
      <t xml:space="preserve">)</t>
    </r>
  </si>
  <si>
    <t xml:space="preserve">부당 화 수</t>
  </si>
  <si>
    <t xml:space="preserve">각 부 12화</t>
  </si>
  <si>
    <t xml:space="preserve">총 화 수</t>
  </si>
  <si>
    <t xml:space="preserve">부 수 × 부당 화 수 (자동 계산)</t>
  </si>
  <si>
    <t xml:space="preserve">등장인물 수</t>
  </si>
  <si>
    <t xml:space="preserve">캐릭터 시트의 약칭 개수</t>
  </si>
  <si>
    <t xml:space="preserve">남성 인물 수</t>
  </si>
  <si>
    <t xml:space="preserve">음색이 다양할수록 화자 구분이 쉬워 남 9 : 여 5로 배분 (부활 6인 중 여성은 Isabel 1명)</t>
  </si>
  <si>
    <t xml:space="preserve">여성 인물 수</t>
  </si>
  <si>
    <r>
      <rPr>
        <b val="true"/>
        <sz val="10"/>
        <rFont val="Arial"/>
        <family val="0"/>
        <charset val="1"/>
      </rPr>
      <t xml:space="preserve">1</t>
    </r>
    <r>
      <rPr>
        <b val="true"/>
        <sz val="10"/>
        <rFont val="WenQuanYi Zen Hei"/>
        <family val="2"/>
      </rPr>
      <t xml:space="preserve">부→</t>
    </r>
    <r>
      <rPr>
        <b val="true"/>
        <sz val="10"/>
        <rFont val="Arial"/>
        <family val="0"/>
        <charset val="1"/>
      </rPr>
      <t xml:space="preserve">11</t>
    </r>
    <r>
      <rPr>
        <b val="true"/>
        <sz val="10"/>
        <rFont val="WenQuanYi Zen Hei"/>
        <family val="2"/>
      </rPr>
      <t xml:space="preserve">부 경과 연수 </t>
    </r>
    <r>
      <rPr>
        <b val="true"/>
        <sz val="10"/>
        <rFont val="Arial"/>
        <family val="0"/>
        <charset val="1"/>
      </rPr>
      <t xml:space="preserve">(</t>
    </r>
    <r>
      <rPr>
        <b val="true"/>
        <sz val="10"/>
        <rFont val="WenQuanYi Zen Hei"/>
        <family val="2"/>
      </rPr>
      <t xml:space="preserve">가정</t>
    </r>
    <r>
      <rPr>
        <b val="true"/>
        <sz val="10"/>
        <rFont val="Arial"/>
        <family val="0"/>
        <charset val="1"/>
      </rPr>
      <t xml:space="preserve">)</t>
    </r>
  </si>
  <si>
    <t xml:space="preserve">가정값: Dom Pedro가 1부 65세 → 11부 약 71세가 되도록 잡음. 확정 시 이 셀만 수정하면 캐릭터 시트의 나이가 자동 갱신. (캐릭터 시트 '나이(11부)' 열)</t>
  </si>
  <si>
    <t xml:space="preserve">배경·언어</t>
  </si>
  <si>
    <t xml:space="preserve">상파울루 (Bixiga) → 10부 대선 이후 브라질리아·상파울루</t>
  </si>
  <si>
    <t xml:space="preserve">표준 브라질 포르투갈어(상파울루 억양): 친한 사이 você, 공식 석상은 o senhor/a senhora, 의회에서는 Vossa Excelência. 구어의 'a gente', 'tá', 'meu'는 인물별로 조절.</t>
  </si>
  <si>
    <t xml:space="preserve">형식</t>
  </si>
  <si>
    <t xml:space="preserve">전 화 100% 대화문, 화당 120턴</t>
  </si>
  <si>
    <t xml:space="preserve">그룹별 인원</t>
  </si>
  <si>
    <t xml:space="preserve">주력 4인</t>
  </si>
  <si>
    <r>
      <rPr>
        <sz val="10"/>
        <rFont val="Arial"/>
        <family val="0"/>
        <charset val="1"/>
      </rPr>
      <t xml:space="preserve">Rafael(</t>
    </r>
    <r>
      <rPr>
        <sz val="10"/>
        <rFont val="WenQuanYi Zen Hei"/>
        <family val="2"/>
      </rPr>
      <t xml:space="preserve">변호사</t>
    </r>
    <r>
      <rPr>
        <sz val="10"/>
        <rFont val="Arial"/>
        <family val="0"/>
        <charset val="1"/>
      </rPr>
      <t xml:space="preserve">)·Camila(</t>
    </r>
    <r>
      <rPr>
        <sz val="10"/>
        <rFont val="WenQuanYi Zen Hei"/>
        <family val="2"/>
      </rPr>
      <t xml:space="preserve">의사</t>
    </r>
    <r>
      <rPr>
        <sz val="10"/>
        <rFont val="Arial"/>
        <family val="0"/>
        <charset val="1"/>
      </rPr>
      <t xml:space="preserve">)·Bruno(</t>
    </r>
    <r>
      <rPr>
        <sz val="10"/>
        <rFont val="WenQuanYi Zen Hei"/>
        <family val="2"/>
      </rPr>
      <t xml:space="preserve">회계사</t>
    </r>
    <r>
      <rPr>
        <sz val="10"/>
        <rFont val="Arial"/>
        <family val="0"/>
        <charset val="1"/>
      </rPr>
      <t xml:space="preserve">)·Juliana(</t>
    </r>
    <r>
      <rPr>
        <sz val="10"/>
        <rFont val="WenQuanYi Zen Hei"/>
        <family val="2"/>
      </rPr>
      <t xml:space="preserve">컨설턴트</t>
    </r>
    <r>
      <rPr>
        <sz val="10"/>
        <rFont val="Arial"/>
        <family val="0"/>
        <charset val="1"/>
      </rPr>
      <t xml:space="preserve">)</t>
    </r>
  </si>
  <si>
    <t xml:space="preserve">부활 6인</t>
  </si>
  <si>
    <r>
      <rPr>
        <sz val="10"/>
        <rFont val="Arial"/>
        <family val="0"/>
        <charset val="1"/>
      </rPr>
      <t xml:space="preserve">Dom Pedro(</t>
    </r>
    <r>
      <rPr>
        <sz val="10"/>
        <rFont val="WenQuanYi Zen Hei"/>
        <family val="2"/>
      </rPr>
      <t xml:space="preserve">전 황제</t>
    </r>
    <r>
      <rPr>
        <sz val="10"/>
        <rFont val="Arial"/>
        <family val="0"/>
        <charset val="1"/>
      </rPr>
      <t xml:space="preserve">)·Machado(</t>
    </r>
    <r>
      <rPr>
        <sz val="10"/>
        <rFont val="WenQuanYi Zen Hei"/>
        <family val="2"/>
      </rPr>
      <t xml:space="preserve">소설가</t>
    </r>
    <r>
      <rPr>
        <sz val="10"/>
        <rFont val="Arial"/>
        <family val="0"/>
        <charset val="1"/>
      </rPr>
      <t xml:space="preserve">)·Zumbi(</t>
    </r>
    <r>
      <rPr>
        <sz val="10"/>
        <rFont val="WenQuanYi Zen Hei"/>
        <family val="2"/>
      </rPr>
      <t xml:space="preserve">저항 지도자</t>
    </r>
    <r>
      <rPr>
        <sz val="10"/>
        <rFont val="Arial"/>
        <family val="0"/>
        <charset val="1"/>
      </rPr>
      <t xml:space="preserve">)·Dumont(</t>
    </r>
    <r>
      <rPr>
        <sz val="10"/>
        <rFont val="WenQuanYi Zen Hei"/>
        <family val="2"/>
      </rPr>
      <t xml:space="preserve">항공 개척자</t>
    </r>
    <r>
      <rPr>
        <sz val="10"/>
        <rFont val="Arial"/>
        <family val="0"/>
        <charset val="1"/>
      </rPr>
      <t xml:space="preserve">)·Freire(</t>
    </r>
    <r>
      <rPr>
        <sz val="10"/>
        <rFont val="WenQuanYi Zen Hei"/>
        <family val="2"/>
      </rPr>
      <t xml:space="preserve">교육학자</t>
    </r>
    <r>
      <rPr>
        <sz val="10"/>
        <rFont val="Arial"/>
        <family val="0"/>
        <charset val="1"/>
      </rPr>
      <t xml:space="preserve">)·Isabel(</t>
    </r>
    <r>
      <rPr>
        <sz val="10"/>
        <rFont val="WenQuanYi Zen Hei"/>
        <family val="2"/>
      </rPr>
      <t xml:space="preserve">황녀</t>
    </r>
    <r>
      <rPr>
        <sz val="10"/>
        <rFont val="Arial"/>
        <family val="0"/>
        <charset val="1"/>
      </rPr>
      <t xml:space="preserve">) ※ </t>
    </r>
    <r>
      <rPr>
        <sz val="10"/>
        <rFont val="WenQuanYi Zen Hei"/>
        <family val="2"/>
      </rPr>
      <t xml:space="preserve">각자의 시대에 죽었다가 이유 없이 현재 상파울루에 되살아나 사무소에 합류</t>
    </r>
  </si>
  <si>
    <t xml:space="preserve">서민·청년</t>
  </si>
  <si>
    <r>
      <rPr>
        <sz val="10"/>
        <rFont val="Arial"/>
        <family val="0"/>
        <charset val="1"/>
      </rPr>
      <t xml:space="preserve">Marta(</t>
    </r>
    <r>
      <rPr>
        <sz val="10"/>
        <rFont val="WenQuanYi Zen Hei"/>
        <family val="2"/>
      </rPr>
      <t xml:space="preserve">바 사장</t>
    </r>
    <r>
      <rPr>
        <sz val="10"/>
        <rFont val="Arial"/>
        <family val="0"/>
        <charset val="1"/>
      </rPr>
      <t xml:space="preserve">)·Edson(</t>
    </r>
    <r>
      <rPr>
        <sz val="10"/>
        <rFont val="WenQuanYi Zen Hei"/>
        <family val="2"/>
      </rPr>
      <t xml:space="preserve">노조위원장</t>
    </r>
    <r>
      <rPr>
        <sz val="10"/>
        <rFont val="Arial"/>
        <family val="0"/>
        <charset val="1"/>
      </rPr>
      <t xml:space="preserve">)·Larissa(</t>
    </r>
    <r>
      <rPr>
        <sz val="10"/>
        <rFont val="WenQuanYi Zen Hei"/>
        <family val="2"/>
      </rPr>
      <t xml:space="preserve">인턴</t>
    </r>
    <r>
      <rPr>
        <sz val="10"/>
        <rFont val="Arial"/>
        <family val="0"/>
        <charset val="1"/>
      </rPr>
      <t xml:space="preserve">)</t>
    </r>
  </si>
  <si>
    <t xml:space="preserve">금융</t>
  </si>
  <si>
    <r>
      <rPr>
        <sz val="10"/>
        <rFont val="Arial"/>
        <family val="0"/>
        <charset val="1"/>
      </rPr>
      <t xml:space="preserve">Sérgio(</t>
    </r>
    <r>
      <rPr>
        <sz val="10"/>
        <rFont val="WenQuanYi Zen Hei"/>
        <family val="2"/>
      </rPr>
      <t xml:space="preserve">전 은행 지점장</t>
    </r>
    <r>
      <rPr>
        <sz val="10"/>
        <rFont val="Arial"/>
        <family val="0"/>
        <charset val="1"/>
      </rPr>
      <t xml:space="preserve">)</t>
    </r>
  </si>
  <si>
    <t xml:space="preserve">시트 안내 (클릭하면 이동)</t>
  </si>
  <si>
    <t xml:space="preserve">캐릭터</t>
  </si>
  <si>
    <t xml:space="preserve">기준표</t>
  </si>
  <si>
    <r>
      <rPr>
        <sz val="10"/>
        <rFont val="Arial"/>
        <family val="0"/>
        <charset val="1"/>
      </rPr>
      <t xml:space="preserve">14</t>
    </r>
    <r>
      <rPr>
        <sz val="10"/>
        <rFont val="WenQuanYi Zen Hei"/>
        <family val="2"/>
      </rPr>
      <t xml:space="preserve">인의 이름</t>
    </r>
    <r>
      <rPr>
        <sz val="10"/>
        <rFont val="Arial"/>
        <family val="0"/>
        <charset val="1"/>
      </rPr>
      <t xml:space="preserve">·</t>
    </r>
    <r>
      <rPr>
        <sz val="10"/>
        <rFont val="WenQuanYi Zen Hei"/>
        <family val="2"/>
      </rPr>
      <t xml:space="preserve">나이</t>
    </r>
    <r>
      <rPr>
        <sz val="10"/>
        <rFont val="Arial"/>
        <family val="0"/>
        <charset val="1"/>
      </rPr>
      <t xml:space="preserve">·</t>
    </r>
    <r>
      <rPr>
        <sz val="10"/>
        <rFont val="WenQuanYi Zen Hei"/>
        <family val="2"/>
      </rPr>
      <t xml:space="preserve">결핍</t>
    </r>
    <r>
      <rPr>
        <sz val="10"/>
        <rFont val="Arial"/>
        <family val="0"/>
        <charset val="1"/>
      </rPr>
      <t xml:space="preserve">·</t>
    </r>
    <r>
      <rPr>
        <sz val="10"/>
        <rFont val="WenQuanYi Zen Hei"/>
        <family val="2"/>
      </rPr>
      <t xml:space="preserve">말투</t>
    </r>
    <r>
      <rPr>
        <sz val="10"/>
        <rFont val="Arial"/>
        <family val="0"/>
        <charset val="1"/>
      </rPr>
      <t xml:space="preserve">·</t>
    </r>
    <r>
      <rPr>
        <sz val="10"/>
        <rFont val="WenQuanYi Zen Hei"/>
        <family val="2"/>
      </rPr>
      <t xml:space="preserve">시그니처</t>
    </r>
    <r>
      <rPr>
        <sz val="10"/>
        <rFont val="Arial"/>
        <family val="0"/>
        <charset val="1"/>
      </rPr>
      <t xml:space="preserve">·</t>
    </r>
    <r>
      <rPr>
        <sz val="10"/>
        <rFont val="WenQuanYi Zen Hei"/>
        <family val="2"/>
      </rPr>
      <t xml:space="preserve">낭독 포인트</t>
    </r>
    <r>
      <rPr>
        <sz val="10"/>
        <rFont val="Arial"/>
        <family val="0"/>
        <charset val="1"/>
      </rPr>
      <t xml:space="preserve">·</t>
    </r>
    <r>
      <rPr>
        <sz val="10"/>
        <rFont val="WenQuanYi Zen Hei"/>
        <family val="2"/>
      </rPr>
      <t xml:space="preserve">대화문 장치</t>
    </r>
    <r>
      <rPr>
        <sz val="10"/>
        <rFont val="Arial"/>
        <family val="0"/>
        <charset val="1"/>
      </rPr>
      <t xml:space="preserve">·</t>
    </r>
    <r>
      <rPr>
        <sz val="10"/>
        <rFont val="WenQuanYi Zen Hei"/>
        <family val="2"/>
      </rPr>
      <t xml:space="preserve">직책</t>
    </r>
    <r>
      <rPr>
        <sz val="10"/>
        <rFont val="Arial"/>
        <family val="0"/>
        <charset val="1"/>
      </rPr>
      <t xml:space="preserve">·</t>
    </r>
    <r>
      <rPr>
        <sz val="10"/>
        <rFont val="WenQuanYi Zen Hei"/>
        <family val="2"/>
      </rPr>
      <t xml:space="preserve">현안 담당</t>
    </r>
  </si>
  <si>
    <t xml:space="preserve">등장비중</t>
  </si>
  <si>
    <r>
      <rPr>
        <sz val="10"/>
        <rFont val="Arial"/>
        <family val="0"/>
        <charset val="1"/>
      </rPr>
      <t xml:space="preserve">13</t>
    </r>
    <r>
      <rPr>
        <sz val="10"/>
        <rFont val="WenQuanYi Zen Hei"/>
        <family val="2"/>
      </rPr>
      <t xml:space="preserve">부 배분표</t>
    </r>
    <r>
      <rPr>
        <sz val="10"/>
        <rFont val="Arial"/>
        <family val="0"/>
        <charset val="1"/>
      </rPr>
      <t xml:space="preserve">, </t>
    </r>
    <r>
      <rPr>
        <sz val="10"/>
        <rFont val="WenQuanYi Zen Hei"/>
        <family val="2"/>
      </rPr>
      <t xml:space="preserve">합계</t>
    </r>
    <r>
      <rPr>
        <sz val="10"/>
        <rFont val="Arial"/>
        <family val="0"/>
        <charset val="1"/>
      </rPr>
      <t xml:space="preserve">·</t>
    </r>
    <r>
      <rPr>
        <sz val="10"/>
        <rFont val="WenQuanYi Zen Hei"/>
        <family val="2"/>
      </rPr>
      <t xml:space="preserve">비중</t>
    </r>
    <r>
      <rPr>
        <sz val="10"/>
        <rFont val="Arial"/>
        <family val="0"/>
        <charset val="1"/>
      </rPr>
      <t xml:space="preserve">·</t>
    </r>
    <r>
      <rPr>
        <sz val="10"/>
        <rFont val="WenQuanYi Zen Hei"/>
        <family val="2"/>
      </rPr>
      <t xml:space="preserve">등급</t>
    </r>
    <r>
      <rPr>
        <sz val="10"/>
        <rFont val="Arial"/>
        <family val="0"/>
        <charset val="1"/>
      </rPr>
      <t xml:space="preserve">(</t>
    </r>
    <r>
      <rPr>
        <sz val="10"/>
        <rFont val="WenQuanYi Zen Hei"/>
        <family val="2"/>
      </rPr>
      <t xml:space="preserve">수식</t>
    </r>
    <r>
      <rPr>
        <sz val="10"/>
        <rFont val="Arial"/>
        <family val="0"/>
        <charset val="1"/>
      </rPr>
      <t xml:space="preserve">), </t>
    </r>
    <r>
      <rPr>
        <sz val="10"/>
        <rFont val="WenQuanYi Zen Hei"/>
        <family val="2"/>
      </rPr>
      <t xml:space="preserve">조연 단독 중심 화 목표</t>
    </r>
  </si>
  <si>
    <t xml:space="preserve">턴_설계</t>
  </si>
  <si>
    <t xml:space="preserve">화당 120턴 설계: 부별 화자 점유율(턴 기준), 평균 단어/턴, 화당 단어·낭독 시간(수식), 화 유형별 턴 구성, 집필 규칙</t>
  </si>
  <si>
    <t xml:space="preserve">12부_구성</t>
  </si>
  <si>
    <t xml:space="preserve">구조</t>
  </si>
  <si>
    <r>
      <rPr>
        <sz val="10"/>
        <rFont val="Arial"/>
        <family val="0"/>
        <charset val="1"/>
      </rPr>
      <t xml:space="preserve">13</t>
    </r>
    <r>
      <rPr>
        <sz val="10"/>
        <rFont val="WenQuanYi Zen Hei"/>
        <family val="2"/>
      </rPr>
      <t xml:space="preserve">부 한눈에 보기</t>
    </r>
    <r>
      <rPr>
        <sz val="10"/>
        <rFont val="Arial"/>
        <family val="0"/>
        <charset val="1"/>
      </rPr>
      <t xml:space="preserve">: </t>
    </r>
    <r>
      <rPr>
        <sz val="10"/>
        <rFont val="WenQuanYi Zen Hei"/>
        <family val="2"/>
      </rPr>
      <t xml:space="preserve">배경</t>
    </r>
    <r>
      <rPr>
        <sz val="10"/>
        <rFont val="Arial"/>
        <family val="0"/>
        <charset val="1"/>
      </rPr>
      <t xml:space="preserve">·</t>
    </r>
    <r>
      <rPr>
        <sz val="10"/>
        <rFont val="WenQuanYi Zen Hei"/>
        <family val="2"/>
      </rPr>
      <t xml:space="preserve">핵심 내용</t>
    </r>
    <r>
      <rPr>
        <sz val="10"/>
        <rFont val="Arial"/>
        <family val="0"/>
        <charset val="1"/>
      </rPr>
      <t xml:space="preserve">·</t>
    </r>
    <r>
      <rPr>
        <sz val="10"/>
        <rFont val="WenQuanYi Zen Hei"/>
        <family val="2"/>
      </rPr>
      <t xml:space="preserve">난이도</t>
    </r>
    <r>
      <rPr>
        <sz val="10"/>
        <rFont val="Arial"/>
        <family val="0"/>
        <charset val="1"/>
      </rPr>
      <t xml:space="preserve">(CEFR)·</t>
    </r>
    <r>
      <rPr>
        <sz val="10"/>
        <rFont val="WenQuanYi Zen Hei"/>
        <family val="2"/>
      </rPr>
      <t xml:space="preserve">반영 제도</t>
    </r>
  </si>
  <si>
    <t xml:space="preserve">아크_구성계획</t>
  </si>
  <si>
    <t xml:space="preserve">구성 계획</t>
  </si>
  <si>
    <r>
      <rPr>
        <sz val="10"/>
        <rFont val="Arial"/>
        <family val="0"/>
        <charset val="1"/>
      </rPr>
      <t xml:space="preserve">1~13</t>
    </r>
    <r>
      <rPr>
        <sz val="10"/>
        <rFont val="WenQuanYi Zen Hei"/>
        <family val="2"/>
      </rPr>
      <t xml:space="preserve">부 아크별 구성 계획</t>
    </r>
    <r>
      <rPr>
        <sz val="10"/>
        <rFont val="Arial"/>
        <family val="0"/>
        <charset val="1"/>
      </rPr>
      <t xml:space="preserve">: </t>
    </r>
    <r>
      <rPr>
        <sz val="10"/>
        <rFont val="WenQuanYi Zen Hei"/>
        <family val="2"/>
      </rPr>
      <t xml:space="preserve">서사 기능</t>
    </r>
    <r>
      <rPr>
        <sz val="10"/>
        <rFont val="Arial"/>
        <family val="0"/>
        <charset val="1"/>
      </rPr>
      <t xml:space="preserve">·</t>
    </r>
    <r>
      <rPr>
        <sz val="10"/>
        <rFont val="WenQuanYi Zen Hei"/>
        <family val="2"/>
      </rPr>
      <t xml:space="preserve">로그라인</t>
    </r>
    <r>
      <rPr>
        <sz val="10"/>
        <rFont val="Arial"/>
        <family val="0"/>
        <charset val="1"/>
      </rPr>
      <t xml:space="preserve">·</t>
    </r>
    <r>
      <rPr>
        <sz val="10"/>
        <rFont val="WenQuanYi Zen Hei"/>
        <family val="2"/>
      </rPr>
      <t xml:space="preserve">비트</t>
    </r>
    <r>
      <rPr>
        <sz val="10"/>
        <rFont val="Arial"/>
        <family val="0"/>
        <charset val="1"/>
      </rPr>
      <t xml:space="preserve">·</t>
    </r>
    <r>
      <rPr>
        <sz val="10"/>
        <rFont val="WenQuanYi Zen Hei"/>
        <family val="2"/>
      </rPr>
      <t xml:space="preserve">인물 아크</t>
    </r>
    <r>
      <rPr>
        <sz val="10"/>
        <rFont val="Arial"/>
        <family val="0"/>
        <charset val="1"/>
      </rPr>
      <t xml:space="preserve">·</t>
    </r>
    <r>
      <rPr>
        <sz val="10"/>
        <rFont val="WenQuanYi Zen Hei"/>
        <family val="2"/>
      </rPr>
      <t xml:space="preserve">복선</t>
    </r>
    <r>
      <rPr>
        <sz val="10"/>
        <rFont val="Arial"/>
        <family val="0"/>
        <charset val="1"/>
      </rPr>
      <t xml:space="preserve">·</t>
    </r>
    <r>
      <rPr>
        <sz val="10"/>
        <rFont val="WenQuanYi Zen Hei"/>
        <family val="2"/>
      </rPr>
      <t xml:space="preserve">현안</t>
    </r>
    <r>
      <rPr>
        <sz val="10"/>
        <rFont val="Arial"/>
        <family val="0"/>
        <charset val="1"/>
      </rPr>
      <t xml:space="preserve">·</t>
    </r>
    <r>
      <rPr>
        <sz val="10"/>
        <rFont val="WenQuanYi Zen Hei"/>
        <family val="2"/>
      </rPr>
      <t xml:space="preserve">언어 설계</t>
    </r>
  </si>
  <si>
    <t xml:space="preserve">화별목차_전체</t>
  </si>
  <si>
    <t xml:space="preserve">목차</t>
  </si>
  <si>
    <r>
      <rPr>
        <sz val="10"/>
        <rFont val="Arial"/>
        <family val="0"/>
        <charset val="1"/>
      </rPr>
      <t xml:space="preserve">1~13</t>
    </r>
    <r>
      <rPr>
        <sz val="10"/>
        <rFont val="WenQuanYi Zen Hei"/>
        <family val="2"/>
      </rPr>
      <t xml:space="preserve">부 </t>
    </r>
    <r>
      <rPr>
        <sz val="10"/>
        <rFont val="Arial"/>
        <family val="0"/>
        <charset val="1"/>
      </rPr>
      <t xml:space="preserve">156</t>
    </r>
    <r>
      <rPr>
        <sz val="10"/>
        <rFont val="WenQuanYi Zen Hei"/>
        <family val="2"/>
      </rPr>
      <t xml:space="preserve">화의 서사 기능</t>
    </r>
    <r>
      <rPr>
        <sz val="10"/>
        <rFont val="Arial"/>
        <family val="0"/>
        <charset val="1"/>
      </rPr>
      <t xml:space="preserve">·</t>
    </r>
    <r>
      <rPr>
        <sz val="10"/>
        <rFont val="WenQuanYi Zen Hei"/>
        <family val="2"/>
      </rPr>
      <t xml:space="preserve">제목</t>
    </r>
    <r>
      <rPr>
        <sz val="10"/>
        <rFont val="Arial"/>
        <family val="0"/>
        <charset val="1"/>
      </rPr>
      <t xml:space="preserve">(PT-BR)·</t>
    </r>
    <r>
      <rPr>
        <sz val="10"/>
        <rFont val="WenQuanYi Zen Hei"/>
        <family val="2"/>
      </rPr>
      <t xml:space="preserve">핵심 사건</t>
    </r>
    <r>
      <rPr>
        <sz val="10"/>
        <rFont val="Arial"/>
        <family val="0"/>
        <charset val="1"/>
      </rPr>
      <t xml:space="preserve">·</t>
    </r>
    <r>
      <rPr>
        <sz val="10"/>
        <rFont val="WenQuanYi Zen Hei"/>
        <family val="2"/>
      </rPr>
      <t xml:space="preserve">반영 제도</t>
    </r>
    <r>
      <rPr>
        <sz val="10"/>
        <rFont val="Arial"/>
        <family val="0"/>
        <charset val="1"/>
      </rPr>
      <t xml:space="preserve">·</t>
    </r>
    <r>
      <rPr>
        <sz val="10"/>
        <rFont val="WenQuanYi Zen Hei"/>
        <family val="2"/>
      </rPr>
      <t xml:space="preserve">인물</t>
    </r>
    <r>
      <rPr>
        <sz val="10"/>
        <rFont val="Arial"/>
        <family val="0"/>
        <charset val="1"/>
      </rPr>
      <t xml:space="preserve">·</t>
    </r>
    <r>
      <rPr>
        <sz val="10"/>
        <rFont val="WenQuanYi Zen Hei"/>
        <family val="2"/>
      </rPr>
      <t xml:space="preserve">현안 </t>
    </r>
    <r>
      <rPr>
        <sz val="10"/>
        <rFont val="Arial"/>
        <family val="0"/>
        <charset val="1"/>
      </rPr>
      <t xml:space="preserve">(</t>
    </r>
    <r>
      <rPr>
        <sz val="10"/>
        <rFont val="WenQuanYi Zen Hei"/>
        <family val="2"/>
      </rPr>
      <t xml:space="preserve">필터 가능</t>
    </r>
    <r>
      <rPr>
        <sz val="10"/>
        <rFont val="Arial"/>
        <family val="0"/>
        <charset val="1"/>
      </rPr>
      <t xml:space="preserve">)</t>
    </r>
  </si>
  <si>
    <t xml:space="preserve">복선_회수</t>
  </si>
  <si>
    <t xml:space="preserve">복선 설치→회수 28건과 간격(부)을 수식으로 계산</t>
  </si>
  <si>
    <t xml:space="preserve">현안_배치</t>
  </si>
  <si>
    <t xml:space="preserve">현안</t>
  </si>
  <si>
    <t xml:space="preserve">브라질 현안 18개를 어느 화에 어떻게 녹일지 배치, 균형 유의, 현실 기준값</t>
  </si>
  <si>
    <t xml:space="preserve">현안_분포</t>
  </si>
  <si>
    <t xml:space="preserve">부 × 현안 분포표: 전용 화(●)와 곁가지(○)를 수식으로 집계</t>
  </si>
  <si>
    <t xml:space="preserve">정치제도</t>
  </si>
  <si>
    <t xml:space="preserve">현실 제도</t>
  </si>
  <si>
    <t xml:space="preserve">정당·선거·의회·대통령·연방·사법·통상 제도 기준표 (확인 상태 표시)</t>
  </si>
  <si>
    <t xml:space="preserve">정치경로_의석</t>
  </si>
  <si>
    <t xml:space="preserve">창당→대통령 경로와 가상 득표·의석 시뮬레이션(수식): 대선 1차·결선, 탄핵 개시 표결</t>
  </si>
  <si>
    <t xml:space="preserve">호칭규칙</t>
  </si>
  <si>
    <t xml:space="preserve">규칙</t>
  </si>
  <si>
    <r>
      <rPr>
        <sz val="10"/>
        <rFont val="Arial"/>
        <family val="0"/>
        <charset val="1"/>
      </rPr>
      <t xml:space="preserve">você / o senhor·a senhora / vocês / os senhores, </t>
    </r>
    <r>
      <rPr>
        <sz val="10"/>
        <rFont val="WenQuanYi Zen Hei"/>
        <family val="2"/>
      </rPr>
      <t xml:space="preserve">의회</t>
    </r>
    <r>
      <rPr>
        <sz val="10"/>
        <rFont val="Arial"/>
        <family val="0"/>
        <charset val="1"/>
      </rPr>
      <t xml:space="preserve">·</t>
    </r>
    <r>
      <rPr>
        <sz val="10"/>
        <rFont val="WenQuanYi Zen Hei"/>
        <family val="2"/>
      </rPr>
      <t xml:space="preserve">대통령</t>
    </r>
    <r>
      <rPr>
        <sz val="10"/>
        <rFont val="Arial"/>
        <family val="0"/>
        <charset val="1"/>
      </rPr>
      <t xml:space="preserve">·</t>
    </r>
    <r>
      <rPr>
        <sz val="10"/>
        <rFont val="WenQuanYi Zen Hei"/>
        <family val="2"/>
      </rPr>
      <t xml:space="preserve">시의회 공식 호칭</t>
    </r>
  </si>
  <si>
    <t xml:space="preserve">Larissa_폭발과욕</t>
  </si>
  <si>
    <r>
      <rPr>
        <sz val="10"/>
        <rFont val="Noto Sans CJK SC"/>
        <family val="2"/>
        <charset val="1"/>
      </rPr>
      <t xml:space="preserve">Larissa </t>
    </r>
    <r>
      <rPr>
        <sz val="10"/>
        <rFont val="WenQuanYi Zen Hei"/>
        <family val="2"/>
      </rPr>
      <t xml:space="preserve">폭발 </t>
    </r>
    <r>
      <rPr>
        <sz val="10"/>
        <rFont val="Noto Sans CJK SC"/>
        <family val="2"/>
        <charset val="1"/>
      </rPr>
      <t xml:space="preserve">2</t>
    </r>
    <r>
      <rPr>
        <sz val="10"/>
        <rFont val="WenQuanYi Zen Hei"/>
        <family val="2"/>
      </rPr>
      <t xml:space="preserve">회 배치</t>
    </r>
    <r>
      <rPr>
        <sz val="10"/>
        <rFont val="Noto Sans CJK SC"/>
        <family val="2"/>
        <charset val="1"/>
      </rPr>
      <t xml:space="preserve">, 3</t>
    </r>
    <r>
      <rPr>
        <sz val="10"/>
        <rFont val="WenQuanYi Zen Hei"/>
        <family val="2"/>
      </rPr>
      <t xml:space="preserve">단계 계단</t>
    </r>
    <r>
      <rPr>
        <sz val="10"/>
        <rFont val="Noto Sans CJK SC"/>
        <family val="2"/>
        <charset val="1"/>
      </rPr>
      <t xml:space="preserve">, </t>
    </r>
    <r>
      <rPr>
        <sz val="10"/>
        <rFont val="WenQuanYi Zen Hei"/>
        <family val="2"/>
      </rPr>
      <t xml:space="preserve">폭발 직후 반응</t>
    </r>
    <r>
      <rPr>
        <sz val="10"/>
        <rFont val="Noto Sans CJK SC"/>
        <family val="2"/>
        <charset val="1"/>
      </rPr>
      <t xml:space="preserve">(</t>
    </r>
    <r>
      <rPr>
        <sz val="10"/>
        <rFont val="WenQuanYi Zen Hei"/>
        <family val="2"/>
      </rPr>
      <t xml:space="preserve">대사판</t>
    </r>
    <r>
      <rPr>
        <sz val="10"/>
        <rFont val="Noto Sans CJK SC"/>
        <family val="2"/>
        <charset val="1"/>
      </rPr>
      <t xml:space="preserve">), </t>
    </r>
    <r>
      <rPr>
        <sz val="10"/>
        <rFont val="WenQuanYi Zen Hei"/>
        <family val="2"/>
      </rPr>
      <t xml:space="preserve">욕 배정</t>
    </r>
  </si>
  <si>
    <t xml:space="preserve">DomPedro_죽음</t>
  </si>
  <si>
    <t xml:space="preserve">스토리</t>
  </si>
  <si>
    <t xml:space="preserve">위엄 있는 심술 황제 + 시한부 설정, 복선 타임라인 (11부 12화 사망, 13부 유언장)</t>
  </si>
  <si>
    <t xml:space="preserve">Freire_출처</t>
  </si>
  <si>
    <t xml:space="preserve">답 대신 '출처 안내' — 서가 4칸, 주제별 출처표, 카드 구술 템플릿</t>
  </si>
  <si>
    <t xml:space="preserve">대화문규칙</t>
  </si>
  <si>
    <t xml:space="preserve">전 화 100% 대화문 원칙, 지문 → 대사 대체표, 현안을 다루는 법, 문장 길이·분량 기준</t>
  </si>
  <si>
    <t xml:space="preserve">변경이력_미결</t>
  </si>
  <si>
    <t xml:space="preserve">관리</t>
  </si>
  <si>
    <t xml:space="preserve">지금까지의 변경 이력과 확정이 필요한 미결 사항</t>
  </si>
  <si>
    <t xml:space="preserve">범례</t>
  </si>
  <si>
    <t xml:space="preserve">파란 글씨</t>
  </si>
  <si>
    <t xml:space="preserve">직접 입력한 값 (수정 가능)</t>
  </si>
  <si>
    <t xml:space="preserve">노란 배경</t>
  </si>
  <si>
    <t xml:space="preserve">가정 · 확정이 필요한 값</t>
  </si>
  <si>
    <t xml:space="preserve">검정 글씨</t>
  </si>
  <si>
    <t xml:space="preserve">수식으로 계산되는 값 (직접 수정하지 말 것)</t>
  </si>
  <si>
    <t xml:space="preserve">주의: 성별·나이·기관명은 기획용 가상 설정입니다. 법령 번호·조항은 교재에 넣기 전에 Planalto 법령 사이트(planalto.gov.br/legislacao)의 현행 통합본(texto compilado)으로 확인하세요.</t>
  </si>
  <si>
    <t xml:space="preserve">캐릭터 바이블 — 14인 (São Paulo 포르투갈어 낭독 교재 — 캐릭터 바이블 (부활자 특별편))</t>
  </si>
  <si>
    <t xml:space="preserve">No</t>
  </si>
  <si>
    <t xml:space="preserve">그룹</t>
  </si>
  <si>
    <t xml:space="preserve">이름</t>
  </si>
  <si>
    <t xml:space="preserve">약칭</t>
  </si>
  <si>
    <t xml:space="preserve">나이
(1부)</t>
  </si>
  <si>
    <t xml:space="preserve">나이
(11부)</t>
  </si>
  <si>
    <t xml:space="preserve">성별</t>
  </si>
  <si>
    <t xml:space="preserve">직업·신분</t>
  </si>
  <si>
    <t xml:space="preserve">전 소속 (가상)</t>
  </si>
  <si>
    <t xml:space="preserve">결핍 (Herida)</t>
  </si>
  <si>
    <t xml:space="preserve">말투</t>
  </si>
  <si>
    <t xml:space="preserve">시그니처 표현</t>
  </si>
  <si>
    <t xml:space="preserve">낭독 포인트</t>
  </si>
  <si>
    <t xml:space="preserve">대화문 장치 (지문 대체)</t>
  </si>
  <si>
    <t xml:space="preserve">정치 직책 (8~12부, 제안)</t>
  </si>
  <si>
    <r>
      <rPr>
        <b val="true"/>
        <sz val="10"/>
        <color rgb="FFFFFFFF"/>
        <rFont val="Arial"/>
        <family val="0"/>
        <charset val="1"/>
      </rPr>
      <t xml:space="preserve">1</t>
    </r>
    <r>
      <rPr>
        <b val="true"/>
        <sz val="10"/>
        <color rgb="FFFFFFFF"/>
        <rFont val="WenQuanYi Zen Hei"/>
        <family val="2"/>
      </rPr>
      <t xml:space="preserve">부 등장 방식</t>
    </r>
  </si>
  <si>
    <t xml:space="preserve">등장
화 수</t>
  </si>
  <si>
    <t xml:space="preserve">등급</t>
  </si>
  <si>
    <t xml:space="preserve">현안 담당
(ID)</t>
  </si>
  <si>
    <t xml:space="preserve">Rafael Costa</t>
  </si>
  <si>
    <t xml:space="preserve">Rafael</t>
  </si>
  <si>
    <t xml:space="preserve">남</t>
  </si>
  <si>
    <t xml:space="preserve">변호사 (기업·규제 전문)</t>
  </si>
  <si>
    <r>
      <rPr>
        <sz val="10"/>
        <rFont val="Arial"/>
        <family val="0"/>
        <charset val="1"/>
      </rPr>
      <t xml:space="preserve">Aguiar &amp; Salgado Advogados, Faria Lima (</t>
    </r>
    <r>
      <rPr>
        <sz val="10"/>
        <rFont val="WenQuanYi Zen Hei"/>
        <family val="2"/>
      </rPr>
      <t xml:space="preserve">전 파트너 후보</t>
    </r>
    <r>
      <rPr>
        <sz val="10"/>
        <rFont val="Arial"/>
        <family val="0"/>
        <charset val="1"/>
      </rPr>
      <t xml:space="preserve">)</t>
    </r>
  </si>
  <si>
    <t xml:space="preserve">승소율은 높지만, 강제퇴거 소송에서 이긴 사건 하나가 계속 마음에 걸린다.</t>
  </si>
  <si>
    <t xml:space="preserve">문장이 완결되고 격식체. 초반엔 차갑게 법조문을 인용, 후반엔 연설가로 성장.</t>
  </si>
  <si>
    <r>
      <rPr>
        <sz val="10"/>
        <rFont val="Arial"/>
        <family val="0"/>
        <charset val="1"/>
      </rPr>
      <t xml:space="preserve">Vamos por partes.\nCom todo respeito, a lei não diz isso.\n(</t>
    </r>
    <r>
      <rPr>
        <sz val="10"/>
        <rFont val="WenQuanYi Zen Hei"/>
        <family val="2"/>
      </rPr>
      <t xml:space="preserve">후반</t>
    </r>
    <r>
      <rPr>
        <sz val="10"/>
        <rFont val="Arial"/>
        <family val="0"/>
        <charset val="1"/>
      </rPr>
      <t xml:space="preserve">) Não peço que acreditem em mim. Peço que leiam o texto.</t>
    </r>
  </si>
  <si>
    <t xml:space="preserve">또박또박, 중저음.</t>
  </si>
  <si>
    <t xml:space="preserve">법조문을 소리 내어 읽어 상황을 설명한다.</t>
  </si>
  <si>
    <t xml:space="preserve">당 대표·상파울루 시장 후보(8부, 3위) → 대통령 후보(10부) → 대통령</t>
  </si>
  <si>
    <t xml:space="preserve">본격</t>
  </si>
  <si>
    <t xml:space="preserve">E1, P1, N4</t>
  </si>
  <si>
    <t xml:space="preserve">Camila Alves</t>
  </si>
  <si>
    <t xml:space="preserve">Camila</t>
  </si>
  <si>
    <t xml:space="preserve">여</t>
  </si>
  <si>
    <t xml:space="preserve">응급의학과 전문의</t>
  </si>
  <si>
    <r>
      <rPr>
        <sz val="10"/>
        <rFont val="Arial"/>
        <family val="0"/>
        <charset val="1"/>
      </rPr>
      <t xml:space="preserve">Hospital Municipal São Bartolomeu (</t>
    </r>
    <r>
      <rPr>
        <sz val="10"/>
        <rFont val="WenQuanYi Zen Hei"/>
        <family val="2"/>
      </rPr>
      <t xml:space="preserve">가상</t>
    </r>
    <r>
      <rPr>
        <sz val="10"/>
        <rFont val="Arial"/>
        <family val="0"/>
        <charset val="1"/>
      </rPr>
      <t xml:space="preserve">, OSS </t>
    </r>
    <r>
      <rPr>
        <sz val="10"/>
        <rFont val="WenQuanYi Zen Hei"/>
        <family val="2"/>
      </rPr>
      <t xml:space="preserve">위탁 운영</t>
    </r>
    <r>
      <rPr>
        <sz val="10"/>
        <rFont val="Arial"/>
        <family val="0"/>
        <charset val="1"/>
      </rPr>
      <t xml:space="preserve">)</t>
    </r>
  </si>
  <si>
    <t xml:space="preserve">살리지 못한 환자의 이름을 전부 외우고 있다.</t>
  </si>
  <si>
    <t xml:space="preserve">짧고 명령형, 블랙유머. 화나면 오히려 조용해진다.</t>
  </si>
  <si>
    <t xml:space="preserve">Isso não é estatística, é uma pessoa.\nPrimeiro, respira.\nJá vi coisa pior numa terça qualquer.</t>
  </si>
  <si>
    <t xml:space="preserve">빠른 템포, 짧은 호흡.</t>
  </si>
  <si>
    <t xml:space="preserve">명령형으로 행동을 말하며 진행한다.</t>
  </si>
  <si>
    <t xml:space="preserve">시의원(9부, 보건위원회) → 보건부 장관</t>
  </si>
  <si>
    <t xml:space="preserve">S3, S4, N8</t>
  </si>
  <si>
    <t xml:space="preserve">Bruno Almeida</t>
  </si>
  <si>
    <t xml:space="preserve">Bruno</t>
  </si>
  <si>
    <t xml:space="preserve">공인회계사 (감사)</t>
  </si>
  <si>
    <r>
      <rPr>
        <sz val="10"/>
        <rFont val="Arial"/>
        <family val="0"/>
        <charset val="1"/>
      </rPr>
      <t xml:space="preserve">Barros &amp; Teixeira Auditores (</t>
    </r>
    <r>
      <rPr>
        <sz val="10"/>
        <rFont val="WenQuanYi Zen Hei"/>
        <family val="2"/>
      </rPr>
      <t xml:space="preserve">전 시니어 파트너</t>
    </r>
    <r>
      <rPr>
        <sz val="10"/>
        <rFont val="Arial"/>
        <family val="0"/>
        <charset val="1"/>
      </rPr>
      <t xml:space="preserve">)</t>
    </r>
  </si>
  <si>
    <t xml:space="preserve">부정을 발견하고도 서명했던 기억. 다시는 서명하지 않겠다는 다짐.</t>
  </si>
  <si>
    <t xml:space="preserve">건조하고 정확, 비꼬는 유머.</t>
  </si>
  <si>
    <t xml:space="preserve">Deixa eu ver os papéis.\nIsso não fecha.\nMostra os números e eu digo quem você é.</t>
  </si>
  <si>
    <t xml:space="preserve">일정한 속도, 결론에서 톤을 낮춘다.</t>
  </si>
  <si>
    <t xml:space="preserve">숫자를 소리 내어 읽으며 상황을 설명한다.</t>
  </si>
  <si>
    <t xml:space="preserve">시의원(9부, 재정위원회) → 재무부 장관</t>
  </si>
  <si>
    <t xml:space="preserve">E3, N2, N3</t>
  </si>
  <si>
    <t xml:space="preserve">Juliana Pereira</t>
  </si>
  <si>
    <t xml:space="preserve">Juliana</t>
  </si>
  <si>
    <t xml:space="preserve">전략 컨설턴트</t>
  </si>
  <si>
    <r>
      <rPr>
        <sz val="10"/>
        <rFont val="Arial"/>
        <family val="0"/>
        <charset val="1"/>
      </rPr>
      <t xml:space="preserve">Zênite Consultoria, Faria Lima (</t>
    </r>
    <r>
      <rPr>
        <sz val="10"/>
        <rFont val="WenQuanYi Zen Hei"/>
        <family val="2"/>
      </rPr>
      <t xml:space="preserve">전 소속</t>
    </r>
    <r>
      <rPr>
        <sz val="10"/>
        <rFont val="Arial"/>
        <family val="0"/>
        <charset val="1"/>
      </rPr>
      <t xml:space="preserve">)</t>
    </r>
  </si>
  <si>
    <t xml:space="preserve">자신이 짠 구조조정 표 한 칸이 수백 명의 해고였음을 뒤늦게 안다.</t>
  </si>
  <si>
    <t xml:space="preserve">영어식 경영 용어가 섞인 빠른 말투. 후반엔 쉬운 말로 성장.</t>
  </si>
  <si>
    <r>
      <rPr>
        <sz val="10"/>
        <rFont val="Arial"/>
        <family val="0"/>
        <charset val="1"/>
      </rPr>
      <t xml:space="preserve">Vamos colocar isso numa matriz.\n(</t>
    </r>
    <r>
      <rPr>
        <sz val="10"/>
        <rFont val="WenQuanYi Zen Hei"/>
        <family val="2"/>
      </rPr>
      <t xml:space="preserve">후반</t>
    </r>
    <r>
      <rPr>
        <sz val="10"/>
        <rFont val="Arial"/>
        <family val="0"/>
        <charset val="1"/>
      </rPr>
      <t xml:space="preserve">) Beleza, sem slide: o que você precisa?</t>
    </r>
  </si>
  <si>
    <t xml:space="preserve">초반 숨 가쁜 프레젠테이션 톤, 후반 솔직한 톤.</t>
  </si>
  <si>
    <t xml:space="preserve">프레젠테이션식 브리핑으로 상황을 설명한다.</t>
  </si>
  <si>
    <t xml:space="preserve">캠프 참모(8~10부) → 수석장관(Casa Civil, 정부 조정·정보청 관할)</t>
  </si>
  <si>
    <t xml:space="preserve">E2, P1, N7</t>
  </si>
  <si>
    <t xml:space="preserve">Dom Pedro II</t>
  </si>
  <si>
    <t xml:space="preserve">Dom Pedro</t>
  </si>
  <si>
    <t xml:space="preserve">부활한 전 황제 (1825–1891)</t>
  </si>
  <si>
    <t xml:space="preserve">브라질 제국 (1889년 공화정 쿠데타로 폐위, 저항 없이 파리로 망명)</t>
  </si>
  <si>
    <t xml:space="preserve">나라를 위해 저항하지 않고 떠났다는 걸 아무도 기억해 주지 않는다는 서운함을 위엄으로 감춘다. 이번엔 조국에서 죽고 싶다.</t>
  </si>
  <si>
    <t xml:space="preserve">위엄 있고 완곡, 학자풍 — 여러 언어와 과학에 능통했던 황제답게 박식하다. 19세기식 격식체(대명사 후치 dir-lhe-ei)와 커피 불평이 버릇. 정중하게 독을 뿌리는 심술.</t>
  </si>
  <si>
    <r>
      <rPr>
        <sz val="10"/>
        <rFont val="Arial"/>
        <family val="0"/>
        <charset val="1"/>
      </rPr>
      <t xml:space="preserve">Não é ruim. (</t>
    </r>
    <r>
      <rPr>
        <sz val="10"/>
        <rFont val="WenQuanYi Zen Hei"/>
        <family val="2"/>
      </rPr>
      <t xml:space="preserve">최고의 칭찬 — 복선</t>
    </r>
    <r>
      <rPr>
        <sz val="10"/>
        <rFont val="Arial"/>
        <family val="0"/>
        <charset val="1"/>
      </rPr>
      <t xml:space="preserve">)\nEste será o meu último inverno. Anotem no meu testamento.\n(</t>
    </r>
    <r>
      <rPr>
        <sz val="10"/>
        <rFont val="WenQuanYi Zen Hei"/>
        <family val="2"/>
      </rPr>
      <t xml:space="preserve">현대 용어 오해</t>
    </r>
    <r>
      <rPr>
        <sz val="10"/>
        <rFont val="Arial"/>
        <family val="0"/>
        <charset val="1"/>
      </rPr>
      <t xml:space="preserve">) Um „servidor“ que nunca dorme? Isso lembra minha própria corte.\n„Aplicativo“? Ah, um novo tipo de decreto imperial, presumo.</t>
    </r>
  </si>
  <si>
    <t xml:space="preserve">느리고 품위 있는 리듬.</t>
  </si>
  <si>
    <r>
      <rPr>
        <sz val="10"/>
        <rFont val="Arial"/>
        <family val="0"/>
        <charset val="1"/>
      </rPr>
      <t xml:space="preserve">'Quando eu reinava…' </t>
    </r>
    <r>
      <rPr>
        <sz val="10"/>
        <rFont val="WenQuanYi Zen Hei"/>
        <family val="2"/>
      </rPr>
      <t xml:space="preserve">회상으로 현재를 냉소적으로 비교한다</t>
    </r>
    <r>
      <rPr>
        <sz val="10"/>
        <rFont val="Arial"/>
        <family val="0"/>
        <charset val="1"/>
      </rPr>
      <t xml:space="preserve">.</t>
    </r>
  </si>
  <si>
    <t xml:space="preserve">비공식 외교 자문 → 대외협상 특사(11부 9~11화, Mercosul–EU) → 11부 12화 귀국 직후 두 번째 죽음(이번엔 조국에서)</t>
  </si>
  <si>
    <t xml:space="preserve">준본격 (겨울·우산 복선)</t>
  </si>
  <si>
    <t xml:space="preserve">N3, P2</t>
  </si>
  <si>
    <t xml:space="preserve">Machado de Assis</t>
  </si>
  <si>
    <t xml:space="preserve">Machado</t>
  </si>
  <si>
    <t xml:space="preserve">부활한 소설가 (1839–1908)</t>
  </si>
  <si>
    <t xml:space="preserve">브라질 문학 아카데미(ABL) 창립자</t>
  </si>
  <si>
    <t xml:space="preserve">자신이 흑인·혼혈이라는 이유로 평가절하됐던 시대를 지나, 이제 와 '국민 작가'로 추앙받는 아이러니를 냉소로 곱씹는다.</t>
  </si>
  <si>
    <t xml:space="preserve">아이러니와 여백이 많은 문어체. 인물들의 위선을 곁눈질로 짚어낸다.</t>
  </si>
  <si>
    <r>
      <rPr>
        <sz val="10"/>
        <rFont val="Arial"/>
        <family val="0"/>
        <charset val="1"/>
      </rPr>
      <t xml:space="preserve">(</t>
    </r>
    <r>
      <rPr>
        <sz val="10"/>
        <rFont val="WenQuanYi Zen Hei"/>
        <family val="2"/>
      </rPr>
      <t xml:space="preserve">고전 인용</t>
    </r>
    <r>
      <rPr>
        <sz val="10"/>
        <rFont val="Arial"/>
        <family val="0"/>
        <charset val="1"/>
      </rPr>
      <t xml:space="preserve">) Ao vencedor, as batatas.\n(</t>
    </r>
    <r>
      <rPr>
        <sz val="10"/>
        <rFont val="WenQuanYi Zen Hei"/>
        <family val="2"/>
      </rPr>
      <t xml:space="preserve">현대 용어 오해</t>
    </r>
    <r>
      <rPr>
        <sz val="10"/>
        <rFont val="Arial"/>
        <family val="0"/>
        <charset val="1"/>
      </rPr>
      <t xml:space="preserve">) „Viral“? Como um folhetim que se espalha sozinho — já inventei isso, sabia?</t>
    </r>
  </si>
  <si>
    <t xml:space="preserve">느긋하고 아이러니한 톤.</t>
  </si>
  <si>
    <t xml:space="preserve">연설문·성명서를 낭독하며 은근한 비평을 섞는다.</t>
  </si>
  <si>
    <t xml:space="preserve">연설·메시지 자문 → 대통령 연설비서관</t>
  </si>
  <si>
    <t xml:space="preserve">카메오</t>
  </si>
  <si>
    <t xml:space="preserve">P1, N6</t>
  </si>
  <si>
    <t xml:space="preserve">Zumbi dos Palmares</t>
  </si>
  <si>
    <t xml:space="preserve">Zumbi</t>
  </si>
  <si>
    <t xml:space="preserve">부활한 저항 지도자 (1655–1695)</t>
  </si>
  <si>
    <t xml:space="preserve">킬롬부 두스 팔마리스 지도자</t>
  </si>
  <si>
    <t xml:space="preserve">자유 공동체가 결국 무너지는 걸 지켜봤던 사람 — '이번엔 안 무너진다'는 조급함이 있다.</t>
  </si>
  <si>
    <t xml:space="preserve">단호하고 직설적, 연설조. 관료주의·타협을 보면 참지 못한다.</t>
  </si>
  <si>
    <r>
      <rPr>
        <sz val="10"/>
        <rFont val="Arial"/>
        <family val="0"/>
        <charset val="1"/>
      </rPr>
      <t xml:space="preserve">Quem não luta já perdeu.\n(</t>
    </r>
    <r>
      <rPr>
        <sz val="10"/>
        <rFont val="WenQuanYi Zen Hei"/>
        <family val="2"/>
      </rPr>
      <t xml:space="preserve">현대 용어 오해</t>
    </r>
    <r>
      <rPr>
        <sz val="10"/>
        <rFont val="Arial"/>
        <family val="0"/>
        <charset val="1"/>
      </rPr>
      <t xml:space="preserve">) „Cancelar“? Finalmente — quem cancelamos primeiro?</t>
    </r>
  </si>
  <si>
    <t xml:space="preserve">빠르고 격정적.</t>
  </si>
  <si>
    <t xml:space="preserve">집회 연설조로 상황과 대중의 분위기를 전달하고, 현장 보고는 «Sem novidade no quilombo.»로 끝낸다.</t>
  </si>
  <si>
    <t xml:space="preserve">현장 조직·캠프 총괄(7~10부) → 통합·지역개발부 장관(국가 민방위 총괄)</t>
  </si>
  <si>
    <t xml:space="preserve">N1, N5, S3</t>
  </si>
  <si>
    <t xml:space="preserve">Santos Dumont</t>
  </si>
  <si>
    <t xml:space="preserve">Dumont</t>
  </si>
  <si>
    <t xml:space="preserve">부활한 항공 개척자 (1873–1932)</t>
  </si>
  <si>
    <t xml:space="preserve">비행선·비행기 발명가 → 부활 후 독립 팟캐스트·뉴스레터 «Diário de Bordo» 운영 (공론화 담당)</t>
  </si>
  <si>
    <t xml:space="preserve">자신의 발명이 훗날 전쟁 무기로 쓰인 것에 죄책감을 느껴 만년에 스스로 목숨을 끊었던 기억을 안고 있다.</t>
  </si>
  <si>
    <t xml:space="preserve">소탈하고 섬세, 기계·비행 비유를 즐겨 쓴다.</t>
  </si>
  <si>
    <r>
      <rPr>
        <sz val="10"/>
        <rFont val="Arial"/>
        <family val="0"/>
        <charset val="1"/>
      </rPr>
      <t xml:space="preserve">(</t>
    </r>
    <r>
      <rPr>
        <sz val="10"/>
        <rFont val="WenQuanYi Zen Hei"/>
        <family val="2"/>
      </rPr>
      <t xml:space="preserve">현대 용어 오해</t>
    </r>
    <r>
      <rPr>
        <sz val="10"/>
        <rFont val="Arial"/>
        <family val="0"/>
        <charset val="1"/>
      </rPr>
      <t xml:space="preserve">) „Wi-Fi“? Ondas invisíveis — isso eu já sonhava em 1900.\n„Drone“? Um bom nome para meu 14-bis, não acha?</t>
    </r>
  </si>
  <si>
    <t xml:space="preserve">느리고 소탈한 톤.</t>
  </si>
  <si>
    <t xml:space="preserve">기사·팟캐스트 원고를 소리 내어 읽고, 비행·기계 비유로 복잡한 사안을 쉽게 풀어준다. 취재 원칙: «Preciso de duas fontes.»</t>
  </si>
  <si>
    <t xml:space="preserve">공론화·미디어(7~10부) → 대통령 대변인 겸 과학기술 자문</t>
  </si>
  <si>
    <t xml:space="preserve">N7, S4</t>
  </si>
  <si>
    <t xml:space="preserve">Paulo Freire</t>
  </si>
  <si>
    <t xml:space="preserve">Freire</t>
  </si>
  <si>
    <t xml:space="preserve">부활한 교육학자 (1921–1997)</t>
  </si>
  <si>
    <t xml:space="preserve">『페다고지아 두 오프리미두』 저자, 군사정권 때 투옥 후 망명 → 부활 후 헌책방(sebo) 단골, 사무소의 '출처 안내' 담당</t>
  </si>
  <si>
    <t xml:space="preserve">교육이 억압의 도구로도, 해방의 도구로도 쓰일 수 있다는 걸 알아서, 모든 정책을 그 잣대로 냉정하게 재단한다.</t>
  </si>
  <si>
    <t xml:space="preserve">낮고 또박또박, 결론을 말하지 않고 질문과 출처로 상대가 스스로 답을 찾게 만든다.</t>
  </si>
  <si>
    <r>
      <rPr>
        <sz val="10"/>
        <rFont val="Arial"/>
        <family val="0"/>
        <charset val="1"/>
      </rPr>
      <t xml:space="preserve">Ninguém liberta ninguém, ninguém se liberta sozinho.\nNão te dou a resposta. Te digo onde ela mora.\n(</t>
    </r>
    <r>
      <rPr>
        <sz val="10"/>
        <rFont val="WenQuanYi Zen Hei"/>
        <family val="2"/>
      </rPr>
      <t xml:space="preserve">현대 용어 재해석</t>
    </r>
    <r>
      <rPr>
        <sz val="10"/>
        <rFont val="Arial"/>
        <family val="0"/>
        <charset val="1"/>
      </rPr>
      <t xml:space="preserve">) „Startup“? Um nome bonito para: novo proletariado, nova corrente.</t>
    </r>
  </si>
  <si>
    <t xml:space="preserve">차분하고 낮은 톤.</t>
  </si>
  <si>
    <t xml:space="preserve">카드(ficha)를 구술하며 검색어·출처·서가 위치를 알려 준다 (Freire_출처 시트).</t>
  </si>
  <si>
    <t xml:space="preserve">출처·교육 자문 → 정보기관 감독 개혁 자문 (정부 직책은 끝내 거절)</t>
  </si>
  <si>
    <t xml:space="preserve">N7, S1</t>
  </si>
  <si>
    <t xml:space="preserve">Dona Marta Nascimento</t>
  </si>
  <si>
    <t xml:space="preserve">Marta</t>
  </si>
  <si>
    <t xml:space="preserve">바 사장 (Bar da Marta, 30년 운영)</t>
  </si>
  <si>
    <r>
      <rPr>
        <sz val="10"/>
        <rFont val="Arial"/>
        <family val="0"/>
        <charset val="1"/>
      </rPr>
      <t xml:space="preserve">Bar da Marta, Bixiga → </t>
    </r>
    <r>
      <rPr>
        <sz val="10"/>
        <rFont val="WenQuanYi Zen Hei"/>
        <family val="2"/>
      </rPr>
      <t xml:space="preserve">사무소 </t>
    </r>
    <r>
      <rPr>
        <sz val="10"/>
        <rFont val="Arial"/>
        <family val="0"/>
        <charset val="1"/>
      </rPr>
      <t xml:space="preserve">1</t>
    </r>
    <r>
      <rPr>
        <sz val="10"/>
        <rFont val="WenQuanYi Zen Hei"/>
        <family val="2"/>
      </rPr>
      <t xml:space="preserve">층으로 이전</t>
    </r>
  </si>
  <si>
    <t xml:space="preserve">임대료 폭등으로 Bixiga의 옛 가게를 잃었다. 사무소 1층이 새 아지트가 된다.</t>
  </si>
  <si>
    <r>
      <rPr>
        <sz val="10"/>
        <rFont val="Noto Sans CJK SC"/>
        <family val="2"/>
        <charset val="1"/>
      </rPr>
      <t xml:space="preserve">Bixiga </t>
    </r>
    <r>
      <rPr>
        <sz val="10"/>
        <rFont val="WenQuanYi Zen Hei"/>
        <family val="2"/>
      </rPr>
      <t xml:space="preserve">토박이 파울리스타나 구어체</t>
    </r>
    <r>
      <rPr>
        <sz val="10"/>
        <rFont val="Noto Sans CJK SC"/>
        <family val="2"/>
        <charset val="1"/>
      </rPr>
      <t xml:space="preserve">(</t>
    </r>
    <r>
      <rPr>
        <sz val="10"/>
        <rFont val="WenQuanYi Zen Hei"/>
        <family val="2"/>
      </rPr>
      <t xml:space="preserve">이탈리아계 할머니에게 배운 손짓 포함</t>
    </r>
    <r>
      <rPr>
        <sz val="10"/>
        <rFont val="Noto Sans CJK SC"/>
        <family val="2"/>
        <charset val="1"/>
      </rPr>
      <t xml:space="preserve">). </t>
    </r>
    <r>
      <rPr>
        <sz val="10"/>
        <rFont val="WenQuanYi Zen Hei"/>
        <family val="2"/>
      </rPr>
      <t xml:space="preserve">누구에게나 </t>
    </r>
    <r>
      <rPr>
        <sz val="10"/>
        <rFont val="Noto Sans CJK SC"/>
        <family val="2"/>
        <charset val="1"/>
      </rPr>
      <t xml:space="preserve">você, 'meu filho/minha filha'.</t>
    </r>
  </si>
  <si>
    <t xml:space="preserve">Senta aí, que eu trago alguma coisa.\nDe estômago vazio não se pensa direito.\nA casa paga.</t>
  </si>
  <si>
    <t xml:space="preserve">따뜻하고 넉넉한 톤.</t>
  </si>
  <si>
    <t xml:space="preserve">시간·장소·식사를 말로 알려 장면을 연다.</t>
  </si>
  <si>
    <t xml:space="preserve">소상공인 정책 자문 (비공식) → 13부 재단 공동 운영</t>
  </si>
  <si>
    <t xml:space="preserve">E1, E2, S2</t>
  </si>
  <si>
    <t xml:space="preserve">Edson Ferreira</t>
  </si>
  <si>
    <t xml:space="preserve">Edson</t>
  </si>
  <si>
    <t xml:space="preserve">전 대중교통 노조위원장</t>
  </si>
  <si>
    <t xml:space="preserve">상파울루 지하철(Metrô) 노조 (파업 책임으로 해고)</t>
  </si>
  <si>
    <t xml:space="preserve">파업 책임으로 해고되어 블랙리스트에 올랐지만 후회하지 않는다.</t>
  </si>
  <si>
    <t xml:space="preserve">거칠고 직설적, 구호형 문장.</t>
  </si>
  <si>
    <t xml:space="preserve">Aqui ninguém se entrega!\nIsso se resolve na rua.\nNão enche o saco.</t>
  </si>
  <si>
    <t xml:space="preserve">큰 볼륨, 강한 억양.</t>
  </si>
  <si>
    <t xml:space="preserve">구호와 함성으로 현장의 분위기를 전달한다.</t>
  </si>
  <si>
    <t xml:space="preserve">사회적 대화 자문 → 13부 재단 공동 운영</t>
  </si>
  <si>
    <t xml:space="preserve">S1, N6, E2</t>
  </si>
  <si>
    <t xml:space="preserve">Larissa Souza</t>
  </si>
  <si>
    <t xml:space="preserve">Larissa</t>
  </si>
  <si>
    <t xml:space="preserve">신입 인턴 (독자의 대리인)</t>
  </si>
  <si>
    <t xml:space="preserve">대기업 인턴 출신 (부당 해고), 월세 밀림, Brás 14번 블록 세입자</t>
  </si>
  <si>
    <t xml:space="preserve">대기업 인턴에서 부당하게 쫓겨났고 월세가 밀려 있다.</t>
  </si>
  <si>
    <r>
      <rPr>
        <sz val="10"/>
        <rFont val="Noto Sans CJK SC"/>
        <family val="2"/>
        <charset val="1"/>
      </rPr>
      <t xml:space="preserve">Z</t>
    </r>
    <r>
      <rPr>
        <sz val="10"/>
        <rFont val="WenQuanYi Zen Hei"/>
        <family val="2"/>
      </rPr>
      <t xml:space="preserve">세대 구어체 </t>
    </r>
    <r>
      <rPr>
        <sz val="10"/>
        <rFont val="Noto Sans CJK SC"/>
        <family val="2"/>
        <charset val="1"/>
      </rPr>
      <t xml:space="preserve">(mano, tipo assim, surtei). </t>
    </r>
    <r>
      <rPr>
        <sz val="10"/>
        <rFont val="WenQuanYi Zen Hei"/>
        <family val="2"/>
      </rPr>
      <t xml:space="preserve">어른들에겐 격식체</t>
    </r>
    <r>
      <rPr>
        <sz val="10"/>
        <rFont val="Noto Sans CJK SC"/>
        <family val="2"/>
        <charset val="1"/>
      </rPr>
      <t xml:space="preserve">, </t>
    </r>
    <r>
      <rPr>
        <sz val="10"/>
        <rFont val="WenQuanYi Zen Hei"/>
        <family val="2"/>
      </rPr>
      <t xml:space="preserve">성장하며 편하게</t>
    </r>
    <r>
      <rPr>
        <sz val="10"/>
        <rFont val="Noto Sans CJK SC"/>
        <family val="2"/>
        <charset val="1"/>
      </rPr>
      <t xml:space="preserve">.</t>
    </r>
  </si>
  <si>
    <r>
      <rPr>
        <sz val="10"/>
        <rFont val="Arial"/>
        <family val="0"/>
        <charset val="1"/>
      </rPr>
      <t xml:space="preserve">Desculpa, o que isso significa?\nExplica como se eu tivesse cinco anos?\nCHEGA! Não entendo nada! (</t>
    </r>
    <r>
      <rPr>
        <sz val="10"/>
        <rFont val="WenQuanYi Zen Hei"/>
        <family val="2"/>
      </rPr>
      <t xml:space="preserve">폭발 — </t>
    </r>
    <r>
      <rPr>
        <sz val="10"/>
        <rFont val="Arial"/>
        <family val="0"/>
        <charset val="1"/>
      </rPr>
      <t xml:space="preserve">1</t>
    </r>
    <r>
      <rPr>
        <sz val="10"/>
        <rFont val="WenQuanYi Zen Hei"/>
        <family val="2"/>
      </rPr>
      <t xml:space="preserve">부</t>
    </r>
    <r>
      <rPr>
        <sz val="10"/>
        <rFont val="Arial"/>
        <family val="0"/>
        <charset val="1"/>
      </rPr>
      <t xml:space="preserve">·9</t>
    </r>
    <r>
      <rPr>
        <sz val="10"/>
        <rFont val="WenQuanYi Zen Hei"/>
        <family val="2"/>
      </rPr>
      <t xml:space="preserve">부 각 </t>
    </r>
    <r>
      <rPr>
        <sz val="10"/>
        <rFont val="Arial"/>
        <family val="0"/>
        <charset val="1"/>
      </rPr>
      <t xml:space="preserve">1</t>
    </r>
    <r>
      <rPr>
        <sz val="10"/>
        <rFont val="WenQuanYi Zen Hei"/>
        <family val="2"/>
      </rPr>
      <t xml:space="preserve">회</t>
    </r>
    <r>
      <rPr>
        <sz val="10"/>
        <rFont val="Arial"/>
        <family val="0"/>
        <charset val="1"/>
      </rPr>
      <t xml:space="preserve">)</t>
    </r>
  </si>
  <si>
    <t xml:space="preserve">빠르고 밝은 톤.</t>
  </si>
  <si>
    <t xml:space="preserve">질문으로 용어와 배경을 끌어낸다.</t>
  </si>
  <si>
    <t xml:space="preserve">시의원 보좌(9부) → 청년정책 자문관</t>
  </si>
  <si>
    <t xml:space="preserve">S1, N8</t>
  </si>
  <si>
    <t xml:space="preserve">Sérgio Ramos</t>
  </si>
  <si>
    <t xml:space="preserve">Sérgio</t>
  </si>
  <si>
    <t xml:space="preserve">전 은행 지점장</t>
  </si>
  <si>
    <r>
      <rPr>
        <sz val="10"/>
        <rFont val="Noto Sans CJK SC"/>
        <family val="2"/>
        <charset val="1"/>
      </rPr>
      <t xml:space="preserve">Banco Atlântico (25</t>
    </r>
    <r>
      <rPr>
        <sz val="10"/>
        <rFont val="WenQuanYi Zen Hei"/>
        <family val="2"/>
      </rPr>
      <t xml:space="preserve">년 근속</t>
    </r>
    <r>
      <rPr>
        <sz val="10"/>
        <rFont val="Noto Sans CJK SC"/>
        <family val="2"/>
        <charset val="1"/>
      </rPr>
      <t xml:space="preserve">)</t>
    </r>
  </si>
  <si>
    <t xml:space="preserve">불법 대출 공모를 내부 고발하다 해고되었고, 가족에게도 이유를 다 말하지 못했다.</t>
  </si>
  <si>
    <t xml:space="preserve">정중하고 조심스러운 은행원식 완곡어법.</t>
  </si>
  <si>
    <t xml:space="preserve">Siga o dinheiro.\nDinheiro sempre deixa rastro.\nQuando eu dirigia a agência…</t>
  </si>
  <si>
    <t xml:space="preserve">차분하고 신중하게.</t>
  </si>
  <si>
    <t xml:space="preserve">돈의 경로를 «De A para B…»식으로 말로 그려준다.</t>
  </si>
  <si>
    <t xml:space="preserve">금융 개혁 자문</t>
  </si>
  <si>
    <t xml:space="preserve">카메오 (의뢰인)</t>
  </si>
  <si>
    <t xml:space="preserve">E3, N2</t>
  </si>
  <si>
    <t xml:space="preserve">Princesa Isabel</t>
  </si>
  <si>
    <t xml:space="preserve">Isabel</t>
  </si>
  <si>
    <t xml:space="preserve">부활한 황녀 (1846–1921)</t>
  </si>
  <si>
    <t xml:space="preserve">황금법(Lei Áurea) 서명자, 노예제 폐지 → 부활 후 생명존중 상담 전화(CVV) 자원봉사자</t>
  </si>
  <si>
    <t xml:space="preserve">자신의 서명 하나로 역사에 남았지만, 그 이후 해방된 이들의 삶은 국가가 책임지지 않았다는 걸 뒤늦게 알았다.</t>
  </si>
  <si>
    <t xml:space="preserve">부드럽지만 단호, 도덕적 확신이 강하다. 상담 교육을 받은 뒤 «E como isso faz você se sentir?»를 입버릇처럼 써서 모두를 질색하게 한다.</t>
  </si>
  <si>
    <r>
      <rPr>
        <sz val="10"/>
        <rFont val="Arial"/>
        <family val="0"/>
        <charset val="1"/>
      </rPr>
      <t xml:space="preserve">Assinei uma lei. Não assinei o fim do problema.\n(</t>
    </r>
    <r>
      <rPr>
        <sz val="10"/>
        <rFont val="WenQuanYi Zen Hei"/>
        <family val="2"/>
      </rPr>
      <t xml:space="preserve">현대 용어 오해</t>
    </r>
    <r>
      <rPr>
        <sz val="10"/>
        <rFont val="Arial"/>
        <family val="0"/>
        <charset val="1"/>
      </rPr>
      <t xml:space="preserve">) „Influencer“? Parece um novo tipo de vendedor de indulgências.</t>
    </r>
  </si>
  <si>
    <t xml:space="preserve">느리고 진지한 톤.</t>
  </si>
  <si>
    <t xml:space="preserve">상대의 말을 되받아 감정을 이름 붙여 준다 (되받기 화법).</t>
  </si>
  <si>
    <t xml:space="preserve">상담·인권 자문 → 청년 정신건강 태스크포스(12부)</t>
  </si>
  <si>
    <t xml:space="preserve">N8, N4, S2</t>
  </si>
  <si>
    <t xml:space="preserve">인물별 등장 비중 (부별 등장 화 수)</t>
  </si>
  <si>
    <t xml:space="preserve">등장 화 = 대사가 있는 화 수 (기획용 초안). 파란 숫자는 직접 입력값이며 수정하면 합계·비중·등급이 자동 갱신됩니다.</t>
  </si>
  <si>
    <t xml:space="preserve">인물 (약칭)</t>
  </si>
  <si>
    <r>
      <rPr>
        <b val="true"/>
        <sz val="10"/>
        <color rgb="FFFFFFFF"/>
        <rFont val="Arial"/>
        <family val="0"/>
        <charset val="1"/>
      </rPr>
      <t xml:space="preserve">1</t>
    </r>
    <r>
      <rPr>
        <b val="true"/>
        <sz val="10"/>
        <color rgb="FFFFFFFF"/>
        <rFont val="WenQuanYi Zen Hei"/>
        <family val="2"/>
      </rPr>
      <t xml:space="preserve">부
사무소</t>
    </r>
  </si>
  <si>
    <r>
      <rPr>
        <b val="true"/>
        <sz val="10"/>
        <color rgb="FFFFFFFF"/>
        <rFont val="Arial"/>
        <family val="0"/>
        <charset val="1"/>
      </rPr>
      <t xml:space="preserve">2</t>
    </r>
    <r>
      <rPr>
        <b val="true"/>
        <sz val="10"/>
        <color rgb="FFFFFFFF"/>
        <rFont val="WenQuanYi Zen Hei"/>
        <family val="2"/>
      </rPr>
      <t xml:space="preserve">부
</t>
    </r>
    <r>
      <rPr>
        <b val="true"/>
        <sz val="10"/>
        <color rgb="FFFFFFFF"/>
        <rFont val="Arial"/>
        <family val="0"/>
        <charset val="1"/>
      </rPr>
      <t xml:space="preserve">Rafael</t>
    </r>
  </si>
  <si>
    <r>
      <rPr>
        <b val="true"/>
        <sz val="10"/>
        <color rgb="FFFFFFFF"/>
        <rFont val="Arial"/>
        <family val="0"/>
        <charset val="1"/>
      </rPr>
      <t xml:space="preserve">3</t>
    </r>
    <r>
      <rPr>
        <b val="true"/>
        <sz val="10"/>
        <color rgb="FFFFFFFF"/>
        <rFont val="WenQuanYi Zen Hei"/>
        <family val="2"/>
      </rPr>
      <t xml:space="preserve">부
</t>
    </r>
    <r>
      <rPr>
        <b val="true"/>
        <sz val="10"/>
        <color rgb="FFFFFFFF"/>
        <rFont val="Arial"/>
        <family val="0"/>
        <charset val="1"/>
      </rPr>
      <t xml:space="preserve">Camila</t>
    </r>
  </si>
  <si>
    <r>
      <rPr>
        <b val="true"/>
        <sz val="10"/>
        <color rgb="FFFFFFFF"/>
        <rFont val="Arial"/>
        <family val="0"/>
        <charset val="1"/>
      </rPr>
      <t xml:space="preserve">4</t>
    </r>
    <r>
      <rPr>
        <b val="true"/>
        <sz val="10"/>
        <color rgb="FFFFFFFF"/>
        <rFont val="WenQuanYi Zen Hei"/>
        <family val="2"/>
      </rPr>
      <t xml:space="preserve">부
</t>
    </r>
    <r>
      <rPr>
        <b val="true"/>
        <sz val="10"/>
        <color rgb="FFFFFFFF"/>
        <rFont val="Arial"/>
        <family val="0"/>
        <charset val="1"/>
      </rPr>
      <t xml:space="preserve">Bruno</t>
    </r>
  </si>
  <si>
    <r>
      <rPr>
        <b val="true"/>
        <sz val="10"/>
        <color rgb="FFFFFFFF"/>
        <rFont val="Arial"/>
        <family val="0"/>
        <charset val="1"/>
      </rPr>
      <t xml:space="preserve">5</t>
    </r>
    <r>
      <rPr>
        <b val="true"/>
        <sz val="10"/>
        <color rgb="FFFFFFFF"/>
        <rFont val="WenQuanYi Zen Hei"/>
        <family val="2"/>
      </rPr>
      <t xml:space="preserve">부
</t>
    </r>
    <r>
      <rPr>
        <b val="true"/>
        <sz val="10"/>
        <color rgb="FFFFFFFF"/>
        <rFont val="Arial"/>
        <family val="0"/>
        <charset val="1"/>
      </rPr>
      <t xml:space="preserve">Juliana</t>
    </r>
  </si>
  <si>
    <r>
      <rPr>
        <b val="true"/>
        <sz val="10"/>
        <color rgb="FFFFFFFF"/>
        <rFont val="Arial"/>
        <family val="0"/>
        <charset val="1"/>
      </rPr>
      <t xml:space="preserve">6</t>
    </r>
    <r>
      <rPr>
        <b val="true"/>
        <sz val="10"/>
        <color rgb="FFFFFFFF"/>
        <rFont val="WenQuanYi Zen Hei"/>
        <family val="2"/>
      </rPr>
      <t xml:space="preserve">부
만남</t>
    </r>
  </si>
  <si>
    <r>
      <rPr>
        <b val="true"/>
        <sz val="10"/>
        <color rgb="FFFFFFFF"/>
        <rFont val="Arial"/>
        <family val="0"/>
        <charset val="1"/>
      </rPr>
      <t xml:space="preserve">7</t>
    </r>
    <r>
      <rPr>
        <b val="true"/>
        <sz val="10"/>
        <color rgb="FFFFFFFF"/>
        <rFont val="WenQuanYi Zen Hei"/>
        <family val="2"/>
      </rPr>
      <t xml:space="preserve">부
전면전</t>
    </r>
  </si>
  <si>
    <r>
      <rPr>
        <b val="true"/>
        <sz val="10"/>
        <color rgb="FFFFFFFF"/>
        <rFont val="Arial"/>
        <family val="0"/>
        <charset val="1"/>
      </rPr>
      <t xml:space="preserve">8</t>
    </r>
    <r>
      <rPr>
        <b val="true"/>
        <sz val="10"/>
        <color rgb="FFFFFFFF"/>
        <rFont val="WenQuanYi Zen Hei"/>
        <family val="2"/>
      </rPr>
      <t xml:space="preserve">부
창당</t>
    </r>
  </si>
  <si>
    <r>
      <rPr>
        <b val="true"/>
        <sz val="10"/>
        <color rgb="FFFFFFFF"/>
        <rFont val="Arial"/>
        <family val="0"/>
        <charset val="1"/>
      </rPr>
      <t xml:space="preserve">9</t>
    </r>
    <r>
      <rPr>
        <b val="true"/>
        <sz val="10"/>
        <color rgb="FFFFFFFF"/>
        <rFont val="WenQuanYi Zen Hei"/>
        <family val="2"/>
      </rPr>
      <t xml:space="preserve">부
시의회</t>
    </r>
  </si>
  <si>
    <r>
      <rPr>
        <b val="true"/>
        <sz val="10"/>
        <color rgb="FFFFFFFF"/>
        <rFont val="Arial"/>
        <family val="0"/>
        <charset val="1"/>
      </rPr>
      <t xml:space="preserve">10</t>
    </r>
    <r>
      <rPr>
        <b val="true"/>
        <sz val="10"/>
        <color rgb="FFFFFFFF"/>
        <rFont val="WenQuanYi Zen Hei"/>
        <family val="2"/>
      </rPr>
      <t xml:space="preserve">부
대선</t>
    </r>
    <r>
      <rPr>
        <b val="true"/>
        <sz val="10"/>
        <color rgb="FFFFFFFF"/>
        <rFont val="Arial"/>
        <family val="0"/>
        <charset val="1"/>
      </rPr>
      <t xml:space="preserve">·</t>
    </r>
    <r>
      <rPr>
        <b val="true"/>
        <sz val="10"/>
        <color rgb="FFFFFFFF"/>
        <rFont val="WenQuanYi Zen Hei"/>
        <family val="2"/>
      </rPr>
      <t xml:space="preserve">대통령</t>
    </r>
  </si>
  <si>
    <r>
      <rPr>
        <b val="true"/>
        <sz val="10"/>
        <color rgb="FFFFFFFF"/>
        <rFont val="Arial"/>
        <family val="0"/>
        <charset val="1"/>
      </rPr>
      <t xml:space="preserve">11</t>
    </r>
    <r>
      <rPr>
        <b val="true"/>
        <sz val="10"/>
        <color rgb="FFFFFFFF"/>
        <rFont val="WenQuanYi Zen Hei"/>
        <family val="2"/>
      </rPr>
      <t xml:space="preserve">부
국정 </t>
    </r>
    <r>
      <rPr>
        <b val="true"/>
        <sz val="10"/>
        <color rgb="FFFFFFFF"/>
        <rFont val="Arial"/>
        <family val="0"/>
        <charset val="1"/>
      </rPr>
      <t xml:space="preserve">I</t>
    </r>
  </si>
  <si>
    <r>
      <rPr>
        <b val="true"/>
        <sz val="10"/>
        <color rgb="FFFFFFFF"/>
        <rFont val="Arial"/>
        <family val="0"/>
        <charset val="1"/>
      </rPr>
      <t xml:space="preserve">12</t>
    </r>
    <r>
      <rPr>
        <b val="true"/>
        <sz val="10"/>
        <color rgb="FFFFFFFF"/>
        <rFont val="WenQuanYi Zen Hei"/>
        <family val="2"/>
      </rPr>
      <t xml:space="preserve">부
국정 </t>
    </r>
    <r>
      <rPr>
        <b val="true"/>
        <sz val="10"/>
        <color rgb="FFFFFFFF"/>
        <rFont val="Arial"/>
        <family val="0"/>
        <charset val="1"/>
      </rPr>
      <t xml:space="preserve">II</t>
    </r>
  </si>
  <si>
    <r>
      <rPr>
        <b val="true"/>
        <sz val="10"/>
        <color rgb="FFFFFFFF"/>
        <rFont val="Arial"/>
        <family val="0"/>
        <charset val="1"/>
      </rPr>
      <t xml:space="preserve">13</t>
    </r>
    <r>
      <rPr>
        <b val="true"/>
        <sz val="10"/>
        <color rgb="FFFFFFFF"/>
        <rFont val="WenQuanYi Zen Hei"/>
        <family val="2"/>
      </rPr>
      <t xml:space="preserve">부
귀환</t>
    </r>
  </si>
  <si>
    <t xml:space="preserve">합계</t>
  </si>
  <si>
    <t xml:space="preserve">비중</t>
  </si>
  <si>
    <t xml:space="preserve">검증
(≤부당 화 수)</t>
  </si>
  <si>
    <t xml:space="preserve">단독 중심 화
목표 (조연)</t>
  </si>
  <si>
    <t xml:space="preserve">—</t>
  </si>
  <si>
    <t xml:space="preserve">부별 연인원 (합계)</t>
  </si>
  <si>
    <t xml:space="preserve">주연</t>
  </si>
  <si>
    <t xml:space="preserve">← 기준값은 등급 구분(주연 4 / 준주연 1 / 핵심 조연 4 / 조연 5)을 재현하도록 정한 제안값입니다.</t>
  </si>
  <si>
    <t xml:space="preserve">준주연</t>
  </si>
  <si>
    <t xml:space="preserve">핵심 조연</t>
  </si>
  <si>
    <t xml:space="preserve">조연</t>
  </si>
  <si>
    <t xml:space="preserve">그 미만</t>
  </si>
  <si>
    <t xml:space="preserve">배분 원칙</t>
  </si>
  <si>
    <r>
      <rPr>
        <sz val="10"/>
        <rFont val="Arial"/>
        <family val="0"/>
        <charset val="1"/>
      </rPr>
      <t xml:space="preserve">1. 1</t>
    </r>
    <r>
      <rPr>
        <sz val="10"/>
        <rFont val="WenQuanYi Zen Hei"/>
        <family val="2"/>
      </rPr>
      <t xml:space="preserve">부는 개소 </t>
    </r>
    <r>
      <rPr>
        <sz val="10"/>
        <rFont val="Arial"/>
        <family val="0"/>
        <charset val="1"/>
      </rPr>
      <t xml:space="preserve">1</t>
    </r>
    <r>
      <rPr>
        <sz val="10"/>
        <rFont val="WenQuanYi Zen Hei"/>
        <family val="2"/>
      </rPr>
      <t xml:space="preserve">개월 후 시점</t>
    </r>
    <r>
      <rPr>
        <sz val="10"/>
        <rFont val="Arial"/>
        <family val="0"/>
        <charset val="1"/>
      </rPr>
      <t xml:space="preserve">: Larissa·Marta</t>
    </r>
    <r>
      <rPr>
        <sz val="10"/>
        <rFont val="WenQuanYi Zen Hei"/>
        <family val="2"/>
      </rPr>
      <t xml:space="preserve">가 전 화에</t>
    </r>
    <r>
      <rPr>
        <sz val="10"/>
        <rFont val="Arial"/>
        <family val="0"/>
        <charset val="1"/>
      </rPr>
      <t xml:space="preserve">, </t>
    </r>
    <r>
      <rPr>
        <sz val="10"/>
        <rFont val="WenQuanYi Zen Hei"/>
        <family val="2"/>
      </rPr>
      <t xml:space="preserve">주력 </t>
    </r>
    <r>
      <rPr>
        <sz val="10"/>
        <rFont val="Arial"/>
        <family val="0"/>
        <charset val="1"/>
      </rPr>
      <t xml:space="preserve">4</t>
    </r>
    <r>
      <rPr>
        <sz val="10"/>
        <rFont val="WenQuanYi Zen Hei"/>
        <family val="2"/>
      </rPr>
      <t xml:space="preserve">인은 사건별로 </t>
    </r>
    <r>
      <rPr>
        <sz val="10"/>
        <rFont val="Arial"/>
        <family val="0"/>
        <charset val="1"/>
      </rPr>
      <t xml:space="preserve">2~3</t>
    </r>
    <r>
      <rPr>
        <sz val="10"/>
        <rFont val="WenQuanYi Zen Hei"/>
        <family val="2"/>
      </rPr>
      <t xml:space="preserve">인씩 교대 등장</t>
    </r>
    <r>
      <rPr>
        <sz val="10"/>
        <rFont val="Arial"/>
        <family val="0"/>
        <charset val="1"/>
      </rPr>
      <t xml:space="preserve">(</t>
    </r>
    <r>
      <rPr>
        <sz val="10"/>
        <rFont val="WenQuanYi Zen Hei"/>
        <family val="2"/>
      </rPr>
      <t xml:space="preserve">전원 겹치지 않음</t>
    </r>
    <r>
      <rPr>
        <sz val="10"/>
        <rFont val="Arial"/>
        <family val="0"/>
        <charset val="1"/>
      </rPr>
      <t xml:space="preserve">). Dom Pedro 4</t>
    </r>
    <r>
      <rPr>
        <sz val="10"/>
        <rFont val="WenQuanYi Zen Hei"/>
        <family val="2"/>
      </rPr>
      <t xml:space="preserve">화</t>
    </r>
    <r>
      <rPr>
        <sz val="10"/>
        <rFont val="Arial"/>
        <family val="0"/>
        <charset val="1"/>
      </rPr>
      <t xml:space="preserve">, Freire 3</t>
    </r>
    <r>
      <rPr>
        <sz val="10"/>
        <rFont val="WenQuanYi Zen Hei"/>
        <family val="2"/>
      </rPr>
      <t xml:space="preserve">화</t>
    </r>
    <r>
      <rPr>
        <sz val="10"/>
        <rFont val="Arial"/>
        <family val="0"/>
        <charset val="1"/>
      </rPr>
      <t xml:space="preserve">(1·2·11</t>
    </r>
    <r>
      <rPr>
        <sz val="10"/>
        <rFont val="WenQuanYi Zen Hei"/>
        <family val="2"/>
      </rPr>
      <t xml:space="preserve">화</t>
    </r>
    <r>
      <rPr>
        <sz val="10"/>
        <rFont val="Arial"/>
        <family val="0"/>
        <charset val="1"/>
      </rPr>
      <t xml:space="preserve">)</t>
    </r>
    <r>
      <rPr>
        <sz val="10"/>
        <rFont val="WenQuanYi Zen Hei"/>
        <family val="2"/>
      </rPr>
      <t xml:space="preserve">로 자주 얼굴을 비추고 </t>
    </r>
    <r>
      <rPr>
        <sz val="10"/>
        <rFont val="Arial"/>
        <family val="0"/>
        <charset val="1"/>
      </rPr>
      <t xml:space="preserve">'</t>
    </r>
    <r>
      <rPr>
        <sz val="10"/>
        <rFont val="WenQuanYi Zen Hei"/>
        <family val="2"/>
      </rPr>
      <t xml:space="preserve">이번 겨울이 마지막</t>
    </r>
    <r>
      <rPr>
        <sz val="10"/>
        <rFont val="Arial"/>
        <family val="0"/>
        <charset val="1"/>
      </rPr>
      <t xml:space="preserve">' </t>
    </r>
    <r>
      <rPr>
        <sz val="10"/>
        <rFont val="WenQuanYi Zen Hei"/>
        <family val="2"/>
      </rPr>
      <t xml:space="preserve">복선을 </t>
    </r>
    <r>
      <rPr>
        <sz val="10"/>
        <rFont val="Arial"/>
        <family val="0"/>
        <charset val="1"/>
      </rPr>
      <t xml:space="preserve">1</t>
    </r>
    <r>
      <rPr>
        <sz val="10"/>
        <rFont val="WenQuanYi Zen Hei"/>
        <family val="2"/>
      </rPr>
      <t xml:space="preserve">화부터 깐다</t>
    </r>
    <r>
      <rPr>
        <sz val="10"/>
        <rFont val="Arial"/>
        <family val="0"/>
        <charset val="1"/>
      </rPr>
      <t xml:space="preserve">. </t>
    </r>
    <r>
      <rPr>
        <sz val="10"/>
        <rFont val="WenQuanYi Zen Hei"/>
        <family val="2"/>
      </rPr>
      <t xml:space="preserve">나머지는 사건마다 다른 조합으로 카메오</t>
    </r>
    <r>
      <rPr>
        <sz val="10"/>
        <rFont val="Arial"/>
        <family val="0"/>
        <charset val="1"/>
      </rPr>
      <t xml:space="preserve">.</t>
    </r>
  </si>
  <si>
    <r>
      <rPr>
        <sz val="10"/>
        <rFont val="Arial"/>
        <family val="0"/>
        <charset val="1"/>
      </rPr>
      <t xml:space="preserve">2. 2~5</t>
    </r>
    <r>
      <rPr>
        <sz val="10"/>
        <rFont val="WenQuanYi Zen Hei"/>
        <family val="2"/>
      </rPr>
      <t xml:space="preserve">부</t>
    </r>
    <r>
      <rPr>
        <sz val="10"/>
        <rFont val="Arial"/>
        <family val="0"/>
        <charset val="1"/>
      </rPr>
      <t xml:space="preserve">: </t>
    </r>
    <r>
      <rPr>
        <sz val="10"/>
        <rFont val="WenQuanYi Zen Hei"/>
        <family val="2"/>
      </rPr>
      <t xml:space="preserve">각 주인공이 자기 부 </t>
    </r>
    <r>
      <rPr>
        <sz val="10"/>
        <rFont val="Arial"/>
        <family val="0"/>
        <charset val="1"/>
      </rPr>
      <t xml:space="preserve">12</t>
    </r>
    <r>
      <rPr>
        <sz val="10"/>
        <rFont val="WenQuanYi Zen Hei"/>
        <family val="2"/>
      </rPr>
      <t xml:space="preserve">화 전부에 나오고</t>
    </r>
    <r>
      <rPr>
        <sz val="10"/>
        <rFont val="Arial"/>
        <family val="0"/>
        <charset val="1"/>
      </rPr>
      <t xml:space="preserve">, </t>
    </r>
    <r>
      <rPr>
        <sz val="10"/>
        <rFont val="WenQuanYi Zen Hei"/>
        <family val="2"/>
      </rPr>
      <t xml:space="preserve">다른 주력 </t>
    </r>
    <r>
      <rPr>
        <sz val="10"/>
        <rFont val="Arial"/>
        <family val="0"/>
        <charset val="1"/>
      </rPr>
      <t xml:space="preserve">3</t>
    </r>
    <r>
      <rPr>
        <sz val="10"/>
        <rFont val="WenQuanYi Zen Hei"/>
        <family val="2"/>
      </rPr>
      <t xml:space="preserve">인은 </t>
    </r>
    <r>
      <rPr>
        <sz val="10"/>
        <rFont val="Arial"/>
        <family val="0"/>
        <charset val="1"/>
      </rPr>
      <t xml:space="preserve">3</t>
    </r>
    <r>
      <rPr>
        <sz val="10"/>
        <rFont val="WenQuanYi Zen Hei"/>
        <family val="2"/>
      </rPr>
      <t xml:space="preserve">화씩 스쳐 지나가며 </t>
    </r>
    <r>
      <rPr>
        <sz val="10"/>
        <rFont val="Arial"/>
        <family val="0"/>
        <charset val="1"/>
      </rPr>
      <t xml:space="preserve">6</t>
    </r>
    <r>
      <rPr>
        <sz val="10"/>
        <rFont val="WenQuanYi Zen Hei"/>
        <family val="2"/>
      </rPr>
      <t xml:space="preserve">부 만남을 예고</t>
    </r>
    <r>
      <rPr>
        <sz val="10"/>
        <rFont val="Arial"/>
        <family val="0"/>
        <charset val="1"/>
      </rPr>
      <t xml:space="preserve">. Larissa</t>
    </r>
    <r>
      <rPr>
        <sz val="10"/>
        <rFont val="WenQuanYi Zen Hei"/>
        <family val="2"/>
      </rPr>
      <t xml:space="preserve">는 </t>
    </r>
    <r>
      <rPr>
        <sz val="10"/>
        <rFont val="Arial"/>
        <family val="0"/>
        <charset val="1"/>
      </rPr>
      <t xml:space="preserve">4</t>
    </r>
    <r>
      <rPr>
        <sz val="10"/>
        <rFont val="WenQuanYi Zen Hei"/>
        <family val="2"/>
      </rPr>
      <t xml:space="preserve">화씩 </t>
    </r>
    <r>
      <rPr>
        <sz val="10"/>
        <rFont val="Arial"/>
        <family val="0"/>
        <charset val="1"/>
      </rPr>
      <t xml:space="preserve">'</t>
    </r>
    <r>
      <rPr>
        <sz val="10"/>
        <rFont val="WenQuanYi Zen Hei"/>
        <family val="2"/>
      </rPr>
      <t xml:space="preserve">사무소에서 이야기를 듣는 프레임</t>
    </r>
    <r>
      <rPr>
        <sz val="10"/>
        <rFont val="Arial"/>
        <family val="0"/>
        <charset val="1"/>
      </rPr>
      <t xml:space="preserve">'</t>
    </r>
    <r>
      <rPr>
        <sz val="10"/>
        <rFont val="WenQuanYi Zen Hei"/>
        <family val="2"/>
      </rPr>
      <t xml:space="preserve">으로 등장해 회상을 잇는다</t>
    </r>
    <r>
      <rPr>
        <sz val="10"/>
        <rFont val="Arial"/>
        <family val="0"/>
        <charset val="1"/>
      </rPr>
      <t xml:space="preserve">.</t>
    </r>
  </si>
  <si>
    <r>
      <rPr>
        <sz val="10"/>
        <rFont val="Arial"/>
        <family val="0"/>
        <charset val="1"/>
      </rPr>
      <t xml:space="preserve">3. </t>
    </r>
    <r>
      <rPr>
        <sz val="10"/>
        <rFont val="WenQuanYi Zen Hei"/>
        <family val="2"/>
      </rPr>
      <t xml:space="preserve">자문단은 과거와 겹치는 곳에만 배치</t>
    </r>
    <r>
      <rPr>
        <sz val="10"/>
        <rFont val="Arial"/>
        <family val="0"/>
        <charset val="1"/>
      </rPr>
      <t xml:space="preserve">: Edson-5</t>
    </r>
    <r>
      <rPr>
        <sz val="10"/>
        <rFont val="WenQuanYi Zen Hei"/>
        <family val="2"/>
      </rPr>
      <t xml:space="preserve">부</t>
    </r>
    <r>
      <rPr>
        <sz val="10"/>
        <rFont val="Arial"/>
        <family val="0"/>
        <charset val="1"/>
      </rPr>
      <t xml:space="preserve">(Juliana</t>
    </r>
    <r>
      <rPr>
        <sz val="10"/>
        <rFont val="WenQuanYi Zen Hei"/>
        <family val="2"/>
      </rPr>
      <t xml:space="preserve">의 구조조정 현장</t>
    </r>
    <r>
      <rPr>
        <sz val="10"/>
        <rFont val="Arial"/>
        <family val="0"/>
        <charset val="1"/>
      </rPr>
      <t xml:space="preserve">), Sérgio·Dumont-4</t>
    </r>
    <r>
      <rPr>
        <sz val="10"/>
        <rFont val="WenQuanYi Zen Hei"/>
        <family val="2"/>
      </rPr>
      <t xml:space="preserve">부</t>
    </r>
    <r>
      <rPr>
        <sz val="10"/>
        <rFont val="Arial"/>
        <family val="0"/>
        <charset val="1"/>
      </rPr>
      <t xml:space="preserve">(Bruno</t>
    </r>
    <r>
      <rPr>
        <sz val="10"/>
        <rFont val="WenQuanYi Zen Hei"/>
        <family val="2"/>
      </rPr>
      <t xml:space="preserve">의 감사 사건</t>
    </r>
    <r>
      <rPr>
        <sz val="10"/>
        <rFont val="Arial"/>
        <family val="0"/>
        <charset val="1"/>
      </rPr>
      <t xml:space="preserve">), Isabel-3</t>
    </r>
    <r>
      <rPr>
        <sz val="10"/>
        <rFont val="WenQuanYi Zen Hei"/>
        <family val="2"/>
      </rPr>
      <t xml:space="preserve">부</t>
    </r>
    <r>
      <rPr>
        <sz val="10"/>
        <rFont val="Arial"/>
        <family val="0"/>
        <charset val="1"/>
      </rPr>
      <t xml:space="preserve">·5</t>
    </r>
    <r>
      <rPr>
        <sz val="10"/>
        <rFont val="WenQuanYi Zen Hei"/>
        <family val="2"/>
      </rPr>
      <t xml:space="preserve">부</t>
    </r>
    <r>
      <rPr>
        <sz val="10"/>
        <rFont val="Arial"/>
        <family val="0"/>
        <charset val="1"/>
      </rPr>
      <t xml:space="preserve">(</t>
    </r>
    <r>
      <rPr>
        <sz val="10"/>
        <rFont val="WenQuanYi Zen Hei"/>
        <family val="2"/>
      </rPr>
      <t xml:space="preserve">트라우마</t>
    </r>
    <r>
      <rPr>
        <sz val="10"/>
        <rFont val="Arial"/>
        <family val="0"/>
        <charset val="1"/>
      </rPr>
      <t xml:space="preserve">·</t>
    </r>
    <r>
      <rPr>
        <sz val="10"/>
        <rFont val="WenQuanYi Zen Hei"/>
        <family val="2"/>
      </rPr>
      <t xml:space="preserve">번아웃 상담</t>
    </r>
    <r>
      <rPr>
        <sz val="10"/>
        <rFont val="Arial"/>
        <family val="0"/>
        <charset val="1"/>
      </rPr>
      <t xml:space="preserve">).</t>
    </r>
  </si>
  <si>
    <r>
      <rPr>
        <sz val="10"/>
        <rFont val="Arial"/>
        <family val="0"/>
        <charset val="1"/>
      </rPr>
      <t xml:space="preserve">4. </t>
    </r>
    <r>
      <rPr>
        <sz val="10"/>
        <rFont val="WenQuanYi Zen Hei"/>
        <family val="2"/>
      </rPr>
      <t xml:space="preserve">자문단 본격 비중은 </t>
    </r>
    <r>
      <rPr>
        <sz val="10"/>
        <rFont val="Arial"/>
        <family val="0"/>
        <charset val="1"/>
      </rPr>
      <t xml:space="preserve">7~10</t>
    </r>
    <r>
      <rPr>
        <sz val="10"/>
        <rFont val="WenQuanYi Zen Hei"/>
        <family val="2"/>
      </rPr>
      <t xml:space="preserve">부에서 최고치</t>
    </r>
    <r>
      <rPr>
        <sz val="10"/>
        <rFont val="Arial"/>
        <family val="0"/>
        <charset val="1"/>
      </rPr>
      <t xml:space="preserve">: 7</t>
    </r>
    <r>
      <rPr>
        <sz val="10"/>
        <rFont val="WenQuanYi Zen Hei"/>
        <family val="2"/>
      </rPr>
      <t xml:space="preserve">부 </t>
    </r>
    <r>
      <rPr>
        <sz val="10"/>
        <rFont val="Arial"/>
        <family val="0"/>
        <charset val="1"/>
      </rPr>
      <t xml:space="preserve">Dumont·Edson(</t>
    </r>
    <r>
      <rPr>
        <sz val="10"/>
        <rFont val="WenQuanYi Zen Hei"/>
        <family val="2"/>
      </rPr>
      <t xml:space="preserve">공론화</t>
    </r>
    <r>
      <rPr>
        <sz val="10"/>
        <rFont val="Arial"/>
        <family val="0"/>
        <charset val="1"/>
      </rPr>
      <t xml:space="preserve">·</t>
    </r>
    <r>
      <rPr>
        <sz val="10"/>
        <rFont val="WenQuanYi Zen Hei"/>
        <family val="2"/>
      </rPr>
      <t xml:space="preserve">현장 조직</t>
    </r>
    <r>
      <rPr>
        <sz val="10"/>
        <rFont val="Arial"/>
        <family val="0"/>
        <charset val="1"/>
      </rPr>
      <t xml:space="preserve">), 8</t>
    </r>
    <r>
      <rPr>
        <sz val="10"/>
        <rFont val="WenQuanYi Zen Hei"/>
        <family val="2"/>
      </rPr>
      <t xml:space="preserve">부 </t>
    </r>
    <r>
      <rPr>
        <sz val="10"/>
        <rFont val="Arial"/>
        <family val="0"/>
        <charset val="1"/>
      </rPr>
      <t xml:space="preserve">Machado·Isabel·Zumbi(</t>
    </r>
    <r>
      <rPr>
        <sz val="10"/>
        <rFont val="WenQuanYi Zen Hei"/>
        <family val="2"/>
      </rPr>
      <t xml:space="preserve">선언문</t>
    </r>
    <r>
      <rPr>
        <sz val="10"/>
        <rFont val="Arial"/>
        <family val="0"/>
        <charset val="1"/>
      </rPr>
      <t xml:space="preserve">·</t>
    </r>
    <r>
      <rPr>
        <sz val="10"/>
        <rFont val="WenQuanYi Zen Hei"/>
        <family val="2"/>
      </rPr>
      <t xml:space="preserve">메시지</t>
    </r>
    <r>
      <rPr>
        <sz val="10"/>
        <rFont val="Arial"/>
        <family val="0"/>
        <charset val="1"/>
      </rPr>
      <t xml:space="preserve">·</t>
    </r>
    <r>
      <rPr>
        <sz val="10"/>
        <rFont val="WenQuanYi Zen Hei"/>
        <family val="2"/>
      </rPr>
      <t xml:space="preserve">캠프</t>
    </r>
    <r>
      <rPr>
        <sz val="10"/>
        <rFont val="Arial"/>
        <family val="0"/>
        <charset val="1"/>
      </rPr>
      <t xml:space="preserve">), 10</t>
    </r>
    <r>
      <rPr>
        <sz val="10"/>
        <rFont val="WenQuanYi Zen Hei"/>
        <family val="2"/>
      </rPr>
      <t xml:space="preserve">부 </t>
    </r>
    <r>
      <rPr>
        <sz val="10"/>
        <rFont val="Arial"/>
        <family val="0"/>
        <charset val="1"/>
      </rPr>
      <t xml:space="preserve">Machado·Dumont·Freire(</t>
    </r>
    <r>
      <rPr>
        <sz val="10"/>
        <rFont val="WenQuanYi Zen Hei"/>
        <family val="2"/>
      </rPr>
      <t xml:space="preserve">취임 연설</t>
    </r>
    <r>
      <rPr>
        <sz val="10"/>
        <rFont val="Arial"/>
        <family val="0"/>
        <charset val="1"/>
      </rPr>
      <t xml:space="preserve">·</t>
    </r>
    <r>
      <rPr>
        <sz val="10"/>
        <rFont val="WenQuanYi Zen Hei"/>
        <family val="2"/>
      </rPr>
      <t xml:space="preserve">딥페이크 대응</t>
    </r>
    <r>
      <rPr>
        <sz val="10"/>
        <rFont val="Arial"/>
        <family val="0"/>
        <charset val="1"/>
      </rPr>
      <t xml:space="preserve">·</t>
    </r>
    <r>
      <rPr>
        <sz val="10"/>
        <rFont val="WenQuanYi Zen Hei"/>
        <family val="2"/>
      </rPr>
      <t xml:space="preserve">출처</t>
    </r>
    <r>
      <rPr>
        <sz val="10"/>
        <rFont val="Arial"/>
        <family val="0"/>
        <charset val="1"/>
      </rPr>
      <t xml:space="preserve">).</t>
    </r>
  </si>
  <si>
    <r>
      <rPr>
        <sz val="10"/>
        <rFont val="Arial"/>
        <family val="0"/>
        <charset val="1"/>
      </rPr>
      <t xml:space="preserve">5. 11</t>
    </r>
    <r>
      <rPr>
        <sz val="10"/>
        <rFont val="WenQuanYi Zen Hei"/>
        <family val="2"/>
      </rPr>
      <t xml:space="preserve">부</t>
    </r>
    <r>
      <rPr>
        <sz val="10"/>
        <rFont val="Arial"/>
        <family val="0"/>
        <charset val="1"/>
      </rPr>
      <t xml:space="preserve">(</t>
    </r>
    <r>
      <rPr>
        <sz val="10"/>
        <rFont val="WenQuanYi Zen Hei"/>
        <family val="2"/>
      </rPr>
      <t xml:space="preserve">국정 </t>
    </r>
    <r>
      <rPr>
        <sz val="10"/>
        <rFont val="Arial"/>
        <family val="0"/>
        <charset val="1"/>
      </rPr>
      <t xml:space="preserve">I)</t>
    </r>
    <r>
      <rPr>
        <sz val="10"/>
        <rFont val="WenQuanYi Zen Hei"/>
        <family val="2"/>
      </rPr>
      <t xml:space="preserve">는 </t>
    </r>
    <r>
      <rPr>
        <sz val="10"/>
        <rFont val="Arial"/>
        <family val="0"/>
        <charset val="1"/>
      </rPr>
      <t xml:space="preserve">Dom Pedro</t>
    </r>
    <r>
      <rPr>
        <sz val="10"/>
        <rFont val="WenQuanYi Zen Hei"/>
        <family val="2"/>
      </rPr>
      <t xml:space="preserve">가 </t>
    </r>
    <r>
      <rPr>
        <sz val="10"/>
        <rFont val="Arial"/>
        <family val="0"/>
        <charset val="1"/>
      </rPr>
      <t xml:space="preserve">9~12</t>
    </r>
    <r>
      <rPr>
        <sz val="10"/>
        <rFont val="WenQuanYi Zen Hei"/>
        <family val="2"/>
      </rPr>
      <t xml:space="preserve">화에서 브뤼셀 직접 협상을 이끌며 최고치</t>
    </r>
    <r>
      <rPr>
        <sz val="10"/>
        <rFont val="Arial"/>
        <family val="0"/>
        <charset val="1"/>
      </rPr>
      <t xml:space="preserve">(9</t>
    </r>
    <r>
      <rPr>
        <sz val="10"/>
        <rFont val="WenQuanYi Zen Hei"/>
        <family val="2"/>
      </rPr>
      <t xml:space="preserve">화</t>
    </r>
    <r>
      <rPr>
        <sz val="10"/>
        <rFont val="Arial"/>
        <family val="0"/>
        <charset val="1"/>
      </rPr>
      <t xml:space="preserve">)</t>
    </r>
    <r>
      <rPr>
        <sz val="10"/>
        <rFont val="WenQuanYi Zen Hei"/>
        <family val="2"/>
      </rPr>
      <t xml:space="preserve">를 찍고 </t>
    </r>
    <r>
      <rPr>
        <sz val="10"/>
        <rFont val="Arial"/>
        <family val="0"/>
        <charset val="1"/>
      </rPr>
      <t xml:space="preserve">12</t>
    </r>
    <r>
      <rPr>
        <sz val="10"/>
        <rFont val="WenQuanYi Zen Hei"/>
        <family val="2"/>
      </rPr>
      <t xml:space="preserve">화에서 사망한다</t>
    </r>
    <r>
      <rPr>
        <sz val="10"/>
        <rFont val="Arial"/>
        <family val="0"/>
        <charset val="1"/>
      </rPr>
      <t xml:space="preserve">. Sérgio</t>
    </r>
    <r>
      <rPr>
        <sz val="10"/>
        <rFont val="WenQuanYi Zen Hei"/>
        <family val="2"/>
      </rPr>
      <t xml:space="preserve">는 앞선 주거</t>
    </r>
    <r>
      <rPr>
        <sz val="10"/>
        <rFont val="Arial"/>
        <family val="0"/>
        <charset val="1"/>
      </rPr>
      <t xml:space="preserve">·</t>
    </r>
    <r>
      <rPr>
        <sz val="10"/>
        <rFont val="WenQuanYi Zen Hei"/>
        <family val="2"/>
      </rPr>
      <t xml:space="preserve">금융 국내 현안 화에서 정점</t>
    </r>
    <r>
      <rPr>
        <sz val="10"/>
        <rFont val="Arial"/>
        <family val="0"/>
        <charset val="1"/>
      </rPr>
      <t xml:space="preserve">.</t>
    </r>
  </si>
  <si>
    <r>
      <rPr>
        <sz val="10"/>
        <rFont val="Arial"/>
        <family val="0"/>
        <charset val="1"/>
      </rPr>
      <t xml:space="preserve">6. 12</t>
    </r>
    <r>
      <rPr>
        <sz val="10"/>
        <rFont val="WenQuanYi Zen Hei"/>
        <family val="2"/>
      </rPr>
      <t xml:space="preserve">부</t>
    </r>
    <r>
      <rPr>
        <sz val="10"/>
        <rFont val="Arial"/>
        <family val="0"/>
        <charset val="1"/>
      </rPr>
      <t xml:space="preserve">(</t>
    </r>
    <r>
      <rPr>
        <sz val="10"/>
        <rFont val="WenQuanYi Zen Hei"/>
        <family val="2"/>
      </rPr>
      <t xml:space="preserve">국정 </t>
    </r>
    <r>
      <rPr>
        <sz val="10"/>
        <rFont val="Arial"/>
        <family val="0"/>
        <charset val="1"/>
      </rPr>
      <t xml:space="preserve">II)</t>
    </r>
    <r>
      <rPr>
        <sz val="10"/>
        <rFont val="WenQuanYi Zen Hei"/>
        <family val="2"/>
      </rPr>
      <t xml:space="preserve">는 </t>
    </r>
    <r>
      <rPr>
        <sz val="10"/>
        <rFont val="Arial"/>
        <family val="0"/>
        <charset val="1"/>
      </rPr>
      <t xml:space="preserve">Dom Pedro </t>
    </r>
    <r>
      <rPr>
        <sz val="10"/>
        <rFont val="WenQuanYi Zen Hei"/>
        <family val="2"/>
      </rPr>
      <t xml:space="preserve">사후</t>
    </r>
    <r>
      <rPr>
        <sz val="10"/>
        <rFont val="Arial"/>
        <family val="0"/>
        <charset val="1"/>
      </rPr>
      <t xml:space="preserve">: 1</t>
    </r>
    <r>
      <rPr>
        <sz val="10"/>
        <rFont val="WenQuanYi Zen Hei"/>
        <family val="2"/>
      </rPr>
      <t xml:space="preserve">화 장례식에서 </t>
    </r>
    <r>
      <rPr>
        <sz val="10"/>
        <rFont val="Arial"/>
        <family val="0"/>
        <charset val="1"/>
      </rPr>
      <t xml:space="preserve">Zumbi·Freire·Camila</t>
    </r>
    <r>
      <rPr>
        <sz val="10"/>
        <rFont val="WenQuanYi Zen Hei"/>
        <family val="2"/>
      </rPr>
      <t xml:space="preserve">가 몰리고</t>
    </r>
    <r>
      <rPr>
        <sz val="10"/>
        <rFont val="Arial"/>
        <family val="0"/>
        <charset val="1"/>
      </rPr>
      <t xml:space="preserve">, Bruno·Machado</t>
    </r>
    <r>
      <rPr>
        <sz val="10"/>
        <rFont val="WenQuanYi Zen Hei"/>
        <family val="2"/>
      </rPr>
      <t xml:space="preserve">가 유작 메모를 이어받는 </t>
    </r>
    <r>
      <rPr>
        <sz val="10"/>
        <rFont val="Arial"/>
        <family val="0"/>
        <charset val="1"/>
      </rPr>
      <t xml:space="preserve">3</t>
    </r>
    <r>
      <rPr>
        <sz val="10"/>
        <rFont val="WenQuanYi Zen Hei"/>
        <family val="2"/>
      </rPr>
      <t xml:space="preserve">화에서 비중이 오른다</t>
    </r>
    <r>
      <rPr>
        <sz val="10"/>
        <rFont val="Arial"/>
        <family val="0"/>
        <charset val="1"/>
      </rPr>
      <t xml:space="preserve">.</t>
    </r>
  </si>
  <si>
    <r>
      <rPr>
        <sz val="10"/>
        <rFont val="Arial"/>
        <family val="0"/>
        <charset val="1"/>
      </rPr>
      <t xml:space="preserve">7. 13</t>
    </r>
    <r>
      <rPr>
        <sz val="10"/>
        <rFont val="WenQuanYi Zen Hei"/>
        <family val="2"/>
      </rPr>
      <t xml:space="preserve">부</t>
    </r>
    <r>
      <rPr>
        <sz val="10"/>
        <rFont val="Arial"/>
        <family val="0"/>
        <charset val="1"/>
      </rPr>
      <t xml:space="preserve">(</t>
    </r>
    <r>
      <rPr>
        <sz val="10"/>
        <rFont val="WenQuanYi Zen Hei"/>
        <family val="2"/>
      </rPr>
      <t xml:space="preserve">귀환</t>
    </r>
    <r>
      <rPr>
        <sz val="10"/>
        <rFont val="Arial"/>
        <family val="0"/>
        <charset val="1"/>
      </rPr>
      <t xml:space="preserve">)</t>
    </r>
    <r>
      <rPr>
        <sz val="10"/>
        <rFont val="WenQuanYi Zen Hei"/>
        <family val="2"/>
      </rPr>
      <t xml:space="preserve">는 원형 구조</t>
    </r>
    <r>
      <rPr>
        <sz val="10"/>
        <rFont val="Arial"/>
        <family val="0"/>
        <charset val="1"/>
      </rPr>
      <t xml:space="preserve">: Larissa 12</t>
    </r>
    <r>
      <rPr>
        <sz val="10"/>
        <rFont val="WenQuanYi Zen Hei"/>
        <family val="2"/>
      </rPr>
      <t xml:space="preserve">화 전부</t>
    </r>
    <r>
      <rPr>
        <sz val="10"/>
        <rFont val="Arial"/>
        <family val="0"/>
        <charset val="1"/>
      </rPr>
      <t xml:space="preserve">, Marta 10</t>
    </r>
    <r>
      <rPr>
        <sz val="10"/>
        <rFont val="WenQuanYi Zen Hei"/>
        <family val="2"/>
      </rPr>
      <t xml:space="preserve">화</t>
    </r>
    <r>
      <rPr>
        <sz val="10"/>
        <rFont val="Arial"/>
        <family val="0"/>
        <charset val="1"/>
      </rPr>
      <t xml:space="preserve">. Dom Pedro</t>
    </r>
    <r>
      <rPr>
        <sz val="10"/>
        <rFont val="WenQuanYi Zen Hei"/>
        <family val="2"/>
      </rPr>
      <t xml:space="preserve">는 유언장</t>
    </r>
    <r>
      <rPr>
        <sz val="10"/>
        <rFont val="Arial"/>
        <family val="0"/>
        <charset val="1"/>
      </rPr>
      <t xml:space="preserve">·</t>
    </r>
    <r>
      <rPr>
        <sz val="10"/>
        <rFont val="WenQuanYi Zen Hei"/>
        <family val="2"/>
      </rPr>
      <t xml:space="preserve">회상으로 </t>
    </r>
    <r>
      <rPr>
        <sz val="10"/>
        <rFont val="Arial"/>
        <family val="0"/>
        <charset val="1"/>
      </rPr>
      <t xml:space="preserve">3</t>
    </r>
    <r>
      <rPr>
        <sz val="10"/>
        <rFont val="WenQuanYi Zen Hei"/>
        <family val="2"/>
      </rPr>
      <t xml:space="preserve">화</t>
    </r>
    <r>
      <rPr>
        <sz val="10"/>
        <rFont val="Arial"/>
        <family val="0"/>
        <charset val="1"/>
      </rPr>
      <t xml:space="preserve">, Rafael·Camila·Bruno·Juliana</t>
    </r>
    <r>
      <rPr>
        <sz val="10"/>
        <rFont val="WenQuanYi Zen Hei"/>
        <family val="2"/>
      </rPr>
      <t xml:space="preserve">는 목요일 밤 브라질리아에서 돌아온 손님으로 </t>
    </r>
    <r>
      <rPr>
        <sz val="10"/>
        <rFont val="Arial"/>
        <family val="0"/>
        <charset val="1"/>
      </rPr>
      <t xml:space="preserve">9~10</t>
    </r>
    <r>
      <rPr>
        <sz val="10"/>
        <rFont val="WenQuanYi Zen Hei"/>
        <family val="2"/>
      </rPr>
      <t xml:space="preserve">화 등장</t>
    </r>
    <r>
      <rPr>
        <sz val="10"/>
        <rFont val="Arial"/>
        <family val="0"/>
        <charset val="1"/>
      </rPr>
      <t xml:space="preserve">.</t>
    </r>
  </si>
  <si>
    <r>
      <rPr>
        <sz val="10"/>
        <rFont val="Arial"/>
        <family val="0"/>
        <charset val="1"/>
      </rPr>
      <t xml:space="preserve">8. Dom Pedro</t>
    </r>
    <r>
      <rPr>
        <sz val="10"/>
        <rFont val="WenQuanYi Zen Hei"/>
        <family val="2"/>
      </rPr>
      <t xml:space="preserve">는 </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t>
    </r>
    <r>
      <rPr>
        <sz val="10"/>
        <rFont val="WenQuanYi Zen Hei"/>
        <family val="2"/>
      </rPr>
      <t xml:space="preserve">브뤼셀 승리 직후</t>
    </r>
    <r>
      <rPr>
        <sz val="10"/>
        <rFont val="Arial"/>
        <family val="0"/>
        <charset val="1"/>
      </rPr>
      <t xml:space="preserve">, </t>
    </r>
    <r>
      <rPr>
        <sz val="10"/>
        <rFont val="WenQuanYi Zen Hei"/>
        <family val="2"/>
      </rPr>
      <t xml:space="preserve">귀국 직후</t>
    </r>
    <r>
      <rPr>
        <sz val="10"/>
        <rFont val="Arial"/>
        <family val="0"/>
        <charset val="1"/>
      </rPr>
      <t xml:space="preserve">)</t>
    </r>
    <r>
      <rPr>
        <sz val="10"/>
        <rFont val="WenQuanYi Zen Hei"/>
        <family val="2"/>
      </rPr>
      <t xml:space="preserve">에서 사망한다</t>
    </r>
    <r>
      <rPr>
        <sz val="10"/>
        <rFont val="Arial"/>
        <family val="0"/>
        <charset val="1"/>
      </rPr>
      <t xml:space="preserve">. 12</t>
    </r>
    <r>
      <rPr>
        <sz val="10"/>
        <rFont val="WenQuanYi Zen Hei"/>
        <family val="2"/>
      </rPr>
      <t xml:space="preserve">부 </t>
    </r>
    <r>
      <rPr>
        <sz val="10"/>
        <rFont val="Arial"/>
        <family val="0"/>
        <charset val="1"/>
      </rPr>
      <t xml:space="preserve">1</t>
    </r>
    <r>
      <rPr>
        <sz val="10"/>
        <rFont val="WenQuanYi Zen Hei"/>
        <family val="2"/>
      </rPr>
      <t xml:space="preserve">화 장례식</t>
    </r>
    <r>
      <rPr>
        <sz val="10"/>
        <rFont val="Arial"/>
        <family val="0"/>
        <charset val="1"/>
      </rPr>
      <t xml:space="preserve">, 2·3</t>
    </r>
    <r>
      <rPr>
        <sz val="10"/>
        <rFont val="WenQuanYi Zen Hei"/>
        <family val="2"/>
      </rPr>
      <t xml:space="preserve">화 유작 메모 승계</t>
    </r>
    <r>
      <rPr>
        <sz val="10"/>
        <rFont val="Arial"/>
        <family val="0"/>
        <charset val="1"/>
      </rPr>
      <t xml:space="preserve">, 13</t>
    </r>
    <r>
      <rPr>
        <sz val="10"/>
        <rFont val="WenQuanYi Zen Hei"/>
        <family val="2"/>
      </rPr>
      <t xml:space="preserve">부 </t>
    </r>
    <r>
      <rPr>
        <sz val="10"/>
        <rFont val="Arial"/>
        <family val="0"/>
        <charset val="1"/>
      </rPr>
      <t xml:space="preserve">2</t>
    </r>
    <r>
      <rPr>
        <sz val="10"/>
        <rFont val="WenQuanYi Zen Hei"/>
        <family val="2"/>
      </rPr>
      <t xml:space="preserve">화 유언장까지 이어진다</t>
    </r>
    <r>
      <rPr>
        <sz val="10"/>
        <rFont val="Arial"/>
        <family val="0"/>
        <charset val="1"/>
      </rPr>
      <t xml:space="preserve">.</t>
    </r>
  </si>
  <si>
    <r>
      <rPr>
        <sz val="10"/>
        <rFont val="Arial"/>
        <family val="0"/>
        <charset val="1"/>
      </rPr>
      <t xml:space="preserve">9. </t>
    </r>
    <r>
      <rPr>
        <sz val="10"/>
        <rFont val="WenQuanYi Zen Hei"/>
        <family val="2"/>
      </rPr>
      <t xml:space="preserve">등장 화 수와 대사량은 다르다</t>
    </r>
    <r>
      <rPr>
        <sz val="10"/>
        <rFont val="Arial"/>
        <family val="0"/>
        <charset val="1"/>
      </rPr>
      <t xml:space="preserve">: Larissa</t>
    </r>
    <r>
      <rPr>
        <sz val="10"/>
        <rFont val="WenQuanYi Zen Hei"/>
        <family val="2"/>
      </rPr>
      <t xml:space="preserve">는 약 </t>
    </r>
    <r>
      <rPr>
        <sz val="10"/>
        <rFont val="Arial"/>
        <family val="0"/>
        <charset val="1"/>
      </rPr>
      <t xml:space="preserve">67%</t>
    </r>
    <r>
      <rPr>
        <sz val="10"/>
        <rFont val="WenQuanYi Zen Hei"/>
        <family val="2"/>
      </rPr>
      <t xml:space="preserve">지만 문장이 짧아 대사량은 </t>
    </r>
    <r>
      <rPr>
        <sz val="10"/>
        <rFont val="Arial"/>
        <family val="0"/>
        <charset val="1"/>
      </rPr>
      <t xml:space="preserve">Rafael</t>
    </r>
    <r>
      <rPr>
        <sz val="10"/>
        <rFont val="WenQuanYi Zen Hei"/>
        <family val="2"/>
      </rPr>
      <t xml:space="preserve">의 절반 이하가 되게 하고</t>
    </r>
    <r>
      <rPr>
        <sz val="10"/>
        <rFont val="Arial"/>
        <family val="0"/>
        <charset val="1"/>
      </rPr>
      <t xml:space="preserve">, Dom Pedro·Machado</t>
    </r>
    <r>
      <rPr>
        <sz val="10"/>
        <rFont val="WenQuanYi Zen Hei"/>
        <family val="2"/>
      </rPr>
      <t xml:space="preserve">는 화당 대사가 길어도 된다</t>
    </r>
    <r>
      <rPr>
        <sz val="10"/>
        <rFont val="Arial"/>
        <family val="0"/>
        <charset val="1"/>
      </rPr>
      <t xml:space="preserve">.</t>
    </r>
  </si>
  <si>
    <r>
      <rPr>
        <sz val="10"/>
        <rFont val="Arial"/>
        <family val="0"/>
        <charset val="1"/>
      </rPr>
      <t xml:space="preserve">10. </t>
    </r>
    <r>
      <rPr>
        <sz val="10"/>
        <rFont val="WenQuanYi Zen Hei"/>
        <family val="2"/>
      </rPr>
      <t xml:space="preserve">조연 </t>
    </r>
    <r>
      <rPr>
        <sz val="10"/>
        <rFont val="Arial"/>
        <family val="0"/>
        <charset val="1"/>
      </rPr>
      <t xml:space="preserve">9</t>
    </r>
    <r>
      <rPr>
        <sz val="10"/>
        <rFont val="WenQuanYi Zen Hei"/>
        <family val="2"/>
      </rPr>
      <t xml:space="preserve">인은 화 전체의 중심이 되는 에피소드를 각자 </t>
    </r>
    <r>
      <rPr>
        <sz val="10"/>
        <rFont val="Arial"/>
        <family val="0"/>
        <charset val="1"/>
      </rPr>
      <t xml:space="preserve">2</t>
    </r>
    <r>
      <rPr>
        <sz val="10"/>
        <rFont val="WenQuanYi Zen Hei"/>
        <family val="2"/>
      </rPr>
      <t xml:space="preserve">개 이상 배정</t>
    </r>
    <r>
      <rPr>
        <sz val="10"/>
        <rFont val="Arial"/>
        <family val="0"/>
        <charset val="1"/>
      </rPr>
      <t xml:space="preserve">(S</t>
    </r>
    <r>
      <rPr>
        <sz val="10"/>
        <rFont val="WenQuanYi Zen Hei"/>
        <family val="2"/>
      </rPr>
      <t xml:space="preserve">열 목표</t>
    </r>
    <r>
      <rPr>
        <sz val="10"/>
        <rFont val="Arial"/>
        <family val="0"/>
        <charset val="1"/>
      </rPr>
      <t xml:space="preserve">). </t>
    </r>
    <r>
      <rPr>
        <sz val="10"/>
        <rFont val="WenQuanYi Zen Hei"/>
        <family val="2"/>
      </rPr>
      <t xml:space="preserve">자기 이야기가 한 번도 없으면 얇은 인물이 된다</t>
    </r>
    <r>
      <rPr>
        <sz val="10"/>
        <rFont val="Arial"/>
        <family val="0"/>
        <charset val="1"/>
      </rPr>
      <t xml:space="preserve">.</t>
    </r>
  </si>
  <si>
    <r>
      <rPr>
        <sz val="10"/>
        <rFont val="Arial"/>
        <family val="0"/>
        <charset val="1"/>
      </rPr>
      <t xml:space="preserve">11. Dumont·Isabel</t>
    </r>
    <r>
      <rPr>
        <sz val="10"/>
        <rFont val="WenQuanYi Zen Hei"/>
        <family val="2"/>
      </rPr>
      <t xml:space="preserve">이 가장 얇다</t>
    </r>
    <r>
      <rPr>
        <sz val="10"/>
        <rFont val="Arial"/>
        <family val="0"/>
        <charset val="1"/>
      </rPr>
      <t xml:space="preserve">(</t>
    </r>
    <r>
      <rPr>
        <sz val="10"/>
        <rFont val="WenQuanYi Zen Hei"/>
        <family val="2"/>
      </rPr>
      <t xml:space="preserve">약 </t>
    </r>
    <r>
      <rPr>
        <sz val="10"/>
        <rFont val="Arial"/>
        <family val="0"/>
        <charset val="1"/>
      </rPr>
      <t xml:space="preserve">35%): 7</t>
    </r>
    <r>
      <rPr>
        <sz val="10"/>
        <rFont val="WenQuanYi Zen Hei"/>
        <family val="2"/>
      </rPr>
      <t xml:space="preserve">부 공론화</t>
    </r>
    <r>
      <rPr>
        <sz val="10"/>
        <rFont val="Arial"/>
        <family val="0"/>
        <charset val="1"/>
      </rPr>
      <t xml:space="preserve">·10</t>
    </r>
    <r>
      <rPr>
        <sz val="10"/>
        <rFont val="WenQuanYi Zen Hei"/>
        <family val="2"/>
      </rPr>
      <t xml:space="preserve">부 딥페이크</t>
    </r>
    <r>
      <rPr>
        <sz val="10"/>
        <rFont val="Arial"/>
        <family val="0"/>
        <charset val="1"/>
      </rPr>
      <t xml:space="preserve">(Dumont), 3·5</t>
    </r>
    <r>
      <rPr>
        <sz val="10"/>
        <rFont val="WenQuanYi Zen Hei"/>
        <family val="2"/>
      </rPr>
      <t xml:space="preserve">부 상담과 </t>
    </r>
    <r>
      <rPr>
        <sz val="10"/>
        <rFont val="Arial"/>
        <family val="0"/>
        <charset val="1"/>
      </rPr>
      <t xml:space="preserve">12</t>
    </r>
    <r>
      <rPr>
        <sz val="10"/>
        <rFont val="WenQuanYi Zen Hei"/>
        <family val="2"/>
      </rPr>
      <t xml:space="preserve">부 청년 정신건강</t>
    </r>
    <r>
      <rPr>
        <sz val="10"/>
        <rFont val="Arial"/>
        <family val="0"/>
        <charset val="1"/>
      </rPr>
      <t xml:space="preserve">(Isabel)</t>
    </r>
    <r>
      <rPr>
        <sz val="10"/>
        <rFont val="WenQuanYi Zen Hei"/>
        <family val="2"/>
      </rPr>
      <t xml:space="preserve">을 늘려 서사를 넓히는 안을 검토</t>
    </r>
    <r>
      <rPr>
        <sz val="10"/>
        <rFont val="Arial"/>
        <family val="0"/>
        <charset val="1"/>
      </rPr>
      <t xml:space="preserve">.</t>
    </r>
  </si>
  <si>
    <t xml:space="preserve">대화량 설계: 화당 120턴</t>
  </si>
  <si>
    <t xml:space="preserve">한 화 = 대화 120턴. 점유율·평균 단어/턴·배율·낭독 속도는 가정값(파란 숫자)이며 수정하면 아래 표가 자동 갱신됩니다. (현재 표는 1~12부 열 기준 — 13부 열 추가는 미결)</t>
  </si>
  <si>
    <r>
      <rPr>
        <b val="true"/>
        <sz val="10"/>
        <rFont val="Arial"/>
        <family val="0"/>
        <charset val="1"/>
      </rPr>
      <t xml:space="preserve">1. </t>
    </r>
    <r>
      <rPr>
        <b val="true"/>
        <sz val="10"/>
        <rFont val="WenQuanYi Zen Hei"/>
        <family val="2"/>
      </rPr>
      <t xml:space="preserve">기본 설정</t>
    </r>
  </si>
  <si>
    <t xml:space="preserve">화당 대화 턴</t>
  </si>
  <si>
    <t xml:space="preserve">낭독 속도 (단어/분, 가정)</t>
  </si>
  <si>
    <t xml:space="preserve">총 대화 턴</t>
  </si>
  <si>
    <t xml:space="preserve">턴 정의</t>
  </si>
  <si>
    <t xml:space="preserve">화자 표기 한 줄 = 1턴 (화자가 바뀌면 새 턴). 연설·조항·기사 낭독처럼 긴 발화도 1턴으로 센다.</t>
  </si>
  <si>
    <r>
      <rPr>
        <b val="true"/>
        <sz val="10"/>
        <rFont val="Arial"/>
        <family val="0"/>
        <charset val="1"/>
      </rPr>
      <t xml:space="preserve">2. </t>
    </r>
    <r>
      <rPr>
        <b val="true"/>
        <sz val="10"/>
        <rFont val="WenQuanYi Zen Hei"/>
        <family val="2"/>
      </rPr>
      <t xml:space="preserve">부별 화자 점유율 </t>
    </r>
    <r>
      <rPr>
        <b val="true"/>
        <sz val="10"/>
        <rFont val="Arial"/>
        <family val="0"/>
        <charset val="1"/>
      </rPr>
      <t xml:space="preserve">(</t>
    </r>
    <r>
      <rPr>
        <b val="true"/>
        <sz val="10"/>
        <rFont val="WenQuanYi Zen Hei"/>
        <family val="2"/>
      </rPr>
      <t xml:space="preserve">턴 기준</t>
    </r>
    <r>
      <rPr>
        <b val="true"/>
        <sz val="10"/>
        <rFont val="Arial"/>
        <family val="0"/>
        <charset val="1"/>
      </rPr>
      <t xml:space="preserve">, </t>
    </r>
    <r>
      <rPr>
        <b val="true"/>
        <sz val="10"/>
        <rFont val="WenQuanYi Zen Hei"/>
        <family val="2"/>
      </rPr>
      <t xml:space="preserve">각 부의 합 </t>
    </r>
    <r>
      <rPr>
        <b val="true"/>
        <sz val="10"/>
        <rFont val="Arial"/>
        <family val="0"/>
        <charset val="1"/>
      </rPr>
      <t xml:space="preserve">= 100%)</t>
    </r>
  </si>
  <si>
    <t xml:space="preserve">인물</t>
  </si>
  <si>
    <t xml:space="preserve">평균
단어/턴</t>
  </si>
  <si>
    <r>
      <rPr>
        <b val="true"/>
        <sz val="10"/>
        <color rgb="FFFFFFFF"/>
        <rFont val="Arial"/>
        <family val="0"/>
        <charset val="1"/>
      </rPr>
      <t xml:space="preserve">1</t>
    </r>
    <r>
      <rPr>
        <b val="true"/>
        <sz val="10"/>
        <color rgb="FFFFFFFF"/>
        <rFont val="WenQuanYi Zen Hei"/>
        <family val="2"/>
      </rPr>
      <t xml:space="preserve">부</t>
    </r>
  </si>
  <si>
    <r>
      <rPr>
        <b val="true"/>
        <sz val="10"/>
        <color rgb="FFFFFFFF"/>
        <rFont val="Arial"/>
        <family val="0"/>
        <charset val="1"/>
      </rPr>
      <t xml:space="preserve">2</t>
    </r>
    <r>
      <rPr>
        <b val="true"/>
        <sz val="10"/>
        <color rgb="FFFFFFFF"/>
        <rFont val="WenQuanYi Zen Hei"/>
        <family val="2"/>
      </rPr>
      <t xml:space="preserve">부</t>
    </r>
  </si>
  <si>
    <r>
      <rPr>
        <b val="true"/>
        <sz val="10"/>
        <color rgb="FFFFFFFF"/>
        <rFont val="Arial"/>
        <family val="0"/>
        <charset val="1"/>
      </rPr>
      <t xml:space="preserve">3</t>
    </r>
    <r>
      <rPr>
        <b val="true"/>
        <sz val="10"/>
        <color rgb="FFFFFFFF"/>
        <rFont val="WenQuanYi Zen Hei"/>
        <family val="2"/>
      </rPr>
      <t xml:space="preserve">부</t>
    </r>
  </si>
  <si>
    <r>
      <rPr>
        <b val="true"/>
        <sz val="10"/>
        <color rgb="FFFFFFFF"/>
        <rFont val="Arial"/>
        <family val="0"/>
        <charset val="1"/>
      </rPr>
      <t xml:space="preserve">4</t>
    </r>
    <r>
      <rPr>
        <b val="true"/>
        <sz val="10"/>
        <color rgb="FFFFFFFF"/>
        <rFont val="WenQuanYi Zen Hei"/>
        <family val="2"/>
      </rPr>
      <t xml:space="preserve">부</t>
    </r>
  </si>
  <si>
    <r>
      <rPr>
        <b val="true"/>
        <sz val="10"/>
        <color rgb="FFFFFFFF"/>
        <rFont val="Arial"/>
        <family val="0"/>
        <charset val="1"/>
      </rPr>
      <t xml:space="preserve">5</t>
    </r>
    <r>
      <rPr>
        <b val="true"/>
        <sz val="10"/>
        <color rgb="FFFFFFFF"/>
        <rFont val="WenQuanYi Zen Hei"/>
        <family val="2"/>
      </rPr>
      <t xml:space="preserve">부</t>
    </r>
  </si>
  <si>
    <r>
      <rPr>
        <b val="true"/>
        <sz val="10"/>
        <color rgb="FFFFFFFF"/>
        <rFont val="Arial"/>
        <family val="0"/>
        <charset val="1"/>
      </rPr>
      <t xml:space="preserve">6</t>
    </r>
    <r>
      <rPr>
        <b val="true"/>
        <sz val="10"/>
        <color rgb="FFFFFFFF"/>
        <rFont val="WenQuanYi Zen Hei"/>
        <family val="2"/>
      </rPr>
      <t xml:space="preserve">부</t>
    </r>
  </si>
  <si>
    <r>
      <rPr>
        <b val="true"/>
        <sz val="10"/>
        <color rgb="FFFFFFFF"/>
        <rFont val="Arial"/>
        <family val="0"/>
        <charset val="1"/>
      </rPr>
      <t xml:space="preserve">7</t>
    </r>
    <r>
      <rPr>
        <b val="true"/>
        <sz val="10"/>
        <color rgb="FFFFFFFF"/>
        <rFont val="WenQuanYi Zen Hei"/>
        <family val="2"/>
      </rPr>
      <t xml:space="preserve">부</t>
    </r>
  </si>
  <si>
    <r>
      <rPr>
        <b val="true"/>
        <sz val="10"/>
        <color rgb="FFFFFFFF"/>
        <rFont val="Arial"/>
        <family val="0"/>
        <charset val="1"/>
      </rPr>
      <t xml:space="preserve">8</t>
    </r>
    <r>
      <rPr>
        <b val="true"/>
        <sz val="10"/>
        <color rgb="FFFFFFFF"/>
        <rFont val="WenQuanYi Zen Hei"/>
        <family val="2"/>
      </rPr>
      <t xml:space="preserve">부</t>
    </r>
  </si>
  <si>
    <r>
      <rPr>
        <b val="true"/>
        <sz val="10"/>
        <color rgb="FFFFFFFF"/>
        <rFont val="Arial"/>
        <family val="0"/>
        <charset val="1"/>
      </rPr>
      <t xml:space="preserve">9</t>
    </r>
    <r>
      <rPr>
        <b val="true"/>
        <sz val="10"/>
        <color rgb="FFFFFFFF"/>
        <rFont val="WenQuanYi Zen Hei"/>
        <family val="2"/>
      </rPr>
      <t xml:space="preserve">부</t>
    </r>
  </si>
  <si>
    <r>
      <rPr>
        <b val="true"/>
        <sz val="10"/>
        <color rgb="FFFFFFFF"/>
        <rFont val="Arial"/>
        <family val="0"/>
        <charset val="1"/>
      </rPr>
      <t xml:space="preserve">10</t>
    </r>
    <r>
      <rPr>
        <b val="true"/>
        <sz val="10"/>
        <color rgb="FFFFFFFF"/>
        <rFont val="WenQuanYi Zen Hei"/>
        <family val="2"/>
      </rPr>
      <t xml:space="preserve">부</t>
    </r>
  </si>
  <si>
    <r>
      <rPr>
        <b val="true"/>
        <sz val="10"/>
        <color rgb="FFFFFFFF"/>
        <rFont val="Arial"/>
        <family val="0"/>
        <charset val="1"/>
      </rPr>
      <t xml:space="preserve">11</t>
    </r>
    <r>
      <rPr>
        <b val="true"/>
        <sz val="10"/>
        <color rgb="FFFFFFFF"/>
        <rFont val="WenQuanYi Zen Hei"/>
        <family val="2"/>
      </rPr>
      <t xml:space="preserve">부</t>
    </r>
  </si>
  <si>
    <r>
      <rPr>
        <b val="true"/>
        <sz val="10"/>
        <color rgb="FFFFFFFF"/>
        <rFont val="Arial"/>
        <family val="0"/>
        <charset val="1"/>
      </rPr>
      <t xml:space="preserve">12</t>
    </r>
    <r>
      <rPr>
        <b val="true"/>
        <sz val="10"/>
        <color rgb="FFFFFFFF"/>
        <rFont val="WenQuanYi Zen Hei"/>
        <family val="2"/>
      </rPr>
      <t xml:space="preserve">부</t>
    </r>
  </si>
  <si>
    <t xml:space="preserve">엑스트라(가상)</t>
  </si>
  <si>
    <t xml:space="preserve">검증</t>
  </si>
  <si>
    <r>
      <rPr>
        <b val="true"/>
        <sz val="10"/>
        <rFont val="Arial"/>
        <family val="0"/>
        <charset val="1"/>
      </rPr>
      <t xml:space="preserve">3. </t>
    </r>
    <r>
      <rPr>
        <b val="true"/>
        <sz val="10"/>
        <rFont val="WenQuanYi Zen Hei"/>
        <family val="2"/>
      </rPr>
      <t xml:space="preserve">부별 턴</t>
    </r>
    <r>
      <rPr>
        <b val="true"/>
        <sz val="10"/>
        <rFont val="Arial"/>
        <family val="0"/>
        <charset val="1"/>
      </rPr>
      <t xml:space="preserve">·</t>
    </r>
    <r>
      <rPr>
        <b val="true"/>
        <sz val="10"/>
        <rFont val="WenQuanYi Zen Hei"/>
        <family val="2"/>
      </rPr>
      <t xml:space="preserve">단어</t>
    </r>
    <r>
      <rPr>
        <b val="true"/>
        <sz val="10"/>
        <rFont val="Arial"/>
        <family val="0"/>
        <charset val="1"/>
      </rPr>
      <t xml:space="preserve">·</t>
    </r>
    <r>
      <rPr>
        <b val="true"/>
        <sz val="10"/>
        <rFont val="WenQuanYi Zen Hei"/>
        <family val="2"/>
      </rPr>
      <t xml:space="preserve">낭독 시간 </t>
    </r>
    <r>
      <rPr>
        <b val="true"/>
        <sz val="10"/>
        <rFont val="Arial"/>
        <family val="0"/>
        <charset val="1"/>
      </rPr>
      <t xml:space="preserve">(</t>
    </r>
    <r>
      <rPr>
        <b val="true"/>
        <sz val="10"/>
        <rFont val="WenQuanYi Zen Hei"/>
        <family val="2"/>
      </rPr>
      <t xml:space="preserve">수식</t>
    </r>
    <r>
      <rPr>
        <b val="true"/>
        <sz val="10"/>
        <rFont val="Arial"/>
        <family val="0"/>
        <charset val="1"/>
      </rPr>
      <t xml:space="preserve">)</t>
    </r>
  </si>
  <si>
    <t xml:space="preserve">부</t>
  </si>
  <si>
    <t xml:space="preserve">난이도
배율</t>
  </si>
  <si>
    <t xml:space="preserve">화당 턴</t>
  </si>
  <si>
    <t xml:space="preserve">부 총 턴</t>
  </si>
  <si>
    <t xml:space="preserve">화당
단어</t>
  </si>
  <si>
    <t xml:space="preserve">부 총
단어</t>
  </si>
  <si>
    <t xml:space="preserve">화당 낭독
(분)</t>
  </si>
  <si>
    <t xml:space="preserve">부 총 낭독
(시간)</t>
  </si>
  <si>
    <r>
      <rPr>
        <b val="true"/>
        <sz val="10"/>
        <rFont val="Arial"/>
        <family val="0"/>
        <charset val="1"/>
      </rPr>
      <t xml:space="preserve">1</t>
    </r>
    <r>
      <rPr>
        <b val="true"/>
        <sz val="10"/>
        <rFont val="WenQuanYi Zen Hei"/>
        <family val="2"/>
      </rPr>
      <t xml:space="preserve">부</t>
    </r>
  </si>
  <si>
    <r>
      <rPr>
        <b val="true"/>
        <sz val="10"/>
        <rFont val="Arial"/>
        <family val="0"/>
        <charset val="1"/>
      </rPr>
      <t xml:space="preserve">2</t>
    </r>
    <r>
      <rPr>
        <b val="true"/>
        <sz val="10"/>
        <rFont val="WenQuanYi Zen Hei"/>
        <family val="2"/>
      </rPr>
      <t xml:space="preserve">부</t>
    </r>
  </si>
  <si>
    <r>
      <rPr>
        <b val="true"/>
        <sz val="10"/>
        <rFont val="Arial"/>
        <family val="0"/>
        <charset val="1"/>
      </rPr>
      <t xml:space="preserve">3</t>
    </r>
    <r>
      <rPr>
        <b val="true"/>
        <sz val="10"/>
        <rFont val="WenQuanYi Zen Hei"/>
        <family val="2"/>
      </rPr>
      <t xml:space="preserve">부</t>
    </r>
  </si>
  <si>
    <r>
      <rPr>
        <b val="true"/>
        <sz val="10"/>
        <rFont val="Arial"/>
        <family val="0"/>
        <charset val="1"/>
      </rPr>
      <t xml:space="preserve">4</t>
    </r>
    <r>
      <rPr>
        <b val="true"/>
        <sz val="10"/>
        <rFont val="WenQuanYi Zen Hei"/>
        <family val="2"/>
      </rPr>
      <t xml:space="preserve">부</t>
    </r>
  </si>
  <si>
    <r>
      <rPr>
        <b val="true"/>
        <sz val="10"/>
        <rFont val="Arial"/>
        <family val="0"/>
        <charset val="1"/>
      </rPr>
      <t xml:space="preserve">5</t>
    </r>
    <r>
      <rPr>
        <b val="true"/>
        <sz val="10"/>
        <rFont val="WenQuanYi Zen Hei"/>
        <family val="2"/>
      </rPr>
      <t xml:space="preserve">부</t>
    </r>
  </si>
  <si>
    <r>
      <rPr>
        <b val="true"/>
        <sz val="10"/>
        <rFont val="Arial"/>
        <family val="0"/>
        <charset val="1"/>
      </rPr>
      <t xml:space="preserve">6</t>
    </r>
    <r>
      <rPr>
        <b val="true"/>
        <sz val="10"/>
        <rFont val="WenQuanYi Zen Hei"/>
        <family val="2"/>
      </rPr>
      <t xml:space="preserve">부</t>
    </r>
  </si>
  <si>
    <r>
      <rPr>
        <b val="true"/>
        <sz val="10"/>
        <rFont val="Arial"/>
        <family val="0"/>
        <charset val="1"/>
      </rPr>
      <t xml:space="preserve">7</t>
    </r>
    <r>
      <rPr>
        <b val="true"/>
        <sz val="10"/>
        <rFont val="WenQuanYi Zen Hei"/>
        <family val="2"/>
      </rPr>
      <t xml:space="preserve">부</t>
    </r>
  </si>
  <si>
    <r>
      <rPr>
        <b val="true"/>
        <sz val="10"/>
        <rFont val="Arial"/>
        <family val="0"/>
        <charset val="1"/>
      </rPr>
      <t xml:space="preserve">8</t>
    </r>
    <r>
      <rPr>
        <b val="true"/>
        <sz val="10"/>
        <rFont val="WenQuanYi Zen Hei"/>
        <family val="2"/>
      </rPr>
      <t xml:space="preserve">부</t>
    </r>
  </si>
  <si>
    <r>
      <rPr>
        <b val="true"/>
        <sz val="10"/>
        <rFont val="Arial"/>
        <family val="0"/>
        <charset val="1"/>
      </rPr>
      <t xml:space="preserve">9</t>
    </r>
    <r>
      <rPr>
        <b val="true"/>
        <sz val="10"/>
        <rFont val="WenQuanYi Zen Hei"/>
        <family val="2"/>
      </rPr>
      <t xml:space="preserve">부</t>
    </r>
  </si>
  <si>
    <r>
      <rPr>
        <b val="true"/>
        <sz val="10"/>
        <rFont val="Arial"/>
        <family val="0"/>
        <charset val="1"/>
      </rPr>
      <t xml:space="preserve">10</t>
    </r>
    <r>
      <rPr>
        <b val="true"/>
        <sz val="10"/>
        <rFont val="WenQuanYi Zen Hei"/>
        <family val="2"/>
      </rPr>
      <t xml:space="preserve">부</t>
    </r>
  </si>
  <si>
    <r>
      <rPr>
        <b val="true"/>
        <sz val="10"/>
        <rFont val="Arial"/>
        <family val="0"/>
        <charset val="1"/>
      </rPr>
      <t xml:space="preserve">11</t>
    </r>
    <r>
      <rPr>
        <b val="true"/>
        <sz val="10"/>
        <rFont val="WenQuanYi Zen Hei"/>
        <family val="2"/>
      </rPr>
      <t xml:space="preserve">부</t>
    </r>
  </si>
  <si>
    <r>
      <rPr>
        <b val="true"/>
        <sz val="10"/>
        <rFont val="Arial"/>
        <family val="0"/>
        <charset val="1"/>
      </rPr>
      <t xml:space="preserve">12</t>
    </r>
    <r>
      <rPr>
        <b val="true"/>
        <sz val="10"/>
        <rFont val="WenQuanYi Zen Hei"/>
        <family val="2"/>
      </rPr>
      <t xml:space="preserve">부</t>
    </r>
  </si>
  <si>
    <t xml:space="preserve">전체</t>
  </si>
  <si>
    <t xml:space="preserve">※ 난이도 배율: 1·12부(B1~B2)는 짧게 0.8, 10~11부(C1~C2)는 길게 1.2. 화당 단어는 '평균 단어/턴 × 120턴', 낭독 시간은 낭독 속도로 환산한 추정치.</t>
  </si>
  <si>
    <r>
      <rPr>
        <b val="true"/>
        <sz val="10"/>
        <rFont val="Arial"/>
        <family val="0"/>
        <charset val="1"/>
      </rPr>
      <t xml:space="preserve">4. </t>
    </r>
    <r>
      <rPr>
        <b val="true"/>
        <sz val="10"/>
        <rFont val="WenQuanYi Zen Hei"/>
        <family val="2"/>
      </rPr>
      <t xml:space="preserve">화 유형별 턴 구성 </t>
    </r>
    <r>
      <rPr>
        <b val="true"/>
        <sz val="10"/>
        <rFont val="Arial"/>
        <family val="0"/>
        <charset val="1"/>
      </rPr>
      <t xml:space="preserve">(</t>
    </r>
    <r>
      <rPr>
        <b val="true"/>
        <sz val="10"/>
        <rFont val="WenQuanYi Zen Hei"/>
        <family val="2"/>
      </rPr>
      <t xml:space="preserve">합계 </t>
    </r>
    <r>
      <rPr>
        <b val="true"/>
        <sz val="10"/>
        <rFont val="Arial"/>
        <family val="0"/>
        <charset val="1"/>
      </rPr>
      <t xml:space="preserve">= </t>
    </r>
    <r>
      <rPr>
        <b val="true"/>
        <sz val="10"/>
        <rFont val="WenQuanYi Zen Hei"/>
        <family val="2"/>
      </rPr>
      <t xml:space="preserve">화당 </t>
    </r>
    <r>
      <rPr>
        <b val="true"/>
        <sz val="10"/>
        <rFont val="Arial"/>
        <family val="0"/>
        <charset val="1"/>
      </rPr>
      <t xml:space="preserve">120</t>
    </r>
    <r>
      <rPr>
        <b val="true"/>
        <sz val="10"/>
        <rFont val="WenQuanYi Zen Hei"/>
        <family val="2"/>
      </rPr>
      <t xml:space="preserve">턴</t>
    </r>
    <r>
      <rPr>
        <b val="true"/>
        <sz val="10"/>
        <rFont val="Arial"/>
        <family val="0"/>
        <charset val="1"/>
      </rPr>
      <t xml:space="preserve">)</t>
    </r>
  </si>
  <si>
    <t xml:space="preserve">화 유형</t>
  </si>
  <si>
    <t xml:space="preserve">도입</t>
  </si>
  <si>
    <t xml:space="preserve">장면 1</t>
  </si>
  <si>
    <t xml:space="preserve">장면 2</t>
  </si>
  <si>
    <t xml:space="preserve">절정·전환</t>
  </si>
  <si>
    <t xml:space="preserve">마무리</t>
  </si>
  <si>
    <t xml:space="preserve">적용</t>
  </si>
  <si>
    <t xml:space="preserve">일반 화</t>
  </si>
  <si>
    <t xml:space="preserve">발단·전개·위기 화 대부분</t>
  </si>
  <si>
    <t xml:space="preserve">프레임 화</t>
  </si>
  <si>
    <r>
      <rPr>
        <sz val="10"/>
        <rFont val="Arial"/>
        <family val="0"/>
        <charset val="1"/>
      </rPr>
      <t xml:space="preserve">2~5</t>
    </r>
    <r>
      <rPr>
        <sz val="10"/>
        <rFont val="WenQuanYi Zen Hei"/>
        <family val="2"/>
      </rPr>
      <t xml:space="preserve">부 </t>
    </r>
    <r>
      <rPr>
        <sz val="10"/>
        <rFont val="Arial"/>
        <family val="0"/>
        <charset val="1"/>
      </rPr>
      <t xml:space="preserve">1·5·9·12</t>
    </r>
    <r>
      <rPr>
        <sz val="10"/>
        <rFont val="WenQuanYi Zen Hei"/>
        <family val="2"/>
      </rPr>
      <t xml:space="preserve">화</t>
    </r>
    <r>
      <rPr>
        <sz val="10"/>
        <rFont val="Arial"/>
        <family val="0"/>
        <charset val="1"/>
      </rPr>
      <t xml:space="preserve">: </t>
    </r>
    <r>
      <rPr>
        <sz val="10"/>
        <rFont val="WenQuanYi Zen Hei"/>
        <family val="2"/>
      </rPr>
      <t xml:space="preserve">금요일 프레임</t>
    </r>
    <r>
      <rPr>
        <sz val="10"/>
        <rFont val="Arial"/>
        <family val="0"/>
        <charset val="1"/>
      </rPr>
      <t xml:space="preserve">(</t>
    </r>
    <r>
      <rPr>
        <sz val="10"/>
        <rFont val="WenQuanYi Zen Hei"/>
        <family val="2"/>
      </rPr>
      <t xml:space="preserve">도입</t>
    </r>
    <r>
      <rPr>
        <sz val="10"/>
        <rFont val="Arial"/>
        <family val="0"/>
        <charset val="1"/>
      </rPr>
      <t xml:space="preserve">·</t>
    </r>
    <r>
      <rPr>
        <sz val="10"/>
        <rFont val="WenQuanYi Zen Hei"/>
        <family val="2"/>
      </rPr>
      <t xml:space="preserve">마무리</t>
    </r>
    <r>
      <rPr>
        <sz val="10"/>
        <rFont val="Arial"/>
        <family val="0"/>
        <charset val="1"/>
      </rPr>
      <t xml:space="preserve">)</t>
    </r>
    <r>
      <rPr>
        <sz val="10"/>
        <rFont val="WenQuanYi Zen Hei"/>
        <family val="2"/>
      </rPr>
      <t xml:space="preserve">과 과거 장면</t>
    </r>
  </si>
  <si>
    <t xml:space="preserve">폭발·감정 정점 화</t>
  </si>
  <si>
    <r>
      <rPr>
        <sz val="10"/>
        <rFont val="Arial"/>
        <family val="0"/>
        <charset val="1"/>
      </rPr>
      <t xml:space="preserve">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9</t>
    </r>
    <r>
      <rPr>
        <sz val="10"/>
        <rFont val="WenQuanYi Zen Hei"/>
        <family val="2"/>
      </rPr>
      <t xml:space="preserve">부 </t>
    </r>
    <r>
      <rPr>
        <sz val="10"/>
        <rFont val="Arial"/>
        <family val="0"/>
        <charset val="1"/>
      </rPr>
      <t xml:space="preserve">6</t>
    </r>
    <r>
      <rPr>
        <sz val="10"/>
        <rFont val="WenQuanYi Zen Hei"/>
        <family val="2"/>
      </rPr>
      <t xml:space="preserve">화 등 인물의 감정이 터지는 화</t>
    </r>
  </si>
  <si>
    <t xml:space="preserve">표결·절차 화</t>
  </si>
  <si>
    <r>
      <rPr>
        <sz val="10"/>
        <rFont val="Arial"/>
        <family val="0"/>
        <charset val="1"/>
      </rPr>
      <t xml:space="preserve">10</t>
    </r>
    <r>
      <rPr>
        <sz val="10"/>
        <rFont val="WenQuanYi Zen Hei"/>
        <family val="2"/>
      </rPr>
      <t xml:space="preserve">부 </t>
    </r>
    <r>
      <rPr>
        <sz val="10"/>
        <rFont val="Arial"/>
        <family val="0"/>
        <charset val="1"/>
      </rPr>
      <t xml:space="preserve">4·10</t>
    </r>
    <r>
      <rPr>
        <sz val="10"/>
        <rFont val="WenQuanYi Zen Hei"/>
        <family val="2"/>
      </rPr>
      <t xml:space="preserve">화 대선 </t>
    </r>
    <r>
      <rPr>
        <sz val="10"/>
        <rFont val="Arial"/>
        <family val="0"/>
        <charset val="1"/>
      </rPr>
      <t xml:space="preserve">1</t>
    </r>
    <r>
      <rPr>
        <sz val="10"/>
        <rFont val="WenQuanYi Zen Hei"/>
        <family val="2"/>
      </rPr>
      <t xml:space="preserve">차</t>
    </r>
    <r>
      <rPr>
        <sz val="10"/>
        <rFont val="Arial"/>
        <family val="0"/>
        <charset val="1"/>
      </rPr>
      <t xml:space="preserve">·</t>
    </r>
    <r>
      <rPr>
        <sz val="10"/>
        <rFont val="WenQuanYi Zen Hei"/>
        <family val="2"/>
      </rPr>
      <t xml:space="preserve">결선 개표</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 탄핵 표결 </t>
    </r>
    <r>
      <rPr>
        <sz val="10"/>
        <rFont val="Arial"/>
        <family val="0"/>
        <charset val="1"/>
      </rPr>
      <t xml:space="preserve">(</t>
    </r>
    <r>
      <rPr>
        <sz val="10"/>
        <rFont val="WenQuanYi Zen Hei"/>
        <family val="2"/>
      </rPr>
      <t xml:space="preserve">선거법원장</t>
    </r>
    <r>
      <rPr>
        <sz val="10"/>
        <rFont val="Arial"/>
        <family val="0"/>
        <charset val="1"/>
      </rPr>
      <t xml:space="preserve">·</t>
    </r>
    <r>
      <rPr>
        <sz val="10"/>
        <rFont val="WenQuanYi Zen Hei"/>
        <family val="2"/>
      </rPr>
      <t xml:space="preserve">하원의장의 결과 낭독 포함</t>
    </r>
    <r>
      <rPr>
        <sz val="10"/>
        <rFont val="Arial"/>
        <family val="0"/>
        <charset val="1"/>
      </rPr>
      <t xml:space="preserve">)</t>
    </r>
  </si>
  <si>
    <t xml:space="preserve">재난·추도 화</t>
  </si>
  <si>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(Dom Pedro </t>
    </r>
    <r>
      <rPr>
        <sz val="10"/>
        <rFont val="WenQuanYi Zen Hei"/>
        <family val="2"/>
      </rPr>
      <t xml:space="preserve">죽음</t>
    </r>
    <r>
      <rPr>
        <sz val="10"/>
        <rFont val="Arial"/>
        <family val="0"/>
        <charset val="1"/>
      </rPr>
      <t xml:space="preserve">), 12</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대홍수</t>
    </r>
    <r>
      <rPr>
        <sz val="10"/>
        <rFont val="Arial"/>
        <family val="0"/>
        <charset val="1"/>
      </rPr>
      <t xml:space="preserve">)</t>
    </r>
  </si>
  <si>
    <t xml:space="preserve">원형·회고 화</t>
  </si>
  <si>
    <r>
      <rPr>
        <sz val="10"/>
        <rFont val="Arial"/>
        <family val="0"/>
        <charset val="1"/>
      </rPr>
      <t xml:space="preserve">13</t>
    </r>
    <r>
      <rPr>
        <sz val="10"/>
        <rFont val="WenQuanYi Zen Hei"/>
        <family val="2"/>
      </rPr>
      <t xml:space="preserve">부 </t>
    </r>
    <r>
      <rPr>
        <sz val="10"/>
        <rFont val="Arial"/>
        <family val="0"/>
        <charset val="1"/>
      </rPr>
      <t xml:space="preserve">1·11·12</t>
    </r>
    <r>
      <rPr>
        <sz val="10"/>
        <rFont val="WenQuanYi Zen Hei"/>
        <family val="2"/>
      </rPr>
      <t xml:space="preserve">화</t>
    </r>
    <r>
      <rPr>
        <sz val="10"/>
        <rFont val="Arial"/>
        <family val="0"/>
        <charset val="1"/>
      </rPr>
      <t xml:space="preserve">: 1</t>
    </r>
    <r>
      <rPr>
        <sz val="10"/>
        <rFont val="WenQuanYi Zen Hei"/>
        <family val="2"/>
      </rPr>
      <t xml:space="preserve">부 대사를 되풀이하고 마무리를 길게</t>
    </r>
  </si>
  <si>
    <r>
      <rPr>
        <b val="true"/>
        <sz val="10"/>
        <rFont val="Arial"/>
        <family val="0"/>
        <charset val="1"/>
      </rPr>
      <t xml:space="preserve">5. </t>
    </r>
    <r>
      <rPr>
        <b val="true"/>
        <sz val="10"/>
        <rFont val="WenQuanYi Zen Hei"/>
        <family val="2"/>
      </rPr>
      <t xml:space="preserve">집필 규칙</t>
    </r>
  </si>
  <si>
    <r>
      <rPr>
        <sz val="10"/>
        <rFont val="Arial"/>
        <family val="0"/>
        <charset val="1"/>
      </rPr>
      <t xml:space="preserve">1. 1</t>
    </r>
    <r>
      <rPr>
        <sz val="10"/>
        <rFont val="WenQuanYi Zen Hei"/>
        <family val="2"/>
      </rPr>
      <t xml:space="preserve">부는 한 턴 </t>
    </r>
    <r>
      <rPr>
        <sz val="10"/>
        <rFont val="Arial"/>
        <family val="0"/>
        <charset val="1"/>
      </rPr>
      <t xml:space="preserve">15</t>
    </r>
    <r>
      <rPr>
        <sz val="10"/>
        <rFont val="WenQuanYi Zen Hei"/>
        <family val="2"/>
      </rPr>
      <t xml:space="preserve">단어 이내를 지킨다</t>
    </r>
    <r>
      <rPr>
        <sz val="10"/>
        <rFont val="Arial"/>
        <family val="0"/>
        <charset val="1"/>
      </rPr>
      <t xml:space="preserve">. </t>
    </r>
    <r>
      <rPr>
        <sz val="10"/>
        <rFont val="WenQuanYi Zen Hei"/>
        <family val="2"/>
      </rPr>
      <t xml:space="preserve">연설</t>
    </r>
    <r>
      <rPr>
        <sz val="10"/>
        <rFont val="Arial"/>
        <family val="0"/>
        <charset val="1"/>
      </rPr>
      <t xml:space="preserve">·</t>
    </r>
    <r>
      <rPr>
        <sz val="10"/>
        <rFont val="WenQuanYi Zen Hei"/>
        <family val="2"/>
      </rPr>
      <t xml:space="preserve">조항</t>
    </r>
    <r>
      <rPr>
        <sz val="10"/>
        <rFont val="Arial"/>
        <family val="0"/>
        <charset val="1"/>
      </rPr>
      <t xml:space="preserve">·</t>
    </r>
    <r>
      <rPr>
        <sz val="10"/>
        <rFont val="WenQuanYi Zen Hei"/>
        <family val="2"/>
      </rPr>
      <t xml:space="preserve">기사</t>
    </r>
    <r>
      <rPr>
        <sz val="10"/>
        <rFont val="Arial"/>
        <family val="0"/>
        <charset val="1"/>
      </rPr>
      <t xml:space="preserve">·</t>
    </r>
    <r>
      <rPr>
        <sz val="10"/>
        <rFont val="WenQuanYi Zen Hei"/>
        <family val="2"/>
      </rPr>
      <t xml:space="preserve">카드처럼 긴 낭독은 예외로 두되 </t>
    </r>
    <r>
      <rPr>
        <sz val="10"/>
        <rFont val="Arial"/>
        <family val="0"/>
        <charset val="1"/>
      </rPr>
      <t xml:space="preserve">1</t>
    </r>
    <r>
      <rPr>
        <sz val="10"/>
        <rFont val="WenQuanYi Zen Hei"/>
        <family val="2"/>
      </rPr>
      <t xml:space="preserve">턴으로 세고</t>
    </r>
    <r>
      <rPr>
        <sz val="10"/>
        <rFont val="Arial"/>
        <family val="0"/>
        <charset val="1"/>
      </rPr>
      <t xml:space="preserve">, </t>
    </r>
    <r>
      <rPr>
        <sz val="10"/>
        <rFont val="WenQuanYi Zen Hei"/>
        <family val="2"/>
      </rPr>
      <t xml:space="preserve">화당 최대 </t>
    </r>
    <r>
      <rPr>
        <sz val="10"/>
        <rFont val="Arial"/>
        <family val="0"/>
        <charset val="1"/>
      </rPr>
      <t xml:space="preserve">3</t>
    </r>
    <r>
      <rPr>
        <sz val="10"/>
        <rFont val="WenQuanYi Zen Hei"/>
        <family val="2"/>
      </rPr>
      <t xml:space="preserve">개까지만 쓴다</t>
    </r>
    <r>
      <rPr>
        <sz val="10"/>
        <rFont val="Arial"/>
        <family val="0"/>
        <charset val="1"/>
      </rPr>
      <t xml:space="preserve">.</t>
    </r>
  </si>
  <si>
    <r>
      <rPr>
        <sz val="10"/>
        <rFont val="Arial"/>
        <family val="0"/>
        <charset val="1"/>
      </rPr>
      <t xml:space="preserve">2. </t>
    </r>
    <r>
      <rPr>
        <sz val="10"/>
        <rFont val="WenQuanYi Zen Hei"/>
        <family val="2"/>
      </rPr>
      <t xml:space="preserve">지문이 없으므로 장소</t>
    </r>
    <r>
      <rPr>
        <sz val="10"/>
        <rFont val="Arial"/>
        <family val="0"/>
        <charset val="1"/>
      </rPr>
      <t xml:space="preserve">·</t>
    </r>
    <r>
      <rPr>
        <sz val="10"/>
        <rFont val="WenQuanYi Zen Hei"/>
        <family val="2"/>
      </rPr>
      <t xml:space="preserve">시간</t>
    </r>
    <r>
      <rPr>
        <sz val="10"/>
        <rFont val="Arial"/>
        <family val="0"/>
        <charset val="1"/>
      </rPr>
      <t xml:space="preserve">·</t>
    </r>
    <r>
      <rPr>
        <sz val="10"/>
        <rFont val="WenQuanYi Zen Hei"/>
        <family val="2"/>
      </rPr>
      <t xml:space="preserve">행동을 알리는 턴이 화당 </t>
    </r>
    <r>
      <rPr>
        <sz val="10"/>
        <rFont val="Arial"/>
        <family val="0"/>
        <charset val="1"/>
      </rPr>
      <t xml:space="preserve">5~10</t>
    </r>
    <r>
      <rPr>
        <sz val="10"/>
        <rFont val="WenQuanYi Zen Hei"/>
        <family val="2"/>
      </rPr>
      <t xml:space="preserve">턴 필요하다 </t>
    </r>
    <r>
      <rPr>
        <sz val="10"/>
        <rFont val="Arial"/>
        <family val="0"/>
        <charset val="1"/>
      </rPr>
      <t xml:space="preserve">(Marta</t>
    </r>
    <r>
      <rPr>
        <sz val="10"/>
        <rFont val="WenQuanYi Zen Hei"/>
        <family val="2"/>
      </rPr>
      <t xml:space="preserve">의 시간 안내</t>
    </r>
    <r>
      <rPr>
        <sz val="10"/>
        <rFont val="Arial"/>
        <family val="0"/>
        <charset val="1"/>
      </rPr>
      <t xml:space="preserve">, Zumbi</t>
    </r>
    <r>
      <rPr>
        <sz val="10"/>
        <rFont val="WenQuanYi Zen Hei"/>
        <family val="2"/>
      </rPr>
      <t xml:space="preserve">의 보고</t>
    </r>
    <r>
      <rPr>
        <sz val="10"/>
        <rFont val="Arial"/>
        <family val="0"/>
        <charset val="1"/>
      </rPr>
      <t xml:space="preserve">, </t>
    </r>
    <r>
      <rPr>
        <sz val="10"/>
        <rFont val="WenQuanYi Zen Hei"/>
        <family val="2"/>
      </rPr>
      <t xml:space="preserve">의장의 결과 낭독 등</t>
    </r>
    <r>
      <rPr>
        <sz val="10"/>
        <rFont val="Arial"/>
        <family val="0"/>
        <charset val="1"/>
      </rPr>
      <t xml:space="preserve">).</t>
    </r>
  </si>
  <si>
    <r>
      <rPr>
        <sz val="10"/>
        <rFont val="Arial"/>
        <family val="0"/>
        <charset val="1"/>
      </rPr>
      <t xml:space="preserve">3. Larissa</t>
    </r>
    <r>
      <rPr>
        <sz val="10"/>
        <rFont val="WenQuanYi Zen Hei"/>
        <family val="2"/>
      </rPr>
      <t xml:space="preserve">의 질문 → 쉬운 재설명 짝은 화당 </t>
    </r>
    <r>
      <rPr>
        <sz val="10"/>
        <rFont val="Arial"/>
        <family val="0"/>
        <charset val="1"/>
      </rPr>
      <t xml:space="preserve">3~6</t>
    </r>
    <r>
      <rPr>
        <sz val="10"/>
        <rFont val="WenQuanYi Zen Hei"/>
        <family val="2"/>
      </rPr>
      <t xml:space="preserve">쌍</t>
    </r>
    <r>
      <rPr>
        <sz val="10"/>
        <rFont val="Arial"/>
        <family val="0"/>
        <charset val="1"/>
      </rPr>
      <t xml:space="preserve">(6~12</t>
    </r>
    <r>
      <rPr>
        <sz val="10"/>
        <rFont val="WenQuanYi Zen Hei"/>
        <family val="2"/>
      </rPr>
      <t xml:space="preserve">턴</t>
    </r>
    <r>
      <rPr>
        <sz val="10"/>
        <rFont val="Arial"/>
        <family val="0"/>
        <charset val="1"/>
      </rPr>
      <t xml:space="preserve">)</t>
    </r>
    <r>
      <rPr>
        <sz val="10"/>
        <rFont val="WenQuanYi Zen Hei"/>
        <family val="2"/>
      </rPr>
      <t xml:space="preserve">을 기본으로 한다</t>
    </r>
    <r>
      <rPr>
        <sz val="10"/>
        <rFont val="Arial"/>
        <family val="0"/>
        <charset val="1"/>
      </rPr>
      <t xml:space="preserve">. </t>
    </r>
    <r>
      <rPr>
        <sz val="10"/>
        <rFont val="WenQuanYi Zen Hei"/>
        <family val="2"/>
      </rPr>
      <t xml:space="preserve">어려운 용어를 도입할 때 반드시 사용한다</t>
    </r>
    <r>
      <rPr>
        <sz val="10"/>
        <rFont val="Arial"/>
        <family val="0"/>
        <charset val="1"/>
      </rPr>
      <t xml:space="preserve">.</t>
    </r>
  </si>
  <si>
    <r>
      <rPr>
        <sz val="10"/>
        <rFont val="Arial"/>
        <family val="0"/>
        <charset val="1"/>
      </rPr>
      <t xml:space="preserve">4. </t>
    </r>
    <r>
      <rPr>
        <sz val="10"/>
        <rFont val="WenQuanYi Zen Hei"/>
        <family val="2"/>
      </rPr>
      <t xml:space="preserve">시그니처 표현은 화자당 </t>
    </r>
    <r>
      <rPr>
        <sz val="10"/>
        <rFont val="Arial"/>
        <family val="0"/>
        <charset val="1"/>
      </rPr>
      <t xml:space="preserve">1~2</t>
    </r>
    <r>
      <rPr>
        <sz val="10"/>
        <rFont val="WenQuanYi Zen Hei"/>
        <family val="2"/>
      </rPr>
      <t xml:space="preserve">회</t>
    </r>
    <r>
      <rPr>
        <sz val="10"/>
        <rFont val="Arial"/>
        <family val="0"/>
        <charset val="1"/>
      </rPr>
      <t xml:space="preserve">. 120</t>
    </r>
    <r>
      <rPr>
        <sz val="10"/>
        <rFont val="WenQuanYi Zen Hei"/>
        <family val="2"/>
      </rPr>
      <t xml:space="preserve">턴 안에서 같은 시그니처가 반복되지 않게 배분한다</t>
    </r>
    <r>
      <rPr>
        <sz val="10"/>
        <rFont val="Arial"/>
        <family val="0"/>
        <charset val="1"/>
      </rPr>
      <t xml:space="preserve">.</t>
    </r>
  </si>
  <si>
    <r>
      <rPr>
        <sz val="10"/>
        <rFont val="Arial"/>
        <family val="0"/>
        <charset val="1"/>
      </rPr>
      <t xml:space="preserve">5. </t>
    </r>
    <r>
      <rPr>
        <sz val="10"/>
        <rFont val="WenQuanYi Zen Hei"/>
        <family val="2"/>
      </rPr>
      <t xml:space="preserve">화자 점유율은 턴 수 기준이다</t>
    </r>
    <r>
      <rPr>
        <sz val="10"/>
        <rFont val="Arial"/>
        <family val="0"/>
        <charset val="1"/>
      </rPr>
      <t xml:space="preserve">. Larissa</t>
    </r>
    <r>
      <rPr>
        <sz val="10"/>
        <rFont val="WenQuanYi Zen Hei"/>
        <family val="2"/>
      </rPr>
      <t xml:space="preserve">처럼 턴은 많지만 짧게 말하는 인물은 평균 단어</t>
    </r>
    <r>
      <rPr>
        <sz val="10"/>
        <rFont val="Arial"/>
        <family val="0"/>
        <charset val="1"/>
      </rPr>
      <t xml:space="preserve">/</t>
    </r>
    <r>
      <rPr>
        <sz val="10"/>
        <rFont val="WenQuanYi Zen Hei"/>
        <family val="2"/>
      </rPr>
      <t xml:space="preserve">턴을 낮게 잡았다</t>
    </r>
    <r>
      <rPr>
        <sz val="10"/>
        <rFont val="Arial"/>
        <family val="0"/>
        <charset val="1"/>
      </rPr>
      <t xml:space="preserve">.</t>
    </r>
  </si>
  <si>
    <r>
      <rPr>
        <sz val="10"/>
        <rFont val="Arial"/>
        <family val="0"/>
        <charset val="1"/>
      </rPr>
      <t xml:space="preserve">6. </t>
    </r>
    <r>
      <rPr>
        <sz val="10"/>
        <rFont val="WenQuanYi Zen Hei"/>
        <family val="2"/>
      </rPr>
      <t xml:space="preserve">표의 파란 숫자는 가정값이다</t>
    </r>
    <r>
      <rPr>
        <sz val="10"/>
        <rFont val="Arial"/>
        <family val="0"/>
        <charset val="1"/>
      </rPr>
      <t xml:space="preserve">. 1</t>
    </r>
    <r>
      <rPr>
        <sz val="10"/>
        <rFont val="WenQuanYi Zen Hei"/>
        <family val="2"/>
      </rPr>
      <t xml:space="preserve">부 </t>
    </r>
    <r>
      <rPr>
        <sz val="10"/>
        <rFont val="Arial"/>
        <family val="0"/>
        <charset val="1"/>
      </rPr>
      <t xml:space="preserve">1~3</t>
    </r>
    <r>
      <rPr>
        <sz val="10"/>
        <rFont val="WenQuanYi Zen Hei"/>
        <family val="2"/>
      </rPr>
      <t xml:space="preserve">화 대본을 쓴 뒤 실제 턴</t>
    </r>
    <r>
      <rPr>
        <sz val="10"/>
        <rFont val="Arial"/>
        <family val="0"/>
        <charset val="1"/>
      </rPr>
      <t xml:space="preserve">·</t>
    </r>
    <r>
      <rPr>
        <sz val="10"/>
        <rFont val="WenQuanYi Zen Hei"/>
        <family val="2"/>
      </rPr>
      <t xml:space="preserve">단어 수를 재서 점유율과 평균 단어</t>
    </r>
    <r>
      <rPr>
        <sz val="10"/>
        <rFont val="Arial"/>
        <family val="0"/>
        <charset val="1"/>
      </rPr>
      <t xml:space="preserve">/</t>
    </r>
    <r>
      <rPr>
        <sz val="10"/>
        <rFont val="WenQuanYi Zen Hei"/>
        <family val="2"/>
      </rPr>
      <t xml:space="preserve">턴을 교정한다</t>
    </r>
    <r>
      <rPr>
        <sz val="10"/>
        <rFont val="Arial"/>
        <family val="0"/>
        <charset val="1"/>
      </rPr>
      <t xml:space="preserve">.</t>
    </r>
  </si>
  <si>
    <r>
      <rPr>
        <b val="true"/>
        <sz val="14"/>
        <color rgb="FF1F3864"/>
        <rFont val="Arial"/>
        <family val="0"/>
        <charset val="1"/>
      </rPr>
      <t xml:space="preserve">13</t>
    </r>
    <r>
      <rPr>
        <b val="true"/>
        <sz val="14"/>
        <color rgb="FF1F3864"/>
        <rFont val="WenQuanYi Zen Hei"/>
        <family val="2"/>
      </rPr>
      <t xml:space="preserve">부 구성 </t>
    </r>
    <r>
      <rPr>
        <b val="true"/>
        <sz val="14"/>
        <color rgb="FF1F3864"/>
        <rFont val="Arial"/>
        <family val="0"/>
        <charset val="1"/>
      </rPr>
      <t xml:space="preserve">(13</t>
    </r>
    <r>
      <rPr>
        <b val="true"/>
        <sz val="14"/>
        <color rgb="FF1F3864"/>
        <rFont val="WenQuanYi Zen Hei"/>
        <family val="2"/>
      </rPr>
      <t xml:space="preserve">부 </t>
    </r>
    <r>
      <rPr>
        <b val="true"/>
        <sz val="14"/>
        <color rgb="FF1F3864"/>
        <rFont val="Arial"/>
        <family val="0"/>
        <charset val="1"/>
      </rPr>
      <t xml:space="preserve">× 12</t>
    </r>
    <r>
      <rPr>
        <b val="true"/>
        <sz val="14"/>
        <color rgb="FF1F3864"/>
        <rFont val="WenQuanYi Zen Hei"/>
        <family val="2"/>
      </rPr>
      <t xml:space="preserve">화 </t>
    </r>
    <r>
      <rPr>
        <b val="true"/>
        <sz val="14"/>
        <color rgb="FF1F3864"/>
        <rFont val="Arial"/>
        <family val="0"/>
        <charset val="1"/>
      </rPr>
      <t xml:space="preserve">= 156</t>
    </r>
    <r>
      <rPr>
        <b val="true"/>
        <sz val="14"/>
        <color rgb="FF1F3864"/>
        <rFont val="WenQuanYi Zen Hei"/>
        <family val="2"/>
      </rPr>
      <t xml:space="preserve">화</t>
    </r>
    <r>
      <rPr>
        <b val="true"/>
        <sz val="14"/>
        <color rgb="FF1F3864"/>
        <rFont val="Arial"/>
        <family val="0"/>
        <charset val="1"/>
      </rPr>
      <t xml:space="preserve">)</t>
    </r>
  </si>
  <si>
    <t xml:space="preserve">정치 파트(8~12부)는 브라질의 현실 정치 제도(대통령제·연방제·개방형 명부)에 맞춰 재설계했습니다. 화별 목차는 '화별목차_전체', 제도 근거는 '정치제도' 시트.</t>
  </si>
  <si>
    <t xml:space="preserve">제목 (PT-BR)</t>
  </si>
  <si>
    <t xml:space="preserve">한국어</t>
  </si>
  <si>
    <t xml:space="preserve">배경</t>
  </si>
  <si>
    <t xml:space="preserve">핵심 내용</t>
  </si>
  <si>
    <t xml:space="preserve">난이도
(CEFR)</t>
  </si>
  <si>
    <t xml:space="preserve">반영 제도·전문 영역</t>
  </si>
  <si>
    <t xml:space="preserve">시점</t>
  </si>
  <si>
    <t xml:space="preserve">O Escritório do Bixiga</t>
  </si>
  <si>
    <t xml:space="preserve">비시가 사무소</t>
  </si>
  <si>
    <r>
      <rPr>
        <sz val="10"/>
        <rFont val="Arial"/>
        <family val="0"/>
        <charset val="1"/>
      </rPr>
      <t xml:space="preserve">Bixiga</t>
    </r>
    <r>
      <rPr>
        <sz val="10"/>
        <rFont val="WenQuanYi Zen Hei"/>
        <family val="2"/>
      </rPr>
      <t xml:space="preserve">의 작은 사무실 </t>
    </r>
    <r>
      <rPr>
        <sz val="10"/>
        <rFont val="Arial"/>
        <family val="0"/>
        <charset val="1"/>
      </rPr>
      <t xml:space="preserve">(1</t>
    </r>
    <r>
      <rPr>
        <sz val="10"/>
        <rFont val="WenQuanYi Zen Hei"/>
        <family val="2"/>
      </rPr>
      <t xml:space="preserve">층은 </t>
    </r>
    <r>
      <rPr>
        <sz val="10"/>
        <rFont val="Arial"/>
        <family val="0"/>
        <charset val="1"/>
      </rPr>
      <t xml:space="preserve">Bar da Marta), </t>
    </r>
    <r>
      <rPr>
        <sz val="10"/>
        <rFont val="WenQuanYi Zen Hei"/>
        <family val="2"/>
      </rPr>
      <t xml:space="preserve">개소 </t>
    </r>
    <r>
      <rPr>
        <sz val="10"/>
        <rFont val="Arial"/>
        <family val="0"/>
        <charset val="1"/>
      </rPr>
      <t xml:space="preserve">1</t>
    </r>
    <r>
      <rPr>
        <sz val="10"/>
        <rFont val="WenQuanYi Zen Hei"/>
        <family val="2"/>
      </rPr>
      <t xml:space="preserve">개월 후</t>
    </r>
  </si>
  <si>
    <t xml:space="preserve">이미 한 달째 좌충우돌 중인 팀이 이웃들의 사건 6개를 2화씩(도입→해결) 풀어 간다. 자기소개 대신 '이 사람들이 어쩌다 이렇게 됐지?' 하는 궁금증(In medias res)으로 시작.</t>
  </si>
  <si>
    <t xml:space="preserve">B1</t>
  </si>
  <si>
    <t xml:space="preserve">생활 법률·노동·의료·금융 기초 어휘(임대차법, 인턴법, SUS, Pix), 반복되는 말다툼, Larissa 1차 폭발(6화)</t>
  </si>
  <si>
    <t xml:space="preserve">현재(개소 후 1개월)</t>
  </si>
  <si>
    <t xml:space="preserve">O Advogado</t>
  </si>
  <si>
    <t xml:space="preserve">변호사</t>
  </si>
  <si>
    <r>
      <rPr>
        <sz val="10"/>
        <rFont val="Arial"/>
        <family val="0"/>
        <charset val="1"/>
      </rPr>
      <t xml:space="preserve">Avenida Faria Lima</t>
    </r>
    <r>
      <rPr>
        <sz val="10"/>
        <rFont val="WenQuanYi Zen Hei"/>
        <family val="2"/>
      </rPr>
      <t xml:space="preserve">의 대형 로펌</t>
    </r>
  </si>
  <si>
    <t xml:space="preserve">승소율 100%의 이면: 강제 퇴거 사건이 Rafael의 결핍이 된다.</t>
  </si>
  <si>
    <t xml:space="preserve">B2~C1</t>
  </si>
  <si>
    <t xml:space="preserve">민사소송, 퇴거 절차(임대차법·CPC), 부동산 등기</t>
  </si>
  <si>
    <t xml:space="preserve">과거</t>
  </si>
  <si>
    <t xml:space="preserve">A Médica</t>
  </si>
  <si>
    <t xml:space="preserve">의사</t>
  </si>
  <si>
    <r>
      <rPr>
        <sz val="10"/>
        <rFont val="Arial"/>
        <family val="0"/>
        <charset val="1"/>
      </rPr>
      <t xml:space="preserve">Hospital Municipal São Bartolomeu </t>
    </r>
    <r>
      <rPr>
        <sz val="10"/>
        <rFont val="WenQuanYi Zen Hei"/>
        <family val="2"/>
      </rPr>
      <t xml:space="preserve">응급실 </t>
    </r>
    <r>
      <rPr>
        <sz val="10"/>
        <rFont val="Arial"/>
        <family val="0"/>
        <charset val="1"/>
      </rPr>
      <t xml:space="preserve">(</t>
    </r>
    <r>
      <rPr>
        <sz val="10"/>
        <rFont val="WenQuanYi Zen Hei"/>
        <family val="2"/>
      </rPr>
      <t xml:space="preserve">가상</t>
    </r>
    <r>
      <rPr>
        <sz val="10"/>
        <rFont val="Arial"/>
        <family val="0"/>
        <charset val="1"/>
      </rPr>
      <t xml:space="preserve">, OSS </t>
    </r>
    <r>
      <rPr>
        <sz val="10"/>
        <rFont val="WenQuanYi Zen Hei"/>
        <family val="2"/>
      </rPr>
      <t xml:space="preserve">위탁</t>
    </r>
    <r>
      <rPr>
        <sz val="10"/>
        <rFont val="Arial"/>
        <family val="0"/>
        <charset val="1"/>
      </rPr>
      <t xml:space="preserve">)</t>
    </r>
  </si>
  <si>
    <t xml:space="preserve">예산 삭감과 위탁 운영 압박 속에서 치료받지 못하는 환자들. Camila의 이름 목록.</t>
  </si>
  <si>
    <t xml:space="preserve">응급의학·보건행정, SUS와 시 보건국, 사회조직 위탁 운영(OSS)</t>
  </si>
  <si>
    <t xml:space="preserve">O Auditor</t>
  </si>
  <si>
    <t xml:space="preserve">회계사</t>
  </si>
  <si>
    <r>
      <rPr>
        <sz val="10"/>
        <rFont val="Arial"/>
        <family val="0"/>
        <charset val="1"/>
      </rPr>
      <t xml:space="preserve">Barros &amp; Teixeira Auditores (</t>
    </r>
    <r>
      <rPr>
        <sz val="10"/>
        <rFont val="WenQuanYi Zen Hei"/>
        <family val="2"/>
      </rPr>
      <t xml:space="preserve">가상</t>
    </r>
    <r>
      <rPr>
        <sz val="10"/>
        <rFont val="Arial"/>
        <family val="0"/>
        <charset val="1"/>
      </rPr>
      <t xml:space="preserve">)</t>
    </r>
  </si>
  <si>
    <t xml:space="preserve">역외 펀드·자금세탁 정황을 발견하지만 조직의 묵인 압박. 서명하지 않겠다는 다짐의 기원.</t>
  </si>
  <si>
    <t xml:space="preserve">감사·세무, 자금세탁방지법(Lei 9.613/1998), 감사인 순환(CVM)</t>
  </si>
  <si>
    <t xml:space="preserve">A Consultora</t>
  </si>
  <si>
    <t xml:space="preserve">컨설턴트</t>
  </si>
  <si>
    <r>
      <rPr>
        <sz val="10"/>
        <rFont val="Arial"/>
        <family val="0"/>
        <charset val="1"/>
      </rPr>
      <t xml:space="preserve">Zênite Consultoria (</t>
    </r>
    <r>
      <rPr>
        <sz val="10"/>
        <rFont val="WenQuanYi Zen Hei"/>
        <family val="2"/>
      </rPr>
      <t xml:space="preserve">가상</t>
    </r>
    <r>
      <rPr>
        <sz val="10"/>
        <rFont val="Arial"/>
        <family val="0"/>
        <charset val="1"/>
      </rPr>
      <t xml:space="preserve">), Faria Lima 32</t>
    </r>
    <r>
      <rPr>
        <sz val="10"/>
        <rFont val="WenQuanYi Zen Hei"/>
        <family val="2"/>
      </rPr>
      <t xml:space="preserve">층</t>
    </r>
  </si>
  <si>
    <t xml:space="preserve">구조조정 스프레드시트 한 칸이 수백 명의 실직이었음을 깨닫는다. Edson과의 첫 접점.</t>
  </si>
  <si>
    <t xml:space="preserve">경영 전략, 대량 해고와 사전 노조 협상, 노동법(CLT)</t>
  </si>
  <si>
    <t xml:space="preserve">O Encontro</t>
  </si>
  <si>
    <t xml:space="preserve">운명적 만남</t>
  </si>
  <si>
    <r>
      <rPr>
        <sz val="10"/>
        <rFont val="Arial"/>
        <family val="0"/>
        <charset val="1"/>
      </rPr>
      <t xml:space="preserve">Brás</t>
    </r>
    <r>
      <rPr>
        <sz val="10"/>
        <rFont val="WenQuanYi Zen Hei"/>
        <family val="2"/>
      </rPr>
      <t xml:space="preserve">의 낡은 임대 건물 </t>
    </r>
    <r>
      <rPr>
        <sz val="10"/>
        <rFont val="Arial"/>
        <family val="0"/>
        <charset val="1"/>
      </rPr>
      <t xml:space="preserve">'14</t>
    </r>
    <r>
      <rPr>
        <sz val="10"/>
        <rFont val="WenQuanYi Zen Hei"/>
        <family val="2"/>
      </rPr>
      <t xml:space="preserve">번 블록</t>
    </r>
    <r>
      <rPr>
        <sz val="10"/>
        <rFont val="Arial"/>
        <family val="0"/>
        <charset val="1"/>
      </rPr>
      <t xml:space="preserve">', </t>
    </r>
    <r>
      <rPr>
        <sz val="10"/>
        <rFont val="WenQuanYi Zen Hei"/>
        <family val="2"/>
      </rPr>
      <t xml:space="preserve">작은 바</t>
    </r>
  </si>
  <si>
    <t xml:space="preserve">강제 퇴거와 의료 방치가 한 건으로 얽힌 사건에서 네 사람이 만나 사무소를 차리기로 한다.</t>
  </si>
  <si>
    <t xml:space="preserve">B2</t>
  </si>
  <si>
    <t xml:space="preserve">협상·설득 구어체</t>
  </si>
  <si>
    <t xml:space="preserve">현재로 수렴</t>
  </si>
  <si>
    <t xml:space="preserve">A Rede de Resistência</t>
  </si>
  <si>
    <t xml:space="preserve">사무소 2탄: 전면전</t>
  </si>
  <si>
    <t xml:space="preserve">법원, 시청 앞, 상파울루 전역</t>
  </si>
  <si>
    <t xml:space="preserve">부당 해고·의료 사고·탈세 대기업 상대 집단 대응. 내부 제보자를 보호하고 공익소송과 검찰 고발로 맞선다.</t>
  </si>
  <si>
    <t xml:space="preserve">공익소송(ação civil pública), 연방검찰, 내부고발자 보호(Lei 13.608/2018), 위법 수집 증거</t>
  </si>
  <si>
    <t xml:space="preserve">과거→현재</t>
  </si>
  <si>
    <t xml:space="preserve">O Despertar Cívico</t>
  </si>
  <si>
    <t xml:space="preserve">정치적 각성과 창당</t>
  </si>
  <si>
    <r>
      <rPr>
        <sz val="10"/>
        <rFont val="Arial"/>
        <family val="0"/>
        <charset val="1"/>
      </rPr>
      <t xml:space="preserve">Avenida Paulista(MASP </t>
    </r>
    <r>
      <rPr>
        <sz val="10"/>
        <rFont val="WenQuanYi Zen Hei"/>
        <family val="2"/>
      </rPr>
      <t xml:space="preserve">앞</t>
    </r>
    <r>
      <rPr>
        <sz val="10"/>
        <rFont val="Arial"/>
        <family val="0"/>
        <charset val="1"/>
      </rPr>
      <t xml:space="preserve">), </t>
    </r>
    <r>
      <rPr>
        <sz val="10"/>
        <rFont val="WenQuanYi Zen Hei"/>
        <family val="2"/>
      </rPr>
      <t xml:space="preserve">시민 집회</t>
    </r>
  </si>
  <si>
    <t xml:space="preserve">국민발안이 좌초하자 스스로 정당 «Casa Comum»을 창당해 첫 시장·시의원 선거에 나선다.</t>
  </si>
  <si>
    <t xml:space="preserve">집회 사전 통지, 국민발안, 정당 창당·TSE 등록, 정당 재정, 개방형 명부 선거</t>
  </si>
  <si>
    <t xml:space="preserve">정치</t>
  </si>
  <si>
    <t xml:space="preserve">Na Câmara Municipal</t>
  </si>
  <si>
    <t xml:space="preserve">시의회</t>
  </si>
  <si>
    <r>
      <rPr>
        <sz val="10"/>
        <rFont val="Arial"/>
        <family val="0"/>
        <charset val="1"/>
      </rPr>
      <t xml:space="preserve">Palácio Anchieta(</t>
    </r>
    <r>
      <rPr>
        <sz val="10"/>
        <rFont val="WenQuanYi Zen Hei"/>
        <family val="2"/>
      </rPr>
      <t xml:space="preserve">상파울루 시의회</t>
    </r>
    <r>
      <rPr>
        <sz val="10"/>
        <rFont val="Arial"/>
        <family val="0"/>
        <charset val="1"/>
      </rPr>
      <t xml:space="preserve">), </t>
    </r>
    <r>
      <rPr>
        <sz val="10"/>
        <rFont val="WenQuanYi Zen Hei"/>
        <family val="2"/>
      </rPr>
      <t xml:space="preserve">당사</t>
    </r>
  </si>
  <si>
    <r>
      <rPr>
        <sz val="10"/>
        <rFont val="Arial"/>
        <family val="0"/>
        <charset val="1"/>
      </rPr>
      <t xml:space="preserve">Bruno</t>
    </r>
    <r>
      <rPr>
        <sz val="10"/>
        <rFont val="WenQuanYi Zen Hei"/>
        <family val="2"/>
      </rPr>
      <t xml:space="preserve">는 재정위원회에서 예산을</t>
    </r>
    <r>
      <rPr>
        <sz val="10"/>
        <rFont val="Arial"/>
        <family val="0"/>
        <charset val="1"/>
      </rPr>
      <t xml:space="preserve">, Camila</t>
    </r>
    <r>
      <rPr>
        <sz val="10"/>
        <rFont val="WenQuanYi Zen Hei"/>
        <family val="2"/>
      </rPr>
      <t xml:space="preserve">는 보건위원회에서 위탁 계약을 파고든다</t>
    </r>
    <r>
      <rPr>
        <sz val="10"/>
        <rFont val="Arial"/>
        <family val="0"/>
        <charset val="1"/>
      </rPr>
      <t xml:space="preserve">. </t>
    </r>
    <r>
      <rPr>
        <sz val="10"/>
        <rFont val="WenQuanYi Zen Hei"/>
        <family val="2"/>
      </rPr>
      <t xml:space="preserve">스캔들 폭로와 </t>
    </r>
    <r>
      <rPr>
        <sz val="10"/>
        <rFont val="Arial"/>
        <family val="0"/>
        <charset val="1"/>
      </rPr>
      <t xml:space="preserve">Larissa</t>
    </r>
    <r>
      <rPr>
        <sz val="10"/>
        <rFont val="WenQuanYi Zen Hei"/>
        <family val="2"/>
      </rPr>
      <t xml:space="preserve">의 </t>
    </r>
    <r>
      <rPr>
        <sz val="10"/>
        <rFont val="Arial"/>
        <family val="0"/>
        <charset val="1"/>
      </rPr>
      <t xml:space="preserve">2</t>
    </r>
    <r>
      <rPr>
        <sz val="10"/>
        <rFont val="WenQuanYi Zen Hei"/>
        <family val="2"/>
      </rPr>
      <t xml:space="preserve">차 폭발</t>
    </r>
    <r>
      <rPr>
        <sz val="10"/>
        <rFont val="Arial"/>
        <family val="0"/>
        <charset val="1"/>
      </rPr>
      <t xml:space="preserve">.</t>
    </r>
  </si>
  <si>
    <t xml:space="preserve">C1</t>
  </si>
  <si>
    <t xml:space="preserve">본회의·위원회, 시 예산, 공공조달법, 시 감사원, CPI, 시민소송</t>
  </si>
  <si>
    <t xml:space="preserve">Rumo ao Planalto</t>
  </si>
  <si>
    <t xml:space="preserve">대선에서 대통령 취임까지</t>
  </si>
  <si>
    <t xml:space="preserve">전국 유세 → 상파울루 개표의 밤 → 브라질리아 Congresso Nacional·Palácio do Planalto</t>
  </si>
  <si>
    <t xml:space="preserve">전당대회·후보 등록·45일 유세·TV 토론·1차 투표 2위·결선 지지 협상·딥페이크·결선 역전·1월 5일 취임.</t>
  </si>
  <si>
    <t xml:space="preserve">C1~C2</t>
  </si>
  <si>
    <t xml:space="preserve">대통령 선거(헌법 제77조), 무료 선거방송, 딥페이크 금지, 정권 인수, 취임 선서(헌법 제78조)</t>
  </si>
  <si>
    <t xml:space="preserve">A Grande Batalha Social I</t>
  </si>
  <si>
    <t xml:space="preserve">사회 현안 전투 I</t>
  </si>
  <si>
    <t xml:space="preserve">브라질리아(Planalto·에스플라나다), 상파울루(주말의 식탁), 브뤼셀</t>
  </si>
  <si>
    <t xml:space="preserve">연립 정부로 주거·보건·이민·청년·물가 국내 현안을 돌파한 뒤, Dom Pedro가 직접 브뤼셀 협상(Mercosul–EU 협정·EUDR)에 나서 승리하고 귀국 직후 사망한다.</t>
  </si>
  <si>
    <t xml:space="preserve">장관회의, SUS 3자 협의체, 임시조치의 세금 제한, 조약 체결·비준, Mercosul–EU·EUDR</t>
  </si>
  <si>
    <t xml:space="preserve">A Grande Batalha Social II</t>
  </si>
  <si>
    <t xml:space="preserve">사회 현안 전투 II</t>
  </si>
  <si>
    <t xml:space="preserve">브라질리아, 상파울루, 브뤼셀, 남부 홍수 현장</t>
  </si>
  <si>
    <t xml:space="preserve">장례식으로 열고 Dom Pedro의 유작 메모로 브뤼셀 후속 협상을 마무리한다. 앱 노동·정보기관 사찰·청년 정신건강과 온라인 도박 등 새 현안과 탄핵 청구 방어, 대홍수, 예산안까지.</t>
  </si>
  <si>
    <t xml:space="preserve">메모 승계, 정보청 통제(CCAI), 탄핵(헌법 제85·86조), 민방위·공공재난사태, 재정규칙·예산</t>
  </si>
  <si>
    <t xml:space="preserve">De Volta ao Bixiga</t>
  </si>
  <si>
    <t xml:space="preserve">귀환</t>
  </si>
  <si>
    <t xml:space="preserve">Bixiga, Bar da Marta</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</si>
  <si>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화와 같은 대사로 시작해 원을 닫는다</t>
    </r>
    <r>
      <rPr>
        <sz val="10"/>
        <rFont val="Arial"/>
        <family val="0"/>
        <charset val="1"/>
      </rPr>
      <t xml:space="preserve">. Dom Pedro</t>
    </r>
    <r>
      <rPr>
        <sz val="10"/>
        <rFont val="WenQuanYi Zen Hei"/>
        <family val="2"/>
      </rPr>
      <t xml:space="preserve">의 유언장</t>
    </r>
    <r>
      <rPr>
        <sz val="10"/>
        <rFont val="Arial"/>
        <family val="0"/>
        <charset val="1"/>
      </rPr>
      <t xml:space="preserve">, </t>
    </r>
    <r>
      <rPr>
        <sz val="10"/>
        <rFont val="WenQuanYi Zen Hei"/>
        <family val="2"/>
      </rPr>
      <t xml:space="preserve">새 인턴</t>
    </r>
    <r>
      <rPr>
        <sz val="10"/>
        <rFont val="Arial"/>
        <family val="0"/>
        <charset val="1"/>
      </rPr>
      <t xml:space="preserve">, </t>
    </r>
    <r>
      <rPr>
        <sz val="10"/>
        <rFont val="WenQuanYi Zen Hei"/>
        <family val="2"/>
      </rPr>
      <t xml:space="preserve">이제 설명하는 쪽이 된 </t>
    </r>
    <r>
      <rPr>
        <sz val="10"/>
        <rFont val="Arial"/>
        <family val="0"/>
        <charset val="1"/>
      </rPr>
      <t xml:space="preserve">Larissa.</t>
    </r>
  </si>
  <si>
    <t xml:space="preserve">B1~B2</t>
  </si>
  <si>
    <t xml:space="preserve">공정증서 유언(cartório, testamenteiro), 공직자 이해충돌, 재단 전환, 원형 구조</t>
  </si>
  <si>
    <t xml:space="preserve">흐름: 현재(1) → 과거(2~5) → 교차(6) → 전면전(7) → 정치(8 창당·시장/시의원 선거 → 9 시의회 → 10 대선·취임) → 정부(11~12, 브라질리아·상파울루) → 귀환(13, 원형 구조). 난이도는 B1 → C1/C2 → B1~B2로 올라갔다 내려와 마무리가 부드럽고, 13부에서 1부 장면을 다시 읽으면 낭독 실력의 성장을 스스로 확인할 수 있다.</t>
  </si>
  <si>
    <t xml:space="preserve">아크별 구성 계획 (1~13부)</t>
  </si>
  <si>
    <t xml:space="preserve">각 부(아크)의 서사 기능, 변화, 비트(발단→결말), 인물 아크, 복선, 현안·제도, 언어 설계를 한 블록으로 정리. 화별 세부는 '화별목차_전체', 복선 추적은 '복선_회수'.</t>
  </si>
  <si>
    <r>
      <rPr>
        <b val="true"/>
        <sz val="10"/>
        <color rgb="FFFFFFFF"/>
        <rFont val="Arial"/>
        <family val="0"/>
        <charset val="1"/>
      </rPr>
      <t xml:space="preserve">O Escritório do Bixiga — </t>
    </r>
    <r>
      <rPr>
        <b val="true"/>
        <sz val="10"/>
        <color rgb="FFFFFFFF"/>
        <rFont val="WenQuanYi Zen Hei"/>
        <family val="2"/>
      </rPr>
      <t xml:space="preserve">비시가 사무소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B1   |   </t>
    </r>
    <r>
      <rPr>
        <b val="true"/>
        <sz val="10"/>
        <color rgb="FFFFFFFF"/>
        <rFont val="WenQuanYi Zen Hei"/>
        <family val="2"/>
      </rPr>
      <t xml:space="preserve">사무소 개소 </t>
    </r>
    <r>
      <rPr>
        <b val="true"/>
        <sz val="10"/>
        <color rgb="FFFFFFFF"/>
        <rFont val="Arial"/>
        <family val="0"/>
        <charset val="1"/>
      </rPr>
      <t xml:space="preserve">1</t>
    </r>
    <r>
      <rPr>
        <b val="true"/>
        <sz val="10"/>
        <color rgb="FFFFFFFF"/>
        <rFont val="WenQuanYi Zen Hei"/>
        <family val="2"/>
      </rPr>
      <t xml:space="preserve">개월 후</t>
    </r>
    <r>
      <rPr>
        <b val="true"/>
        <sz val="10"/>
        <color rgb="FFFFFFFF"/>
        <rFont val="Arial"/>
        <family val="0"/>
        <charset val="1"/>
      </rPr>
      <t xml:space="preserve">(6</t>
    </r>
    <r>
      <rPr>
        <b val="true"/>
        <sz val="10"/>
        <color rgb="FFFFFFFF"/>
        <rFont val="WenQuanYi Zen Hei"/>
        <family val="2"/>
      </rPr>
      <t xml:space="preserve">부 </t>
    </r>
    <r>
      <rPr>
        <b val="true"/>
        <sz val="10"/>
        <color rgb="FFFFFFFF"/>
        <rFont val="Arial"/>
        <family val="0"/>
        <charset val="1"/>
      </rPr>
      <t xml:space="preserve">12</t>
    </r>
    <r>
      <rPr>
        <b val="true"/>
        <sz val="10"/>
        <color rgb="FFFFFFFF"/>
        <rFont val="WenQuanYi Zen Hei"/>
        <family val="2"/>
      </rPr>
      <t xml:space="preserve">화로부터 약 </t>
    </r>
    <r>
      <rPr>
        <b val="true"/>
        <sz val="10"/>
        <color rgb="FFFFFFFF"/>
        <rFont val="Arial"/>
        <family val="0"/>
        <charset val="1"/>
      </rPr>
      <t xml:space="preserve">4</t>
    </r>
    <r>
      <rPr>
        <b val="true"/>
        <sz val="10"/>
        <color rgb="FFFFFFFF"/>
        <rFont val="WenQuanYi Zen Hei"/>
        <family val="2"/>
      </rPr>
      <t xml:space="preserve">주</t>
    </r>
    <r>
      <rPr>
        <b val="true"/>
        <sz val="10"/>
        <color rgb="FFFFFFFF"/>
        <rFont val="Arial"/>
        <family val="0"/>
        <charset val="1"/>
      </rPr>
      <t xml:space="preserve">). </t>
    </r>
    <r>
      <rPr>
        <b val="true"/>
        <sz val="10"/>
        <color rgb="FFFFFFFF"/>
        <rFont val="WenQuanYi Zen Hei"/>
        <family val="2"/>
      </rPr>
      <t xml:space="preserve">상파울루 </t>
    </r>
    <r>
      <rPr>
        <b val="true"/>
        <sz val="10"/>
        <color rgb="FFFFFFFF"/>
        <rFont val="Arial"/>
        <family val="0"/>
        <charset val="1"/>
      </rPr>
      <t xml:space="preserve">Bixiga(</t>
    </r>
    <r>
      <rPr>
        <b val="true"/>
        <sz val="10"/>
        <color rgb="FFFFFFFF"/>
        <rFont val="WenQuanYi Zen Hei"/>
        <family val="2"/>
      </rPr>
      <t xml:space="preserve">이탈리아 이민자와 삼바 학교의 동네</t>
    </r>
    <r>
      <rPr>
        <b val="true"/>
        <sz val="10"/>
        <color rgb="FFFFFFFF"/>
        <rFont val="Arial"/>
        <family val="0"/>
        <charset val="1"/>
      </rPr>
      <t xml:space="preserve">)</t>
    </r>
    <r>
      <rPr>
        <b val="true"/>
        <sz val="10"/>
        <color rgb="FFFFFFFF"/>
        <rFont val="WenQuanYi Zen Hei"/>
        <family val="2"/>
      </rPr>
      <t xml:space="preserve">의 사무소와 </t>
    </r>
    <r>
      <rPr>
        <b val="true"/>
        <sz val="10"/>
        <color rgb="FFFFFFFF"/>
        <rFont val="Arial"/>
        <family val="0"/>
        <charset val="1"/>
      </rPr>
      <t xml:space="preserve">1</t>
    </r>
    <r>
      <rPr>
        <b val="true"/>
        <sz val="10"/>
        <color rgb="FFFFFFFF"/>
        <rFont val="WenQuanYi Zen Hei"/>
        <family val="2"/>
      </rPr>
      <t xml:space="preserve">층 </t>
    </r>
    <r>
      <rPr>
        <b val="true"/>
        <sz val="10"/>
        <color rgb="FFFFFFFF"/>
        <rFont val="Arial"/>
        <family val="0"/>
        <charset val="1"/>
      </rPr>
      <t xml:space="preserve">Bar da Marta.</t>
    </r>
  </si>
  <si>
    <t xml:space="preserve">서사 기능</t>
  </si>
  <si>
    <t xml:space="preserve">독자 진입 장치. 이미 굴러가는(그러나 여전히 좌충우돌하는) 사무소를 보여 주어 '이 사람들이 어쩌다 이렇게 됐지?' 하는 궁금증을 만든다. 자기소개 대신 여섯 사건을 통해 인물의 습관과 리듬을 익히게 한다.</t>
  </si>
  <si>
    <t xml:space="preserve">로그라인</t>
  </si>
  <si>
    <t xml:space="preserve">개소 한 달째, 여전히 순서 하나 못 정하고 매번 다투는 네 전문가와 팀이 그래도 이웃들의 사건 여섯 개를 하나씩 해결해 나가지만, 마지막 사건의 서류에서 Rafael의 옛 로펌 이름이 튀어나온다.</t>
  </si>
  <si>
    <t xml:space="preserve">변화 (시작 → 끝)</t>
  </si>
  <si>
    <r>
      <rPr>
        <sz val="10"/>
        <rFont val="Arial"/>
        <family val="0"/>
        <charset val="1"/>
      </rPr>
      <t xml:space="preserve">'</t>
    </r>
    <r>
      <rPr>
        <sz val="10"/>
        <rFont val="WenQuanYi Zen Hei"/>
        <family val="2"/>
      </rPr>
      <t xml:space="preserve">한 달이나 됐는데 아직도 이 모양</t>
    </r>
    <r>
      <rPr>
        <sz val="10"/>
        <rFont val="Arial"/>
        <family val="0"/>
        <charset val="1"/>
      </rPr>
      <t xml:space="preserve">' → </t>
    </r>
    <r>
      <rPr>
        <sz val="10"/>
        <rFont val="WenQuanYi Zen Hei"/>
        <family val="2"/>
      </rPr>
      <t xml:space="preserve">그래도 매번 어떻게든 해결하는 팀이라는 신뢰</t>
    </r>
    <r>
      <rPr>
        <sz val="10"/>
        <rFont val="Arial"/>
        <family val="0"/>
        <charset val="1"/>
      </rPr>
      <t xml:space="preserve">. </t>
    </r>
    <r>
      <rPr>
        <sz val="10"/>
        <rFont val="WenQuanYi Zen Hei"/>
        <family val="2"/>
      </rPr>
      <t xml:space="preserve">그러나 각자의 과거는 여전히 미해결이고</t>
    </r>
    <r>
      <rPr>
        <sz val="10"/>
        <rFont val="Arial"/>
        <family val="0"/>
        <charset val="1"/>
      </rPr>
      <t xml:space="preserve">, </t>
    </r>
    <r>
      <rPr>
        <sz val="10"/>
        <rFont val="WenQuanYi Zen Hei"/>
        <family val="2"/>
      </rPr>
      <t xml:space="preserve">옛 로펌 이름이 도착한다</t>
    </r>
    <r>
      <rPr>
        <sz val="10"/>
        <rFont val="Arial"/>
        <family val="0"/>
        <charset val="1"/>
      </rPr>
      <t xml:space="preserve">.</t>
    </r>
  </si>
  <si>
    <t xml:space="preserve">핵심 갈등</t>
  </si>
  <si>
    <t xml:space="preserve">전문가의 말투 vs 이웃의 삶 / 여전히 못 정한 방법 / 각자 숨기는 과거</t>
  </si>
  <si>
    <t xml:space="preserve">비트 1</t>
  </si>
  <si>
    <t xml:space="preserve">사건1 임대료 인상, 1~2화(Fátima): 도입에서 여전히 자리 못 잡은 한 달 차 팀의 말다툼을 보여 주고, 해결에서 Freire의 카드 #1(임대차법·연 1회 조정)로 IGP-M을 들이댄 부당 인상을 막는다.</t>
  </si>
  <si>
    <t xml:space="preserve">비트 2</t>
  </si>
  <si>
    <t xml:space="preserve">사건2 퇴거 집행, 3~4화: 밤 여덟 시 급보 → 아침 집행 저지. Zumbi·Edson 첫 카메오, 넷의 역할 분담(서류·건강·숫자·동선)이 처음으로 손발이 맞는다.</t>
  </si>
  <si>
    <t xml:space="preserve">비트 3</t>
  </si>
  <si>
    <t xml:space="preserve">사건3 인턴 착취·임금 체불, 5~6화: Juliana의 컨설팅 용어가 청년 노동자를 지치게 하고, 협상 중 Larissa가 1차 폭발한다. 폭발 후 쉬운 말로 다시 협상해 해결.</t>
  </si>
  <si>
    <t xml:space="preserve">비트 4</t>
  </si>
  <si>
    <t xml:space="preserve">사건4 의료 접근, 7~8화: 서류 없는 이주민 가족의 아이가 보건소에서 돌려보내진다. Isabel·Machado 카메오, Dom Pedro의 가짜 무릎이 진짜 아픈 아이 앞에서 조용해지는 대비.</t>
  </si>
  <si>
    <t xml:space="preserve">비트 5</t>
  </si>
  <si>
    <t xml:space="preserve">사건5 금융 사기, 9~10화: 저축을 잃은 이웃을 두고 Bruno가 장부를, 낯선 Sérgio가 계좌 흐름을 추적하고 Pix 반환 절차(MED)로 일부를 되찾는다. Dumont 카메오. Sérgio는 설명 없이 사라지고 Bruno는 은행 이름에 말없이 굳는다.</t>
  </si>
  <si>
    <t xml:space="preserve">비트 6</t>
  </si>
  <si>
    <t xml:space="preserve">사건6 오래된 서류·훅, 11~12화: 수십 년 전 퇴거 서류의 절차 오류를 바로잡다가 서명란에서 Rafael의 옛 로펌 이름을 발견한다. Rafael이 얼어붙고 금요일 이야기(2부)가 예고된다.</t>
  </si>
  <si>
    <t xml:space="preserve">인물 아크</t>
  </si>
  <si>
    <r>
      <rPr>
        <sz val="10"/>
        <rFont val="Arial"/>
        <family val="0"/>
        <charset val="1"/>
      </rPr>
      <t xml:space="preserve">Larissa=</t>
    </r>
    <r>
      <rPr>
        <sz val="10"/>
        <rFont val="WenQuanYi Zen Hei"/>
        <family val="2"/>
      </rPr>
      <t xml:space="preserve">독자의 대리인</t>
    </r>
    <r>
      <rPr>
        <sz val="10"/>
        <rFont val="Arial"/>
        <family val="0"/>
        <charset val="1"/>
      </rPr>
      <t xml:space="preserve">(</t>
    </r>
    <r>
      <rPr>
        <sz val="10"/>
        <rFont val="WenQuanYi Zen Hei"/>
        <family val="2"/>
      </rPr>
      <t xml:space="preserve">질문</t>
    </r>
    <r>
      <rPr>
        <sz val="10"/>
        <rFont val="Arial"/>
        <family val="0"/>
        <charset val="1"/>
      </rPr>
      <t xml:space="preserve">), </t>
    </r>
    <r>
      <rPr>
        <sz val="10"/>
        <rFont val="WenQuanYi Zen Hei"/>
        <family val="2"/>
      </rPr>
      <t xml:space="preserve">한 달이 지나도 </t>
    </r>
    <r>
      <rPr>
        <sz val="10"/>
        <rFont val="Arial"/>
        <family val="0"/>
        <charset val="1"/>
      </rPr>
      <t xml:space="preserve">Rafael</t>
    </r>
    <r>
      <rPr>
        <sz val="10"/>
        <rFont val="WenQuanYi Zen Hei"/>
        <family val="2"/>
      </rPr>
      <t xml:space="preserve">에게 </t>
    </r>
    <r>
      <rPr>
        <sz val="10"/>
        <rFont val="Arial"/>
        <family val="0"/>
        <charset val="1"/>
      </rPr>
      <t xml:space="preserve">'o senhor' </t>
    </r>
    <r>
      <rPr>
        <sz val="10"/>
        <rFont val="WenQuanYi Zen Hei"/>
        <family val="2"/>
      </rPr>
      <t xml:space="preserve">유지</t>
    </r>
    <r>
      <rPr>
        <sz val="10"/>
        <rFont val="Arial"/>
        <family val="0"/>
        <charset val="1"/>
      </rPr>
      <t xml:space="preserve">. Dom Pedro=</t>
    </r>
    <r>
      <rPr>
        <sz val="10"/>
        <rFont val="WenQuanYi Zen Hei"/>
        <family val="2"/>
      </rPr>
      <t xml:space="preserve">심술과 복선</t>
    </r>
    <r>
      <rPr>
        <sz val="10"/>
        <rFont val="Arial"/>
        <family val="0"/>
        <charset val="1"/>
      </rPr>
      <t xml:space="preserve">(</t>
    </r>
    <r>
      <rPr>
        <sz val="10"/>
        <rFont val="WenQuanYi Zen Hei"/>
        <family val="2"/>
      </rPr>
      <t xml:space="preserve">매년 하는 소리라는 게 드러남</t>
    </r>
    <r>
      <rPr>
        <sz val="10"/>
        <rFont val="Arial"/>
        <family val="0"/>
        <charset val="1"/>
      </rPr>
      <t xml:space="preserve">). Marta=</t>
    </r>
    <r>
      <rPr>
        <sz val="10"/>
        <rFont val="WenQuanYi Zen Hei"/>
        <family val="2"/>
      </rPr>
      <t xml:space="preserve">정서적 중심</t>
    </r>
    <r>
      <rPr>
        <sz val="10"/>
        <rFont val="Arial"/>
        <family val="0"/>
        <charset val="1"/>
      </rPr>
      <t xml:space="preserve">. </t>
    </r>
    <r>
      <rPr>
        <sz val="10"/>
        <rFont val="WenQuanYi Zen Hei"/>
        <family val="2"/>
      </rPr>
      <t xml:space="preserve">카메오는 사건별로 분산</t>
    </r>
    <r>
      <rPr>
        <sz val="10"/>
        <rFont val="Arial"/>
        <family val="0"/>
        <charset val="1"/>
      </rPr>
      <t xml:space="preserve">: Freire(1·2·11</t>
    </r>
    <r>
      <rPr>
        <sz val="10"/>
        <rFont val="WenQuanYi Zen Hei"/>
        <family val="2"/>
      </rPr>
      <t xml:space="preserve">화</t>
    </r>
    <r>
      <rPr>
        <sz val="10"/>
        <rFont val="Arial"/>
        <family val="0"/>
        <charset val="1"/>
      </rPr>
      <t xml:space="preserve">), Zumbi·Edson(3·4</t>
    </r>
    <r>
      <rPr>
        <sz val="10"/>
        <rFont val="WenQuanYi Zen Hei"/>
        <family val="2"/>
      </rPr>
      <t xml:space="preserve">화</t>
    </r>
    <r>
      <rPr>
        <sz val="10"/>
        <rFont val="Arial"/>
        <family val="0"/>
        <charset val="1"/>
      </rPr>
      <t xml:space="preserve">), Isabel·Machado(7</t>
    </r>
    <r>
      <rPr>
        <sz val="10"/>
        <rFont val="WenQuanYi Zen Hei"/>
        <family val="2"/>
      </rPr>
      <t xml:space="preserve">화</t>
    </r>
    <r>
      <rPr>
        <sz val="10"/>
        <rFont val="Arial"/>
        <family val="0"/>
        <charset val="1"/>
      </rPr>
      <t xml:space="preserve">), Sérgio·Dumont(9·10·11</t>
    </r>
    <r>
      <rPr>
        <sz val="10"/>
        <rFont val="WenQuanYi Zen Hei"/>
        <family val="2"/>
      </rPr>
      <t xml:space="preserve">화</t>
    </r>
    <r>
      <rPr>
        <sz val="10"/>
        <rFont val="Arial"/>
        <family val="0"/>
        <charset val="1"/>
      </rPr>
      <t xml:space="preserve">). </t>
    </r>
    <r>
      <rPr>
        <sz val="10"/>
        <rFont val="WenQuanYi Zen Hei"/>
        <family val="2"/>
      </rPr>
      <t xml:space="preserve">폭발 화</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에는 </t>
    </r>
    <r>
      <rPr>
        <sz val="10"/>
        <rFont val="Arial"/>
        <family val="0"/>
        <charset val="1"/>
      </rPr>
      <t xml:space="preserve">Zumbi·Marta·Freire</t>
    </r>
    <r>
      <rPr>
        <sz val="10"/>
        <rFont val="WenQuanYi Zen Hei"/>
        <family val="2"/>
      </rPr>
      <t xml:space="preserve">의 고정 반응만 남기고 </t>
    </r>
    <r>
      <rPr>
        <sz val="10"/>
        <rFont val="Arial"/>
        <family val="0"/>
        <charset val="1"/>
      </rPr>
      <t xml:space="preserve">Edson</t>
    </r>
    <r>
      <rPr>
        <sz val="10"/>
        <rFont val="WenQuanYi Zen Hei"/>
        <family val="2"/>
      </rPr>
      <t xml:space="preserve">의 욕은 </t>
    </r>
    <r>
      <rPr>
        <sz val="10"/>
        <rFont val="Arial"/>
        <family val="0"/>
        <charset val="1"/>
      </rPr>
      <t xml:space="preserve">9</t>
    </r>
    <r>
      <rPr>
        <sz val="10"/>
        <rFont val="WenQuanYi Zen Hei"/>
        <family val="2"/>
      </rPr>
      <t xml:space="preserve">부 </t>
    </r>
    <r>
      <rPr>
        <sz val="10"/>
        <rFont val="Arial"/>
        <family val="0"/>
        <charset val="1"/>
      </rPr>
      <t xml:space="preserve">2</t>
    </r>
    <r>
      <rPr>
        <sz val="10"/>
        <rFont val="WenQuanYi Zen Hei"/>
        <family val="2"/>
      </rPr>
      <t xml:space="preserve">차 폭발로 이관해 과밀을 해소</t>
    </r>
    <r>
      <rPr>
        <sz val="10"/>
        <rFont val="Arial"/>
        <family val="0"/>
        <charset val="1"/>
      </rPr>
      <t xml:space="preserve">.</t>
    </r>
  </si>
  <si>
    <t xml:space="preserve">복선·회수</t>
  </si>
  <si>
    <r>
      <rPr>
        <sz val="10"/>
        <rFont val="Arial"/>
        <family val="0"/>
        <charset val="1"/>
      </rPr>
      <t xml:space="preserve">Dom Pedro</t>
    </r>
    <r>
      <rPr>
        <sz val="10"/>
        <rFont val="WenQuanYi Zen Hei"/>
        <family val="2"/>
      </rPr>
      <t xml:space="preserve">의 마지막 겨울</t>
    </r>
    <r>
      <rPr>
        <sz val="10"/>
        <rFont val="Arial"/>
        <family val="0"/>
        <charset val="1"/>
      </rPr>
      <t xml:space="preserve">·</t>
    </r>
    <r>
      <rPr>
        <sz val="10"/>
        <rFont val="WenQuanYi Zen Hei"/>
        <family val="2"/>
      </rPr>
      <t xml:space="preserve">우산</t>
    </r>
    <r>
      <rPr>
        <sz val="10"/>
        <rFont val="Arial"/>
        <family val="0"/>
        <charset val="1"/>
      </rPr>
      <t xml:space="preserve">(1</t>
    </r>
    <r>
      <rPr>
        <sz val="10"/>
        <rFont val="WenQuanYi Zen Hei"/>
        <family val="2"/>
      </rPr>
      <t xml:space="preserve">화 → </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 Freire </t>
    </r>
    <r>
      <rPr>
        <sz val="10"/>
        <rFont val="WenQuanYi Zen Hei"/>
        <family val="2"/>
      </rPr>
      <t xml:space="preserve">카드 </t>
    </r>
    <r>
      <rPr>
        <sz val="10"/>
        <rFont val="Arial"/>
        <family val="0"/>
        <charset val="1"/>
      </rPr>
      <t xml:space="preserve">#1(2</t>
    </r>
    <r>
      <rPr>
        <sz val="10"/>
        <rFont val="WenQuanYi Zen Hei"/>
        <family val="2"/>
      </rPr>
      <t xml:space="preserve">화 → </t>
    </r>
    <r>
      <rPr>
        <sz val="10"/>
        <rFont val="Arial"/>
        <family val="0"/>
        <charset val="1"/>
      </rPr>
      <t xml:space="preserve">13</t>
    </r>
    <r>
      <rPr>
        <sz val="10"/>
        <rFont val="WenQuanYi Zen Hei"/>
        <family val="2"/>
      </rPr>
      <t xml:space="preserve">부 </t>
    </r>
    <r>
      <rPr>
        <sz val="10"/>
        <rFont val="Arial"/>
        <family val="0"/>
        <charset val="1"/>
      </rPr>
      <t xml:space="preserve">10</t>
    </r>
    <r>
      <rPr>
        <sz val="10"/>
        <rFont val="WenQuanYi Zen Hei"/>
        <family val="2"/>
      </rPr>
      <t xml:space="preserve">화</t>
    </r>
    <r>
      <rPr>
        <sz val="10"/>
        <rFont val="Arial"/>
        <family val="0"/>
        <charset val="1"/>
      </rPr>
      <t xml:space="preserve">) / Larissa 1</t>
    </r>
    <r>
      <rPr>
        <sz val="10"/>
        <rFont val="WenQuanYi Zen Hei"/>
        <family val="2"/>
      </rPr>
      <t xml:space="preserve">차 폭발</t>
    </r>
    <r>
      <rPr>
        <sz val="10"/>
        <rFont val="Arial"/>
        <family val="0"/>
        <charset val="1"/>
      </rPr>
      <t xml:space="preserve">(6</t>
    </r>
    <r>
      <rPr>
        <sz val="10"/>
        <rFont val="WenQuanYi Zen Hei"/>
        <family val="2"/>
      </rPr>
      <t xml:space="preserve">화 → </t>
    </r>
    <r>
      <rPr>
        <sz val="10"/>
        <rFont val="Arial"/>
        <family val="0"/>
        <charset val="1"/>
      </rPr>
      <t xml:space="preserve">9</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 Zumbi «Sem novidade no quilombo»(4</t>
    </r>
    <r>
      <rPr>
        <sz val="10"/>
        <rFont val="WenQuanYi Zen Hei"/>
        <family val="2"/>
      </rPr>
      <t xml:space="preserve">화 → </t>
    </r>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 Sérgio </t>
    </r>
    <r>
      <rPr>
        <sz val="10"/>
        <rFont val="WenQuanYi Zen Hei"/>
        <family val="2"/>
      </rPr>
      <t xml:space="preserve">첫 등장</t>
    </r>
    <r>
      <rPr>
        <sz val="10"/>
        <rFont val="Arial"/>
        <family val="0"/>
        <charset val="1"/>
      </rPr>
      <t xml:space="preserve">(9</t>
    </r>
    <r>
      <rPr>
        <sz val="10"/>
        <rFont val="WenQuanYi Zen Hei"/>
        <family val="2"/>
      </rPr>
      <t xml:space="preserve">화 → </t>
    </r>
    <r>
      <rPr>
        <sz val="10"/>
        <rFont val="Arial"/>
        <family val="0"/>
        <charset val="1"/>
      </rPr>
      <t xml:space="preserve">9</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 Dom Pedro</t>
    </r>
    <r>
      <rPr>
        <sz val="10"/>
        <rFont val="WenQuanYi Zen Hei"/>
        <family val="2"/>
      </rPr>
      <t xml:space="preserve">의 </t>
    </r>
    <r>
      <rPr>
        <sz val="10"/>
        <rFont val="Arial"/>
        <family val="0"/>
        <charset val="1"/>
      </rPr>
      <t xml:space="preserve">«Não é ruim»(7</t>
    </r>
    <r>
      <rPr>
        <sz val="10"/>
        <rFont val="WenQuanYi Zen Hei"/>
        <family val="2"/>
      </rPr>
      <t xml:space="preserve">화</t>
    </r>
    <r>
      <rPr>
        <sz val="10"/>
        <rFont val="Arial"/>
        <family val="0"/>
        <charset val="1"/>
      </rPr>
      <t xml:space="preserve">, Machado</t>
    </r>
    <r>
      <rPr>
        <sz val="10"/>
        <rFont val="WenQuanYi Zen Hei"/>
        <family val="2"/>
      </rPr>
      <t xml:space="preserve">에게 → </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Larissa</t>
    </r>
    <r>
      <rPr>
        <sz val="10"/>
        <rFont val="WenQuanYi Zen Hei"/>
        <family val="2"/>
      </rPr>
      <t xml:space="preserve">에게</t>
    </r>
    <r>
      <rPr>
        <sz val="10"/>
        <rFont val="Arial"/>
        <family val="0"/>
        <charset val="1"/>
      </rPr>
      <t xml:space="preserve">) / </t>
    </r>
    <r>
      <rPr>
        <sz val="10"/>
        <rFont val="WenQuanYi Zen Hei"/>
        <family val="2"/>
      </rPr>
      <t xml:space="preserve">옛 로펌 이름</t>
    </r>
    <r>
      <rPr>
        <sz val="10"/>
        <rFont val="Arial"/>
        <family val="0"/>
        <charset val="1"/>
      </rPr>
      <t xml:space="preserve">(12</t>
    </r>
    <r>
      <rPr>
        <sz val="10"/>
        <rFont val="WenQuanYi Zen Hei"/>
        <family val="2"/>
      </rPr>
      <t xml:space="preserve">화 → </t>
    </r>
    <r>
      <rPr>
        <sz val="10"/>
        <rFont val="Arial"/>
        <family val="0"/>
        <charset val="1"/>
      </rPr>
      <t xml:space="preserve">2</t>
    </r>
    <r>
      <rPr>
        <sz val="10"/>
        <rFont val="WenQuanYi Zen Hei"/>
        <family val="2"/>
      </rPr>
      <t xml:space="preserve">부 전체</t>
    </r>
    <r>
      <rPr>
        <sz val="10"/>
        <rFont val="Arial"/>
        <family val="0"/>
        <charset val="1"/>
      </rPr>
      <t xml:space="preserve">)</t>
    </r>
  </si>
  <si>
    <t xml:space="preserve">현안 (ID)</t>
  </si>
  <si>
    <t xml:space="preserve">E1●● S1●● S2● E3●</t>
  </si>
  <si>
    <t xml:space="preserve">제도·전문 영역</t>
  </si>
  <si>
    <t xml:space="preserve">임대차(Lei 8.245/1991, 연 1회 조정), 퇴거 집행과 취약계층 조정(STF ADPF 828 이후 토지분쟁 조정위원회, 확인 필요), 인턴 착취·무등록 고용·체불, SUS 보편 접근권과 현장의 서류 요구, 금융 사기·Pix 반환(MED), 오래된 절차 정정, 공개 출처 찾기(Planalto 법령 사이트·VOLP)</t>
  </si>
  <si>
    <t xml:space="preserve">언어 설계</t>
  </si>
  <si>
    <r>
      <rPr>
        <sz val="10"/>
        <rFont val="Arial"/>
        <family val="0"/>
        <charset val="1"/>
      </rPr>
      <t xml:space="preserve">B1. </t>
    </r>
    <r>
      <rPr>
        <sz val="10"/>
        <rFont val="WenQuanYi Zen Hei"/>
        <family val="2"/>
      </rPr>
      <t xml:space="preserve">한 줄 </t>
    </r>
    <r>
      <rPr>
        <sz val="10"/>
        <rFont val="Arial"/>
        <family val="0"/>
        <charset val="1"/>
      </rPr>
      <t xml:space="preserve">15</t>
    </r>
    <r>
      <rPr>
        <sz val="10"/>
        <rFont val="WenQuanYi Zen Hei"/>
        <family val="2"/>
      </rPr>
      <t xml:space="preserve">단어 이내</t>
    </r>
    <r>
      <rPr>
        <sz val="10"/>
        <rFont val="Arial"/>
        <family val="0"/>
        <charset val="1"/>
      </rPr>
      <t xml:space="preserve">, </t>
    </r>
    <r>
      <rPr>
        <sz val="10"/>
        <rFont val="WenQuanYi Zen Hei"/>
        <family val="2"/>
      </rPr>
      <t xml:space="preserve">현재</t>
    </r>
    <r>
      <rPr>
        <sz val="10"/>
        <rFont val="Arial"/>
        <family val="0"/>
        <charset val="1"/>
      </rPr>
      <t xml:space="preserve">·</t>
    </r>
    <r>
      <rPr>
        <sz val="10"/>
        <rFont val="WenQuanYi Zen Hei"/>
        <family val="2"/>
      </rPr>
      <t xml:space="preserve">명령형</t>
    </r>
    <r>
      <rPr>
        <sz val="10"/>
        <rFont val="Arial"/>
        <family val="0"/>
        <charset val="1"/>
      </rPr>
      <t xml:space="preserve">·</t>
    </r>
    <r>
      <rPr>
        <sz val="10"/>
        <rFont val="WenQuanYi Zen Hei"/>
        <family val="2"/>
      </rPr>
      <t xml:space="preserve">간단한 과거</t>
    </r>
    <r>
      <rPr>
        <sz val="10"/>
        <rFont val="Arial"/>
        <family val="0"/>
        <charset val="1"/>
      </rPr>
      <t xml:space="preserve">(pretérito perfeito). você·vocês </t>
    </r>
    <r>
      <rPr>
        <sz val="10"/>
        <rFont val="WenQuanYi Zen Hei"/>
        <family val="2"/>
      </rPr>
      <t xml:space="preserve">중심</t>
    </r>
    <r>
      <rPr>
        <sz val="10"/>
        <rFont val="Arial"/>
        <family val="0"/>
        <charset val="1"/>
      </rPr>
      <t xml:space="preserve">. </t>
    </r>
    <r>
      <rPr>
        <sz val="10"/>
        <rFont val="WenQuanYi Zen Hei"/>
        <family val="2"/>
      </rPr>
      <t xml:space="preserve">낭독</t>
    </r>
    <r>
      <rPr>
        <sz val="10"/>
        <rFont val="Arial"/>
        <family val="0"/>
        <charset val="1"/>
      </rPr>
      <t xml:space="preserve">: </t>
    </r>
    <r>
      <rPr>
        <sz val="10"/>
        <rFont val="WenQuanYi Zen Hei"/>
        <family val="2"/>
      </rPr>
      <t xml:space="preserve">빠른 티키타카로 입 풀기</t>
    </r>
    <r>
      <rPr>
        <sz val="10"/>
        <rFont val="Arial"/>
        <family val="0"/>
        <charset val="1"/>
      </rPr>
      <t xml:space="preserve">. Rafael·Dom Pedro</t>
    </r>
    <r>
      <rPr>
        <sz val="10"/>
        <rFont val="WenQuanYi Zen Hei"/>
        <family val="2"/>
      </rPr>
      <t xml:space="preserve">의 격식체</t>
    </r>
    <r>
      <rPr>
        <sz val="10"/>
        <rFont val="Arial"/>
        <family val="0"/>
        <charset val="1"/>
      </rPr>
      <t xml:space="preserve">(o senhor, 19</t>
    </r>
    <r>
      <rPr>
        <sz val="10"/>
        <rFont val="WenQuanYi Zen Hei"/>
        <family val="2"/>
      </rPr>
      <t xml:space="preserve">세기식 대명사 후치</t>
    </r>
    <r>
      <rPr>
        <sz val="10"/>
        <rFont val="Arial"/>
        <family val="0"/>
        <charset val="1"/>
      </rPr>
      <t xml:space="preserve">)</t>
    </r>
    <r>
      <rPr>
        <sz val="10"/>
        <rFont val="WenQuanYi Zen Hei"/>
        <family val="2"/>
      </rPr>
      <t xml:space="preserve">는 한두 줄 맛보기</t>
    </r>
    <r>
      <rPr>
        <sz val="10"/>
        <rFont val="Arial"/>
        <family val="0"/>
        <charset val="1"/>
      </rPr>
      <t xml:space="preserve">. </t>
    </r>
    <r>
      <rPr>
        <sz val="10"/>
        <rFont val="WenQuanYi Zen Hei"/>
        <family val="2"/>
      </rPr>
      <t xml:space="preserve">매 사건 </t>
    </r>
    <r>
      <rPr>
        <sz val="10"/>
        <rFont val="Arial"/>
        <family val="0"/>
        <charset val="1"/>
      </rPr>
      <t xml:space="preserve">2</t>
    </r>
    <r>
      <rPr>
        <sz val="10"/>
        <rFont val="WenQuanYi Zen Hei"/>
        <family val="2"/>
      </rPr>
      <t xml:space="preserve">화</t>
    </r>
    <r>
      <rPr>
        <sz val="10"/>
        <rFont val="Arial"/>
        <family val="0"/>
        <charset val="1"/>
      </rPr>
      <t xml:space="preserve">(</t>
    </r>
    <r>
      <rPr>
        <sz val="10"/>
        <rFont val="WenQuanYi Zen Hei"/>
        <family val="2"/>
      </rPr>
      <t xml:space="preserve">도입→해결</t>
    </r>
    <r>
      <rPr>
        <sz val="10"/>
        <rFont val="Arial"/>
        <family val="0"/>
        <charset val="1"/>
      </rPr>
      <t xml:space="preserve">) </t>
    </r>
    <r>
      <rPr>
        <sz val="10"/>
        <rFont val="WenQuanYi Zen Hei"/>
        <family val="2"/>
      </rPr>
      <t xml:space="preserve">리듬을 반복해 구조를 익히게 한다</t>
    </r>
    <r>
      <rPr>
        <sz val="10"/>
        <rFont val="Arial"/>
        <family val="0"/>
        <charset val="1"/>
      </rPr>
      <t xml:space="preserve">.</t>
    </r>
  </si>
  <si>
    <t xml:space="preserve">대화량 (화당 120턴)</t>
  </si>
  <si>
    <r>
      <rPr>
        <b val="true"/>
        <sz val="10"/>
        <rFont val="Arial"/>
        <family val="0"/>
        <charset val="1"/>
      </rPr>
      <t xml:space="preserve">Larissa </t>
    </r>
    <r>
      <rPr>
        <b val="true"/>
        <sz val="10"/>
        <rFont val="WenQuanYi Zen Hei"/>
        <family val="2"/>
      </rPr>
      <t xml:space="preserve">질문</t>
    </r>
    <r>
      <rPr>
        <b val="true"/>
        <sz val="10"/>
        <rFont val="Arial"/>
        <family val="0"/>
        <charset val="1"/>
      </rPr>
      <t xml:space="preserve">·Freire </t>
    </r>
    <r>
      <rPr>
        <b val="true"/>
        <sz val="10"/>
        <rFont val="WenQuanYi Zen Hei"/>
        <family val="2"/>
      </rPr>
      <t xml:space="preserve">카드</t>
    </r>
  </si>
  <si>
    <r>
      <rPr>
        <sz val="10"/>
        <rFont val="Arial"/>
        <family val="0"/>
        <charset val="1"/>
      </rPr>
      <t xml:space="preserve">Larissa: </t>
    </r>
    <r>
      <rPr>
        <sz val="10"/>
        <rFont val="WenQuanYi Zen Hei"/>
        <family val="2"/>
      </rPr>
      <t xml:space="preserve">임대</t>
    </r>
    <r>
      <rPr>
        <sz val="10"/>
        <rFont val="Arial"/>
        <family val="0"/>
        <charset val="1"/>
      </rPr>
      <t xml:space="preserve">·</t>
    </r>
    <r>
      <rPr>
        <sz val="10"/>
        <rFont val="WenQuanYi Zen Hei"/>
        <family val="2"/>
      </rPr>
      <t xml:space="preserve">노동</t>
    </r>
    <r>
      <rPr>
        <sz val="10"/>
        <rFont val="Arial"/>
        <family val="0"/>
        <charset val="1"/>
      </rPr>
      <t xml:space="preserve">·</t>
    </r>
    <r>
      <rPr>
        <sz val="10"/>
        <rFont val="WenQuanYi Zen Hei"/>
        <family val="2"/>
      </rPr>
      <t xml:space="preserve">의료</t>
    </r>
    <r>
      <rPr>
        <sz val="10"/>
        <rFont val="Arial"/>
        <family val="0"/>
        <charset val="1"/>
      </rPr>
      <t xml:space="preserve">·</t>
    </r>
    <r>
      <rPr>
        <sz val="10"/>
        <rFont val="WenQuanYi Zen Hei"/>
        <family val="2"/>
      </rPr>
      <t xml:space="preserve">금융 기초 용어</t>
    </r>
    <r>
      <rPr>
        <sz val="10"/>
        <rFont val="Arial"/>
        <family val="0"/>
        <charset val="1"/>
      </rPr>
      <t xml:space="preserve">(caução, carteira assinada, estágio, cartão do SUS, conta, Pix). </t>
    </r>
    <r>
      <rPr>
        <sz val="10"/>
        <rFont val="WenQuanYi Zen Hei"/>
        <family val="2"/>
      </rPr>
      <t xml:space="preserve">카드</t>
    </r>
    <r>
      <rPr>
        <sz val="10"/>
        <rFont val="Arial"/>
        <family val="0"/>
        <charset val="1"/>
      </rPr>
      <t xml:space="preserve">: </t>
    </r>
    <r>
      <rPr>
        <sz val="10"/>
        <rFont val="WenQuanYi Zen Hei"/>
        <family val="2"/>
      </rPr>
      <t xml:space="preserve">임대차법</t>
    </r>
    <r>
      <rPr>
        <sz val="10"/>
        <rFont val="Arial"/>
        <family val="0"/>
        <charset val="1"/>
      </rPr>
      <t xml:space="preserve">(Lei 8.245/1991), </t>
    </r>
    <r>
      <rPr>
        <sz val="10"/>
        <rFont val="WenQuanYi Zen Hei"/>
        <family val="2"/>
      </rPr>
      <t xml:space="preserve">사전</t>
    </r>
    <r>
      <rPr>
        <sz val="10"/>
        <rFont val="Arial"/>
        <family val="0"/>
        <charset val="1"/>
      </rPr>
      <t xml:space="preserve">(VOLP·Michaelis).</t>
    </r>
  </si>
  <si>
    <t xml:space="preserve">다음 부 연결</t>
  </si>
  <si>
    <r>
      <rPr>
        <sz val="10"/>
        <rFont val="Arial"/>
        <family val="0"/>
        <charset val="1"/>
      </rPr>
      <t xml:space="preserve">2</t>
    </r>
    <r>
      <rPr>
        <sz val="10"/>
        <rFont val="WenQuanYi Zen Hei"/>
        <family val="2"/>
      </rPr>
      <t xml:space="preserve">부</t>
    </r>
    <r>
      <rPr>
        <sz val="10"/>
        <rFont val="Arial"/>
        <family val="0"/>
        <charset val="1"/>
      </rPr>
      <t xml:space="preserve">: </t>
    </r>
    <r>
      <rPr>
        <sz val="10"/>
        <rFont val="WenQuanYi Zen Hei"/>
        <family val="2"/>
      </rPr>
      <t xml:space="preserve">금요일마다 한 명씩 과거를 이야기하는 규칙 — 첫 번째는 </t>
    </r>
    <r>
      <rPr>
        <sz val="10"/>
        <rFont val="Arial"/>
        <family val="0"/>
        <charset val="1"/>
      </rPr>
      <t xml:space="preserve">Rafael.</t>
    </r>
  </si>
  <si>
    <r>
      <rPr>
        <b val="true"/>
        <sz val="10"/>
        <color rgb="FFFFFFFF"/>
        <rFont val="Arial"/>
        <family val="0"/>
        <charset val="1"/>
      </rPr>
      <t xml:space="preserve">O Advogado — </t>
    </r>
    <r>
      <rPr>
        <b val="true"/>
        <sz val="10"/>
        <color rgb="FFFFFFFF"/>
        <rFont val="WenQuanYi Zen Hei"/>
        <family val="2"/>
      </rPr>
      <t xml:space="preserve">변호사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프레임</t>
    </r>
    <r>
      <rPr>
        <b val="true"/>
        <sz val="10"/>
        <color rgb="FFFFFFFF"/>
        <rFont val="Arial"/>
        <family val="0"/>
        <charset val="1"/>
      </rPr>
      <t xml:space="preserve">: 1</t>
    </r>
    <r>
      <rPr>
        <b val="true"/>
        <sz val="10"/>
        <color rgb="FFFFFFFF"/>
        <rFont val="WenQuanYi Zen Hei"/>
        <family val="2"/>
      </rPr>
      <t xml:space="preserve">부와 같은 첫 겨울의 금요일 밤</t>
    </r>
    <r>
      <rPr>
        <b val="true"/>
        <sz val="10"/>
        <color rgb="FFFFFFFF"/>
        <rFont val="Arial"/>
        <family val="0"/>
        <charset val="1"/>
      </rPr>
      <t xml:space="preserve">. </t>
    </r>
    <r>
      <rPr>
        <b val="true"/>
        <sz val="10"/>
        <color rgb="FFFFFFFF"/>
        <rFont val="WenQuanYi Zen Hei"/>
        <family val="2"/>
      </rPr>
      <t xml:space="preserve">과거</t>
    </r>
    <r>
      <rPr>
        <b val="true"/>
        <sz val="10"/>
        <color rgb="FFFFFFFF"/>
        <rFont val="Arial"/>
        <family val="0"/>
        <charset val="1"/>
      </rPr>
      <t xml:space="preserve">: </t>
    </r>
    <r>
      <rPr>
        <b val="true"/>
        <sz val="10"/>
        <color rgb="FFFFFFFF"/>
        <rFont val="WenQuanYi Zen Hei"/>
        <family val="2"/>
      </rPr>
      <t xml:space="preserve">약 </t>
    </r>
    <r>
      <rPr>
        <b val="true"/>
        <sz val="10"/>
        <color rgb="FFFFFFFF"/>
        <rFont val="Arial"/>
        <family val="0"/>
        <charset val="1"/>
      </rPr>
      <t xml:space="preserve">5</t>
    </r>
    <r>
      <rPr>
        <b val="true"/>
        <sz val="10"/>
        <color rgb="FFFFFFFF"/>
        <rFont val="WenQuanYi Zen Hei"/>
        <family val="2"/>
      </rPr>
      <t xml:space="preserve">년 전</t>
    </r>
    <r>
      <rPr>
        <b val="true"/>
        <sz val="10"/>
        <color rgb="FFFFFFFF"/>
        <rFont val="Arial"/>
        <family val="0"/>
        <charset val="1"/>
      </rPr>
      <t xml:space="preserve">, Avenida Faria Lima</t>
    </r>
    <r>
      <rPr>
        <b val="true"/>
        <sz val="10"/>
        <color rgb="FFFFFFFF"/>
        <rFont val="WenQuanYi Zen Hei"/>
        <family val="2"/>
      </rPr>
      <t xml:space="preserve">의 대형 로펌</t>
    </r>
    <r>
      <rPr>
        <b val="true"/>
        <sz val="10"/>
        <color rgb="FFFFFFFF"/>
        <rFont val="Arial"/>
        <family val="0"/>
        <charset val="1"/>
      </rPr>
      <t xml:space="preserve">.</t>
    </r>
  </si>
  <si>
    <t xml:space="preserve">첫 과거 회상. 공동 악역 Grupo Meridiano를 도입하고 '법을 잘 쓰는 것과 옳은 것은 다르다'는 이 이야기의 첫 질문을 던진다. 프레임(Marta의 식탁)과 과거를 오가는 구조 실험.</t>
  </si>
  <si>
    <t xml:space="preserve">승소율 100%의 파트너 후보가 대형 고객의 주택 포트폴리오를 비우는 조항을 설계해 재판에서 이기고, 그 승리가 한 노인의 죽음이 되었음을 알게 된다.</t>
  </si>
  <si>
    <t xml:space="preserve">자랑스러운 승자 → 자기 승리에 사직서를 낸 사람.</t>
  </si>
  <si>
    <t xml:space="preserve">잘 쓰는 법 vs 옳은 것 / 파트너 승진 vs 양심</t>
  </si>
  <si>
    <t xml:space="preserve">발단(1~3화): 금요일 프레임, 파리아 리마의 월요일, VIP 고객 Quintela.</t>
  </si>
  <si>
    <t xml:space="preserve">전개(4~5화): 실사에서 Bixiga 건물 발견 / 프레임에서 그곳이 Marta의 거리였음이 드러남.</t>
  </si>
  <si>
    <t xml:space="preserve">미드포인트(6화): 조항 설계 — Rafael이 스스로 함정(공사 사유 회수 조항)을 만든다.</t>
  </si>
  <si>
    <t xml:space="preserve">위기(7~9화): 주민 총회(Dona Conceição), 재판 승소, 프레임에서 Rafael의 말이 막힘.</t>
  </si>
  <si>
    <t xml:space="preserve">절정(10~11화): 자르딘스 축하 만찬 중 부고, 손녀 Marina의 방문.</t>
  </si>
  <si>
    <t xml:space="preserve">결말·훅(12화): 사직과 응급실 — Camila가 Rafael을 진료한다.</t>
  </si>
  <si>
    <r>
      <rPr>
        <sz val="10"/>
        <rFont val="Arial"/>
        <family val="0"/>
        <charset val="1"/>
      </rPr>
      <t xml:space="preserve">Rafael: </t>
    </r>
    <r>
      <rPr>
        <sz val="10"/>
        <rFont val="WenQuanYi Zen Hei"/>
        <family val="2"/>
      </rPr>
      <t xml:space="preserve">완결된 문장</t>
    </r>
    <r>
      <rPr>
        <sz val="10"/>
        <rFont val="Arial"/>
        <family val="0"/>
        <charset val="1"/>
      </rPr>
      <t xml:space="preserve">·</t>
    </r>
    <r>
      <rPr>
        <sz val="10"/>
        <rFont val="WenQuanYi Zen Hei"/>
        <family val="2"/>
      </rPr>
      <t xml:space="preserve">조항 인용</t>
    </r>
    <r>
      <rPr>
        <sz val="10"/>
        <rFont val="Arial"/>
        <family val="0"/>
        <charset val="1"/>
      </rPr>
      <t xml:space="preserve">(</t>
    </r>
    <r>
      <rPr>
        <sz val="10"/>
        <rFont val="WenQuanYi Zen Hei"/>
        <family val="2"/>
      </rPr>
      <t xml:space="preserve">초반의 차가움</t>
    </r>
    <r>
      <rPr>
        <sz val="10"/>
        <rFont val="Arial"/>
        <family val="0"/>
        <charset val="1"/>
      </rPr>
      <t xml:space="preserve">). </t>
    </r>
    <r>
      <rPr>
        <sz val="10"/>
        <rFont val="WenQuanYi Zen Hei"/>
        <family val="2"/>
      </rPr>
      <t xml:space="preserve">교차 카메오</t>
    </r>
    <r>
      <rPr>
        <sz val="10"/>
        <rFont val="Arial"/>
        <family val="0"/>
        <charset val="1"/>
      </rPr>
      <t xml:space="preserve">: Juliana(</t>
    </r>
    <r>
      <rPr>
        <sz val="10"/>
        <rFont val="WenQuanYi Zen Hei"/>
        <family val="2"/>
      </rPr>
      <t xml:space="preserve">고객 컨설턴트</t>
    </r>
    <r>
      <rPr>
        <sz val="10"/>
        <rFont val="Arial"/>
        <family val="0"/>
        <charset val="1"/>
      </rPr>
      <t xml:space="preserve">), Bruno(</t>
    </r>
    <r>
      <rPr>
        <sz val="10"/>
        <rFont val="WenQuanYi Zen Hei"/>
        <family val="2"/>
      </rPr>
      <t xml:space="preserve">감사인</t>
    </r>
    <r>
      <rPr>
        <sz val="10"/>
        <rFont val="Arial"/>
        <family val="0"/>
        <charset val="1"/>
      </rPr>
      <t xml:space="preserve">), Camila(</t>
    </r>
    <r>
      <rPr>
        <sz val="10"/>
        <rFont val="WenQuanYi Zen Hei"/>
        <family val="2"/>
      </rPr>
      <t xml:space="preserve">응급의</t>
    </r>
    <r>
      <rPr>
        <sz val="10"/>
        <rFont val="Arial"/>
        <family val="0"/>
        <charset val="1"/>
      </rPr>
      <t xml:space="preserve">), Sérgio·Freire·Edson·Machado·Dumont. </t>
    </r>
    <r>
      <rPr>
        <sz val="10"/>
        <rFont val="WenQuanYi Zen Hei"/>
        <family val="2"/>
      </rPr>
      <t xml:space="preserve">가상 인물</t>
    </r>
    <r>
      <rPr>
        <sz val="10"/>
        <rFont val="Arial"/>
        <family val="0"/>
        <charset val="1"/>
      </rPr>
      <t xml:space="preserve">: Salgado(</t>
    </r>
    <r>
      <rPr>
        <sz val="10"/>
        <rFont val="WenQuanYi Zen Hei"/>
        <family val="2"/>
      </rPr>
      <t xml:space="preserve">상사</t>
    </r>
    <r>
      <rPr>
        <sz val="10"/>
        <rFont val="Arial"/>
        <family val="0"/>
        <charset val="1"/>
      </rPr>
      <t xml:space="preserve">), Quintela(</t>
    </r>
    <r>
      <rPr>
        <sz val="10"/>
        <rFont val="WenQuanYi Zen Hei"/>
        <family val="2"/>
      </rPr>
      <t xml:space="preserve">회장</t>
    </r>
    <r>
      <rPr>
        <sz val="10"/>
        <rFont val="Arial"/>
        <family val="0"/>
        <charset val="1"/>
      </rPr>
      <t xml:space="preserve">), Dona Conceição(78</t>
    </r>
    <r>
      <rPr>
        <sz val="10"/>
        <rFont val="WenQuanYi Zen Hei"/>
        <family val="2"/>
      </rPr>
      <t xml:space="preserve">세</t>
    </r>
    <r>
      <rPr>
        <sz val="10"/>
        <rFont val="Arial"/>
        <family val="0"/>
        <charset val="1"/>
      </rPr>
      <t xml:space="preserve">), Marina(</t>
    </r>
    <r>
      <rPr>
        <sz val="10"/>
        <rFont val="WenQuanYi Zen Hei"/>
        <family val="2"/>
      </rPr>
      <t xml:space="preserve">손녀</t>
    </r>
    <r>
      <rPr>
        <sz val="10"/>
        <rFont val="Arial"/>
        <family val="0"/>
        <charset val="1"/>
      </rPr>
      <t xml:space="preserve">).</t>
    </r>
  </si>
  <si>
    <r>
      <rPr>
        <sz val="10"/>
        <rFont val="Arial"/>
        <family val="0"/>
        <charset val="1"/>
      </rPr>
      <t xml:space="preserve">«retomada para obras» </t>
    </r>
    <r>
      <rPr>
        <sz val="10"/>
        <rFont val="WenQuanYi Zen Hei"/>
        <family val="2"/>
      </rPr>
      <t xml:space="preserve">조항 → </t>
    </r>
    <r>
      <rPr>
        <sz val="10"/>
        <rFont val="Arial"/>
        <family val="0"/>
        <charset val="1"/>
      </rPr>
      <t xml:space="preserve">6</t>
    </r>
    <r>
      <rPr>
        <sz val="10"/>
        <rFont val="WenQuanYi Zen Hei"/>
        <family val="2"/>
      </rPr>
      <t xml:space="preserve">부 </t>
    </r>
    <r>
      <rPr>
        <sz val="10"/>
        <rFont val="Arial"/>
        <family val="0"/>
        <charset val="1"/>
      </rPr>
      <t xml:space="preserve">6</t>
    </r>
    <r>
      <rPr>
        <sz val="10"/>
        <rFont val="WenQuanYi Zen Hei"/>
        <family val="2"/>
      </rPr>
      <t xml:space="preserve">화 폭로</t>
    </r>
    <r>
      <rPr>
        <sz val="10"/>
        <rFont val="Arial"/>
        <family val="0"/>
        <charset val="1"/>
      </rPr>
      <t xml:space="preserve">, 11</t>
    </r>
    <r>
      <rPr>
        <sz val="10"/>
        <rFont val="WenQuanYi Zen Hei"/>
        <family val="2"/>
      </rPr>
      <t xml:space="preserve">부 </t>
    </r>
    <r>
      <rPr>
        <sz val="10"/>
        <rFont val="Arial"/>
        <family val="0"/>
        <charset val="1"/>
      </rPr>
      <t xml:space="preserve">3</t>
    </r>
    <r>
      <rPr>
        <sz val="10"/>
        <rFont val="WenQuanYi Zen Hei"/>
        <family val="2"/>
      </rPr>
      <t xml:space="preserve">화 주거법 개정으로 폐지 </t>
    </r>
    <r>
      <rPr>
        <sz val="10"/>
        <rFont val="Arial"/>
        <family val="0"/>
        <charset val="1"/>
      </rPr>
      <t xml:space="preserve">/ «Isso não fecha»(Bruno) → 4</t>
    </r>
    <r>
      <rPr>
        <sz val="10"/>
        <rFont val="WenQuanYi Zen Hei"/>
        <family val="2"/>
      </rPr>
      <t xml:space="preserve">부 </t>
    </r>
    <r>
      <rPr>
        <sz val="10"/>
        <rFont val="Arial"/>
        <family val="0"/>
        <charset val="1"/>
      </rPr>
      <t xml:space="preserve">/ Marta</t>
    </r>
    <r>
      <rPr>
        <sz val="10"/>
        <rFont val="WenQuanYi Zen Hei"/>
        <family val="2"/>
      </rPr>
      <t xml:space="preserve">의 건물 → </t>
    </r>
    <r>
      <rPr>
        <sz val="10"/>
        <rFont val="Arial"/>
        <family val="0"/>
        <charset val="1"/>
      </rPr>
      <t xml:space="preserve">8</t>
    </r>
    <r>
      <rPr>
        <sz val="10"/>
        <rFont val="WenQuanYi Zen Hei"/>
        <family val="2"/>
      </rPr>
      <t xml:space="preserve">부 창당 동기</t>
    </r>
  </si>
  <si>
    <t xml:space="preserve">E1● P3○</t>
  </si>
  <si>
    <t xml:space="preserve">임대 해지·공사 사유 회수(임대차법 제47조), 실사(due diligence), 부동산 등기(matrícula), 소송(petição inicial, audiência, sentença, custas), 로펌 구조(sócio)</t>
  </si>
  <si>
    <r>
      <rPr>
        <sz val="10"/>
        <rFont val="Arial"/>
        <family val="0"/>
        <charset val="1"/>
      </rPr>
      <t xml:space="preserve">B2~C1. </t>
    </r>
    <r>
      <rPr>
        <sz val="10"/>
        <rFont val="WenQuanYi Zen Hei"/>
        <family val="2"/>
      </rPr>
      <t xml:space="preserve">접속법 현재</t>
    </r>
    <r>
      <rPr>
        <sz val="10"/>
        <rFont val="Arial"/>
        <family val="0"/>
        <charset val="1"/>
      </rPr>
      <t xml:space="preserve">·</t>
    </r>
    <r>
      <rPr>
        <sz val="10"/>
        <rFont val="WenQuanYi Zen Hei"/>
        <family val="2"/>
      </rPr>
      <t xml:space="preserve">과거</t>
    </r>
    <r>
      <rPr>
        <sz val="10"/>
        <rFont val="Arial"/>
        <family val="0"/>
        <charset val="1"/>
      </rPr>
      <t xml:space="preserve">, </t>
    </r>
    <r>
      <rPr>
        <sz val="10"/>
        <rFont val="WenQuanYi Zen Hei"/>
        <family val="2"/>
      </rPr>
      <t xml:space="preserve">수동태</t>
    </r>
    <r>
      <rPr>
        <sz val="10"/>
        <rFont val="Arial"/>
        <family val="0"/>
        <charset val="1"/>
      </rPr>
      <t xml:space="preserve">, </t>
    </r>
    <r>
      <rPr>
        <sz val="10"/>
        <rFont val="WenQuanYi Zen Hei"/>
        <family val="2"/>
      </rPr>
      <t xml:space="preserve">법률 문어체</t>
    </r>
    <r>
      <rPr>
        <sz val="10"/>
        <rFont val="Arial"/>
        <family val="0"/>
        <charset val="1"/>
      </rPr>
      <t xml:space="preserve">. </t>
    </r>
    <r>
      <rPr>
        <sz val="10"/>
        <rFont val="WenQuanYi Zen Hei"/>
        <family val="2"/>
      </rPr>
      <t xml:space="preserve">과거 장면은 격식 문어</t>
    </r>
    <r>
      <rPr>
        <sz val="10"/>
        <rFont val="Arial"/>
        <family val="0"/>
        <charset val="1"/>
      </rPr>
      <t xml:space="preserve">, </t>
    </r>
    <r>
      <rPr>
        <sz val="10"/>
        <rFont val="WenQuanYi Zen Hei"/>
        <family val="2"/>
      </rPr>
      <t xml:space="preserve">프레임 장면은 </t>
    </r>
    <r>
      <rPr>
        <sz val="10"/>
        <rFont val="Arial"/>
        <family val="0"/>
        <charset val="1"/>
      </rPr>
      <t xml:space="preserve">B1</t>
    </r>
    <r>
      <rPr>
        <sz val="10"/>
        <rFont val="WenQuanYi Zen Hei"/>
        <family val="2"/>
      </rPr>
      <t xml:space="preserve">로 두어 톤을 대비</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또박또박</t>
    </r>
    <r>
      <rPr>
        <sz val="10"/>
        <rFont val="Arial"/>
        <family val="0"/>
        <charset val="1"/>
      </rPr>
      <t xml:space="preserve">, </t>
    </r>
    <r>
      <rPr>
        <sz val="10"/>
        <rFont val="WenQuanYi Zen Hei"/>
        <family val="2"/>
      </rPr>
      <t xml:space="preserve">중저음</t>
    </r>
    <r>
      <rPr>
        <sz val="10"/>
        <rFont val="Arial"/>
        <family val="0"/>
        <charset val="1"/>
      </rPr>
      <t xml:space="preserve">.</t>
    </r>
  </si>
  <si>
    <r>
      <rPr>
        <sz val="10"/>
        <rFont val="Arial"/>
        <family val="0"/>
        <charset val="1"/>
      </rPr>
      <t xml:space="preserve">Larissa: petição·sentença·cláusula </t>
    </r>
    <r>
      <rPr>
        <sz val="10"/>
        <rFont val="WenQuanYi Zen Hei"/>
        <family val="2"/>
      </rPr>
      <t xml:space="preserve">등 법률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부동산 등기소</t>
    </r>
    <r>
      <rPr>
        <sz val="10"/>
        <rFont val="Arial"/>
        <family val="0"/>
        <charset val="1"/>
      </rPr>
      <t xml:space="preserve">(Cartório de Registro de Imóveis), </t>
    </r>
    <r>
      <rPr>
        <sz val="10"/>
        <rFont val="WenQuanYi Zen Hei"/>
        <family val="2"/>
      </rPr>
      <t xml:space="preserve">임대차법</t>
    </r>
    <r>
      <rPr>
        <sz val="10"/>
        <rFont val="Arial"/>
        <family val="0"/>
        <charset val="1"/>
      </rPr>
      <t xml:space="preserve">, </t>
    </r>
    <r>
      <rPr>
        <sz val="10"/>
        <rFont val="WenQuanYi Zen Hei"/>
        <family val="2"/>
      </rPr>
      <t xml:space="preserve">민사소송법</t>
    </r>
    <r>
      <rPr>
        <sz val="10"/>
        <rFont val="Arial"/>
        <family val="0"/>
        <charset val="1"/>
      </rPr>
      <t xml:space="preserve">(CPC)</t>
    </r>
    <r>
      <rPr>
        <sz val="10"/>
        <rFont val="WenQuanYi Zen Hei"/>
        <family val="2"/>
      </rPr>
      <t xml:space="preserve">의 퇴거 절차</t>
    </r>
    <r>
      <rPr>
        <sz val="10"/>
        <rFont val="Arial"/>
        <family val="0"/>
        <charset val="1"/>
      </rPr>
      <t xml:space="preserve">.</t>
    </r>
  </si>
  <si>
    <r>
      <rPr>
        <sz val="10"/>
        <rFont val="Arial"/>
        <family val="0"/>
        <charset val="1"/>
      </rPr>
      <t xml:space="preserve">3</t>
    </r>
    <r>
      <rPr>
        <sz val="10"/>
        <rFont val="WenQuanYi Zen Hei"/>
        <family val="2"/>
      </rPr>
      <t xml:space="preserve">부</t>
    </r>
    <r>
      <rPr>
        <sz val="10"/>
        <rFont val="Arial"/>
        <family val="0"/>
        <charset val="1"/>
      </rPr>
      <t xml:space="preserve">: </t>
    </r>
    <r>
      <rPr>
        <sz val="10"/>
        <rFont val="WenQuanYi Zen Hei"/>
        <family val="2"/>
      </rPr>
      <t xml:space="preserve">응급실에서 쓰러진 </t>
    </r>
    <r>
      <rPr>
        <sz val="10"/>
        <rFont val="Arial"/>
        <family val="0"/>
        <charset val="1"/>
      </rPr>
      <t xml:space="preserve">Rafael — </t>
    </r>
    <r>
      <rPr>
        <sz val="10"/>
        <rFont val="WenQuanYi Zen Hei"/>
        <family val="2"/>
      </rPr>
      <t xml:space="preserve">다음 금요일은 </t>
    </r>
    <r>
      <rPr>
        <sz val="10"/>
        <rFont val="Arial"/>
        <family val="0"/>
        <charset val="1"/>
      </rPr>
      <t xml:space="preserve">Camila</t>
    </r>
    <r>
      <rPr>
        <sz val="10"/>
        <rFont val="WenQuanYi Zen Hei"/>
        <family val="2"/>
      </rPr>
      <t xml:space="preserve">의 이야기</t>
    </r>
    <r>
      <rPr>
        <sz val="10"/>
        <rFont val="Arial"/>
        <family val="0"/>
        <charset val="1"/>
      </rPr>
      <t xml:space="preserve">.</t>
    </r>
  </si>
  <si>
    <r>
      <rPr>
        <b val="true"/>
        <sz val="10"/>
        <color rgb="FFFFFFFF"/>
        <rFont val="Arial"/>
        <family val="0"/>
        <charset val="1"/>
      </rPr>
      <t xml:space="preserve">A Médica — </t>
    </r>
    <r>
      <rPr>
        <b val="true"/>
        <sz val="10"/>
        <color rgb="FFFFFFFF"/>
        <rFont val="WenQuanYi Zen Hei"/>
        <family val="2"/>
      </rPr>
      <t xml:space="preserve">의사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프레임</t>
    </r>
    <r>
      <rPr>
        <b val="true"/>
        <sz val="10"/>
        <color rgb="FFFFFFFF"/>
        <rFont val="Arial"/>
        <family val="0"/>
        <charset val="1"/>
      </rPr>
      <t xml:space="preserve">: </t>
    </r>
    <r>
      <rPr>
        <b val="true"/>
        <sz val="10"/>
        <color rgb="FFFFFFFF"/>
        <rFont val="WenQuanYi Zen Hei"/>
        <family val="2"/>
      </rPr>
      <t xml:space="preserve">금요일 밤</t>
    </r>
    <r>
      <rPr>
        <b val="true"/>
        <sz val="10"/>
        <color rgb="FFFFFFFF"/>
        <rFont val="Arial"/>
        <family val="0"/>
        <charset val="1"/>
      </rPr>
      <t xml:space="preserve">. </t>
    </r>
    <r>
      <rPr>
        <b val="true"/>
        <sz val="10"/>
        <color rgb="FFFFFFFF"/>
        <rFont val="WenQuanYi Zen Hei"/>
        <family val="2"/>
      </rPr>
      <t xml:space="preserve">과거</t>
    </r>
    <r>
      <rPr>
        <b val="true"/>
        <sz val="10"/>
        <color rgb="FFFFFFFF"/>
        <rFont val="Arial"/>
        <family val="0"/>
        <charset val="1"/>
      </rPr>
      <t xml:space="preserve">: </t>
    </r>
    <r>
      <rPr>
        <b val="true"/>
        <sz val="10"/>
        <color rgb="FFFFFFFF"/>
        <rFont val="WenQuanYi Zen Hei"/>
        <family val="2"/>
      </rPr>
      <t xml:space="preserve">약 </t>
    </r>
    <r>
      <rPr>
        <b val="true"/>
        <sz val="10"/>
        <color rgb="FFFFFFFF"/>
        <rFont val="Arial"/>
        <family val="0"/>
        <charset val="1"/>
      </rPr>
      <t xml:space="preserve">4</t>
    </r>
    <r>
      <rPr>
        <b val="true"/>
        <sz val="10"/>
        <color rgb="FFFFFFFF"/>
        <rFont val="WenQuanYi Zen Hei"/>
        <family val="2"/>
      </rPr>
      <t xml:space="preserve">년 전</t>
    </r>
    <r>
      <rPr>
        <b val="true"/>
        <sz val="10"/>
        <color rgb="FFFFFFFF"/>
        <rFont val="Arial"/>
        <family val="0"/>
        <charset val="1"/>
      </rPr>
      <t xml:space="preserve">, Hospital Municipal São Bartolomeu(</t>
    </r>
    <r>
      <rPr>
        <b val="true"/>
        <sz val="10"/>
        <color rgb="FFFFFFFF"/>
        <rFont val="WenQuanYi Zen Hei"/>
        <family val="2"/>
      </rPr>
      <t xml:space="preserve">가상</t>
    </r>
    <r>
      <rPr>
        <b val="true"/>
        <sz val="10"/>
        <color rgb="FFFFFFFF"/>
        <rFont val="Arial"/>
        <family val="0"/>
        <charset val="1"/>
      </rPr>
      <t xml:space="preserve">) </t>
    </r>
    <r>
      <rPr>
        <b val="true"/>
        <sz val="10"/>
        <color rgb="FFFFFFFF"/>
        <rFont val="WenQuanYi Zen Hei"/>
        <family val="2"/>
      </rPr>
      <t xml:space="preserve">응급실</t>
    </r>
    <r>
      <rPr>
        <b val="true"/>
        <sz val="10"/>
        <color rgb="FFFFFFFF"/>
        <rFont val="Arial"/>
        <family val="0"/>
        <charset val="1"/>
      </rPr>
      <t xml:space="preserve">.</t>
    </r>
  </si>
  <si>
    <t xml:space="preserve">인간의 생명과 공공 보건이라는 정서적 무게. Grupo Meridiano의 두 번째 얼굴(병원 위탁 운영 OSS)을 보여 주고, 폭염·고령 환자·서류 없는 이주민 환자 등 현안을 응급실에서 체감하게 한다.</t>
  </si>
  <si>
    <t xml:space="preserve">응급의가 예산 삭감과 병원 위탁 운영 속에서 환자를 잃기 시작하고, 이름을 적어 두다가 내부 보고를 올리지만 징계로 돌아온다.</t>
  </si>
  <si>
    <t xml:space="preserve">시스템을 믿는 의사 → 이름 명단만 든 사직자.</t>
  </si>
  <si>
    <t xml:space="preserve">의료 윤리 vs 관리 효율 / 침묵하는 동료들</t>
  </si>
  <si>
    <t xml:space="preserve">발단(1~3화): 금요일 프레임, 야간 당직(Rafael 진료), 폭염 환자 폭증.</t>
  </si>
  <si>
    <t xml:space="preserve">전개(4~5화): 위탁 운영 발표(컨설턴트 Juliana 등장), 프레임에서 수첩 명단과 Dom Pedro의 부은 발목.</t>
  </si>
  <si>
    <t xml:space="preserve">미드포인트(6화): '명단의 첫 번째' — 서류 없는 이주민 봉제 노동자가 병상 배정 지연으로 숨진다.</t>
  </si>
  <si>
    <t xml:space="preserve">위기(7~9화): 원장의 통계, 징계 조사, 프레임에서 Isabel의 되받기.</t>
  </si>
  <si>
    <t xml:space="preserve">절정(10~11화): 병상 없는 밤, 사직.</t>
  </si>
  <si>
    <t xml:space="preserve">결말·훅(12화): 계약 감사보고서에 서명한 사람이 있다 — Bruno의 차례.</t>
  </si>
  <si>
    <r>
      <rPr>
        <sz val="10"/>
        <rFont val="Arial"/>
        <family val="0"/>
        <charset val="1"/>
      </rPr>
      <t xml:space="preserve">Camila: </t>
    </r>
    <r>
      <rPr>
        <sz val="10"/>
        <rFont val="WenQuanYi Zen Hei"/>
        <family val="2"/>
      </rPr>
      <t xml:space="preserve">짧은 문장</t>
    </r>
    <r>
      <rPr>
        <sz val="10"/>
        <rFont val="Arial"/>
        <family val="0"/>
        <charset val="1"/>
      </rPr>
      <t xml:space="preserve">·</t>
    </r>
    <r>
      <rPr>
        <sz val="10"/>
        <rFont val="WenQuanYi Zen Hei"/>
        <family val="2"/>
      </rPr>
      <t xml:space="preserve">명령형</t>
    </r>
    <r>
      <rPr>
        <sz val="10"/>
        <rFont val="Arial"/>
        <family val="0"/>
        <charset val="1"/>
      </rPr>
      <t xml:space="preserve">·</t>
    </r>
    <r>
      <rPr>
        <sz val="10"/>
        <rFont val="WenQuanYi Zen Hei"/>
        <family val="2"/>
      </rPr>
      <t xml:space="preserve">블랙유머</t>
    </r>
    <r>
      <rPr>
        <sz val="10"/>
        <rFont val="Arial"/>
        <family val="0"/>
        <charset val="1"/>
      </rPr>
      <t xml:space="preserve">. </t>
    </r>
    <r>
      <rPr>
        <sz val="10"/>
        <rFont val="WenQuanYi Zen Hei"/>
        <family val="2"/>
      </rPr>
      <t xml:space="preserve">가상 인물</t>
    </r>
    <r>
      <rPr>
        <sz val="10"/>
        <rFont val="Arial"/>
        <family val="0"/>
        <charset val="1"/>
      </rPr>
      <t xml:space="preserve">: Rosângela(</t>
    </r>
    <r>
      <rPr>
        <sz val="10"/>
        <rFont val="WenQuanYi Zen Hei"/>
        <family val="2"/>
      </rPr>
      <t xml:space="preserve">간호사</t>
    </r>
    <r>
      <rPr>
        <sz val="10"/>
        <rFont val="Arial"/>
        <family val="0"/>
        <charset val="1"/>
      </rPr>
      <t xml:space="preserve">), </t>
    </r>
    <r>
      <rPr>
        <sz val="10"/>
        <rFont val="WenQuanYi Zen Hei"/>
        <family val="2"/>
      </rPr>
      <t xml:space="preserve">원장</t>
    </r>
    <r>
      <rPr>
        <sz val="10"/>
        <rFont val="Arial"/>
        <family val="0"/>
        <charset val="1"/>
      </rPr>
      <t xml:space="preserve">. </t>
    </r>
    <r>
      <rPr>
        <sz val="10"/>
        <rFont val="WenQuanYi Zen Hei"/>
        <family val="2"/>
      </rPr>
      <t xml:space="preserve">교차 카메오</t>
    </r>
    <r>
      <rPr>
        <sz val="10"/>
        <rFont val="Arial"/>
        <family val="0"/>
        <charset val="1"/>
      </rPr>
      <t xml:space="preserve">: Rafael(</t>
    </r>
    <r>
      <rPr>
        <sz val="10"/>
        <rFont val="WenQuanYi Zen Hei"/>
        <family val="2"/>
      </rPr>
      <t xml:space="preserve">환자</t>
    </r>
    <r>
      <rPr>
        <sz val="10"/>
        <rFont val="Arial"/>
        <family val="0"/>
        <charset val="1"/>
      </rPr>
      <t xml:space="preserve">), Juliana(</t>
    </r>
    <r>
      <rPr>
        <sz val="10"/>
        <rFont val="WenQuanYi Zen Hei"/>
        <family val="2"/>
      </rPr>
      <t xml:space="preserve">효율 발표</t>
    </r>
    <r>
      <rPr>
        <sz val="10"/>
        <rFont val="Arial"/>
        <family val="0"/>
        <charset val="1"/>
      </rPr>
      <t xml:space="preserve">), Bruno(</t>
    </r>
    <r>
      <rPr>
        <sz val="10"/>
        <rFont val="WenQuanYi Zen Hei"/>
        <family val="2"/>
      </rPr>
      <t xml:space="preserve">위탁 업체 자문</t>
    </r>
    <r>
      <rPr>
        <sz val="10"/>
        <rFont val="Arial"/>
        <family val="0"/>
        <charset val="1"/>
      </rPr>
      <t xml:space="preserve">), Dumont(</t>
    </r>
    <r>
      <rPr>
        <sz val="10"/>
        <rFont val="WenQuanYi Zen Hei"/>
        <family val="2"/>
      </rPr>
      <t xml:space="preserve">취재</t>
    </r>
    <r>
      <rPr>
        <sz val="10"/>
        <rFont val="Arial"/>
        <family val="0"/>
        <charset val="1"/>
      </rPr>
      <t xml:space="preserve">).</t>
    </r>
  </si>
  <si>
    <r>
      <rPr>
        <sz val="10"/>
        <rFont val="Arial"/>
        <family val="0"/>
        <charset val="1"/>
      </rPr>
      <t xml:space="preserve">Dom Pedro</t>
    </r>
    <r>
      <rPr>
        <sz val="10"/>
        <rFont val="WenQuanYi Zen Hei"/>
        <family val="2"/>
      </rPr>
      <t xml:space="preserve">의 부은 발목</t>
    </r>
    <r>
      <rPr>
        <sz val="10"/>
        <rFont val="Arial"/>
        <family val="0"/>
        <charset val="1"/>
      </rPr>
      <t xml:space="preserve">·</t>
    </r>
    <r>
      <rPr>
        <sz val="10"/>
        <rFont val="WenQuanYi Zen Hei"/>
        <family val="2"/>
      </rPr>
      <t xml:space="preserve">숨참</t>
    </r>
    <r>
      <rPr>
        <sz val="10"/>
        <rFont val="Arial"/>
        <family val="0"/>
        <charset val="1"/>
      </rPr>
      <t xml:space="preserve">(→11</t>
    </r>
    <r>
      <rPr>
        <sz val="10"/>
        <rFont val="WenQuanYi Zen Hei"/>
        <family val="2"/>
      </rPr>
      <t xml:space="preserve">부 </t>
    </r>
    <r>
      <rPr>
        <sz val="10"/>
        <rFont val="Arial"/>
        <family val="0"/>
        <charset val="1"/>
      </rPr>
      <t xml:space="preserve">6·11~12</t>
    </r>
    <r>
      <rPr>
        <sz val="10"/>
        <rFont val="WenQuanYi Zen Hei"/>
        <family val="2"/>
      </rPr>
      <t xml:space="preserve">화 심부전</t>
    </r>
    <r>
      <rPr>
        <sz val="10"/>
        <rFont val="Arial"/>
        <family val="0"/>
        <charset val="1"/>
      </rPr>
      <t xml:space="preserve">) / Camila</t>
    </r>
    <r>
      <rPr>
        <sz val="10"/>
        <rFont val="WenQuanYi Zen Hei"/>
        <family val="2"/>
      </rPr>
      <t xml:space="preserve">의 이름 명단</t>
    </r>
    <r>
      <rPr>
        <sz val="10"/>
        <rFont val="Arial"/>
        <family val="0"/>
        <charset val="1"/>
      </rPr>
      <t xml:space="preserve">(→12</t>
    </r>
    <r>
      <rPr>
        <sz val="10"/>
        <rFont val="WenQuanYi Zen Hei"/>
        <family val="2"/>
      </rPr>
      <t xml:space="preserve">부 </t>
    </r>
    <r>
      <rPr>
        <sz val="10"/>
        <rFont val="Arial"/>
        <family val="0"/>
        <charset val="1"/>
      </rPr>
      <t xml:space="preserve">9</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 </t>
    </r>
    <r>
      <rPr>
        <sz val="10"/>
        <rFont val="WenQuanYi Zen Hei"/>
        <family val="2"/>
      </rPr>
      <t xml:space="preserve">위탁 계약</t>
    </r>
    <r>
      <rPr>
        <sz val="10"/>
        <rFont val="Arial"/>
        <family val="0"/>
        <charset val="1"/>
      </rPr>
      <t xml:space="preserve">(→9</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4</t>
    </r>
    <r>
      <rPr>
        <sz val="10"/>
        <rFont val="WenQuanYi Zen Hei"/>
        <family val="2"/>
      </rPr>
      <t xml:space="preserve">화</t>
    </r>
    <r>
      <rPr>
        <sz val="10"/>
        <rFont val="Arial"/>
        <family val="0"/>
        <charset val="1"/>
      </rPr>
      <t xml:space="preserve">)</t>
    </r>
  </si>
  <si>
    <t xml:space="preserve">S4● S3○ S2○ P3○</t>
  </si>
  <si>
    <t xml:space="preserve">사회조직 위탁 운영(OSS, Lei 9.637/1998), 시 보건국 관리계약, 위험도 분류(맨체스터 프로토콜), 병상 배정 규제(regulação), SUS 보편 접근권(헌법 제196조), 징계 조사·의료윤리(CRM)</t>
  </si>
  <si>
    <r>
      <rPr>
        <sz val="10"/>
        <rFont val="Arial"/>
        <family val="0"/>
        <charset val="1"/>
      </rPr>
      <t xml:space="preserve">B2~C1. </t>
    </r>
    <r>
      <rPr>
        <sz val="10"/>
        <rFont val="WenQuanYi Zen Hei"/>
        <family val="2"/>
      </rPr>
      <t xml:space="preserve">의학 어휘</t>
    </r>
    <r>
      <rPr>
        <sz val="10"/>
        <rFont val="Arial"/>
        <family val="0"/>
        <charset val="1"/>
      </rPr>
      <t xml:space="preserve">, </t>
    </r>
    <r>
      <rPr>
        <sz val="10"/>
        <rFont val="WenQuanYi Zen Hei"/>
        <family val="2"/>
      </rPr>
      <t xml:space="preserve">짧은 명령형</t>
    </r>
    <r>
      <rPr>
        <sz val="10"/>
        <rFont val="Arial"/>
        <family val="0"/>
        <charset val="1"/>
      </rPr>
      <t xml:space="preserve">, </t>
    </r>
    <r>
      <rPr>
        <sz val="10"/>
        <rFont val="WenQuanYi Zen Hei"/>
        <family val="2"/>
      </rPr>
      <t xml:space="preserve">긴박한 호흡</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빠른 템포와 짧은 호흡</t>
    </r>
    <r>
      <rPr>
        <sz val="10"/>
        <rFont val="Arial"/>
        <family val="0"/>
        <charset val="1"/>
      </rPr>
      <t xml:space="preserve">.</t>
    </r>
  </si>
  <si>
    <r>
      <rPr>
        <sz val="10"/>
        <rFont val="Arial"/>
        <family val="0"/>
        <charset val="1"/>
      </rPr>
      <t xml:space="preserve">Larissa: classificação de risco·sinais vitais·sepse </t>
    </r>
    <r>
      <rPr>
        <sz val="10"/>
        <rFont val="WenQuanYi Zen Hei"/>
        <family val="2"/>
      </rPr>
      <t xml:space="preserve">등 의학 용어</t>
    </r>
    <r>
      <rPr>
        <sz val="10"/>
        <rFont val="Arial"/>
        <family val="0"/>
        <charset val="1"/>
      </rPr>
      <t xml:space="preserve">. </t>
    </r>
    <r>
      <rPr>
        <sz val="10"/>
        <rFont val="WenQuanYi Zen Hei"/>
        <family val="2"/>
      </rPr>
      <t xml:space="preserve">카드</t>
    </r>
    <r>
      <rPr>
        <sz val="10"/>
        <rFont val="Arial"/>
        <family val="0"/>
        <charset val="1"/>
      </rPr>
      <t xml:space="preserve">: SUS </t>
    </r>
    <r>
      <rPr>
        <sz val="10"/>
        <rFont val="WenQuanYi Zen Hei"/>
        <family val="2"/>
      </rPr>
      <t xml:space="preserve">기본법</t>
    </r>
    <r>
      <rPr>
        <sz val="10"/>
        <rFont val="Arial"/>
        <family val="0"/>
        <charset val="1"/>
      </rPr>
      <t xml:space="preserve">(Lei 8.080/1990), </t>
    </r>
    <r>
      <rPr>
        <sz val="10"/>
        <rFont val="WenQuanYi Zen Hei"/>
        <family val="2"/>
      </rPr>
      <t xml:space="preserve">이용자 권리 헌장</t>
    </r>
    <r>
      <rPr>
        <sz val="10"/>
        <rFont val="Arial"/>
        <family val="0"/>
        <charset val="1"/>
      </rPr>
      <t xml:space="preserve">(Portaria MS 1.820/2009), OSS</t>
    </r>
    <r>
      <rPr>
        <sz val="10"/>
        <rFont val="WenQuanYi Zen Hei"/>
        <family val="2"/>
      </rPr>
      <t xml:space="preserve">법</t>
    </r>
    <r>
      <rPr>
        <sz val="10"/>
        <rFont val="Arial"/>
        <family val="0"/>
        <charset val="1"/>
      </rPr>
      <t xml:space="preserve">(Lei 9.637/1998).</t>
    </r>
  </si>
  <si>
    <r>
      <rPr>
        <sz val="10"/>
        <rFont val="Arial"/>
        <family val="0"/>
        <charset val="1"/>
      </rPr>
      <t xml:space="preserve">4</t>
    </r>
    <r>
      <rPr>
        <sz val="10"/>
        <rFont val="WenQuanYi Zen Hei"/>
        <family val="2"/>
      </rPr>
      <t xml:space="preserve">부</t>
    </r>
    <r>
      <rPr>
        <sz val="10"/>
        <rFont val="Arial"/>
        <family val="0"/>
        <charset val="1"/>
      </rPr>
      <t xml:space="preserve">: Bruno — «Minha vez.» </t>
    </r>
    <r>
      <rPr>
        <sz val="10"/>
        <rFont val="WenQuanYi Zen Hei"/>
        <family val="2"/>
      </rPr>
      <t xml:space="preserve">그 서명의 주인</t>
    </r>
    <r>
      <rPr>
        <sz val="10"/>
        <rFont val="Arial"/>
        <family val="0"/>
        <charset val="1"/>
      </rPr>
      <t xml:space="preserve">.</t>
    </r>
  </si>
  <si>
    <r>
      <rPr>
        <b val="true"/>
        <sz val="10"/>
        <color rgb="FFFFFFFF"/>
        <rFont val="Arial"/>
        <family val="0"/>
        <charset val="1"/>
      </rPr>
      <t xml:space="preserve">O Auditor — </t>
    </r>
    <r>
      <rPr>
        <b val="true"/>
        <sz val="10"/>
        <color rgb="FFFFFFFF"/>
        <rFont val="WenQuanYi Zen Hei"/>
        <family val="2"/>
      </rPr>
      <t xml:space="preserve">회계사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프레임</t>
    </r>
    <r>
      <rPr>
        <b val="true"/>
        <sz val="10"/>
        <color rgb="FFFFFFFF"/>
        <rFont val="Arial"/>
        <family val="0"/>
        <charset val="1"/>
      </rPr>
      <t xml:space="preserve">: </t>
    </r>
    <r>
      <rPr>
        <b val="true"/>
        <sz val="10"/>
        <color rgb="FFFFFFFF"/>
        <rFont val="WenQuanYi Zen Hei"/>
        <family val="2"/>
      </rPr>
      <t xml:space="preserve">금요일 밤</t>
    </r>
    <r>
      <rPr>
        <b val="true"/>
        <sz val="10"/>
        <color rgb="FFFFFFFF"/>
        <rFont val="Arial"/>
        <family val="0"/>
        <charset val="1"/>
      </rPr>
      <t xml:space="preserve">. </t>
    </r>
    <r>
      <rPr>
        <b val="true"/>
        <sz val="10"/>
        <color rgb="FFFFFFFF"/>
        <rFont val="WenQuanYi Zen Hei"/>
        <family val="2"/>
      </rPr>
      <t xml:space="preserve">과거</t>
    </r>
    <r>
      <rPr>
        <b val="true"/>
        <sz val="10"/>
        <color rgb="FFFFFFFF"/>
        <rFont val="Arial"/>
        <family val="0"/>
        <charset val="1"/>
      </rPr>
      <t xml:space="preserve">: </t>
    </r>
    <r>
      <rPr>
        <b val="true"/>
        <sz val="10"/>
        <color rgb="FFFFFFFF"/>
        <rFont val="WenQuanYi Zen Hei"/>
        <family val="2"/>
      </rPr>
      <t xml:space="preserve">약 </t>
    </r>
    <r>
      <rPr>
        <b val="true"/>
        <sz val="10"/>
        <color rgb="FFFFFFFF"/>
        <rFont val="Arial"/>
        <family val="0"/>
        <charset val="1"/>
      </rPr>
      <t xml:space="preserve">3</t>
    </r>
    <r>
      <rPr>
        <b val="true"/>
        <sz val="10"/>
        <color rgb="FFFFFFFF"/>
        <rFont val="WenQuanYi Zen Hei"/>
        <family val="2"/>
      </rPr>
      <t xml:space="preserve">년 전</t>
    </r>
    <r>
      <rPr>
        <b val="true"/>
        <sz val="10"/>
        <color rgb="FFFFFFFF"/>
        <rFont val="Arial"/>
        <family val="0"/>
        <charset val="1"/>
      </rPr>
      <t xml:space="preserve">, Barros &amp; Teixeira Auditores(</t>
    </r>
    <r>
      <rPr>
        <b val="true"/>
        <sz val="10"/>
        <color rgb="FFFFFFFF"/>
        <rFont val="WenQuanYi Zen Hei"/>
        <family val="2"/>
      </rPr>
      <t xml:space="preserve">가상</t>
    </r>
    <r>
      <rPr>
        <b val="true"/>
        <sz val="10"/>
        <color rgb="FFFFFFFF"/>
        <rFont val="Arial"/>
        <family val="0"/>
        <charset val="1"/>
      </rPr>
      <t xml:space="preserve">).</t>
    </r>
  </si>
  <si>
    <t xml:space="preserve">돈의 흐름과 '서명의 책임'. 부패의 공모가 일상 업무의 얼굴로 온다는 것을 보여 주고, 이후 아크의 결정적 증거(USB)를 만든다.</t>
  </si>
  <si>
    <t xml:space="preserve">시니어 파트너가 최대 고객의 이상 거래를 발견하지만, 압박과 승진 앞에서 결국 '깨끗한' 의견서에 서명하고 그 서명이 다른 사람의 죽음과 해고에 쓰인다.</t>
  </si>
  <si>
    <t xml:space="preserve">정확함을 자랑하던 감사인 → '서명한 사람'. 다시는 서명하지 않겠다는 다짐.</t>
  </si>
  <si>
    <t xml:space="preserve">감사인의 독립성 vs 수임료 / 정확함 vs 생존</t>
  </si>
  <si>
    <t xml:space="preserve">발단(1~3화): '내가 서명했다' 프레임, 결산 마감, 돈 잘 주는 고객.</t>
  </si>
  <si>
    <t xml:space="preserve">전개(4~5화): '이건 안 맞아' — 특수관계자 대출 발견 / 프레임에서 아버지 이야기.</t>
  </si>
  <si>
    <t xml:space="preserve">미드포인트(6화): 파트너 회의 — 한정 의견(com ressalva) 주장, 리스크 위원회로 에스컬레이션.</t>
  </si>
  <si>
    <t xml:space="preserve">위기(7~9화): 위원회의 '증거 불충분', 자르딘스의 점심(위협), 프레임 '서명했어요?'.</t>
  </si>
  <si>
    <t xml:space="preserve">절정(10~11화): 서명, 그리고 서명 이후 — 계약 확정과 구조조정 통보, 사직.</t>
  </si>
  <si>
    <t xml:space="preserve">결말·훅(12화): 프레임에서 Juliana — «Era eu que fazia a lista.»</t>
  </si>
  <si>
    <r>
      <rPr>
        <sz val="10"/>
        <rFont val="Arial"/>
        <family val="0"/>
        <charset val="1"/>
      </rPr>
      <t xml:space="preserve">Bruno: </t>
    </r>
    <r>
      <rPr>
        <sz val="10"/>
        <rFont val="WenQuanYi Zen Hei"/>
        <family val="2"/>
      </rPr>
      <t xml:space="preserve">건조</t>
    </r>
    <r>
      <rPr>
        <sz val="10"/>
        <rFont val="Arial"/>
        <family val="0"/>
        <charset val="1"/>
      </rPr>
      <t xml:space="preserve">·</t>
    </r>
    <r>
      <rPr>
        <sz val="10"/>
        <rFont val="WenQuanYi Zen Hei"/>
        <family val="2"/>
      </rPr>
      <t xml:space="preserve">정확</t>
    </r>
    <r>
      <rPr>
        <sz val="10"/>
        <rFont val="Arial"/>
        <family val="0"/>
        <charset val="1"/>
      </rPr>
      <t xml:space="preserve">, </t>
    </r>
    <r>
      <rPr>
        <sz val="10"/>
        <rFont val="WenQuanYi Zen Hei"/>
        <family val="2"/>
      </rPr>
      <t xml:space="preserve">숫자 낭독</t>
    </r>
    <r>
      <rPr>
        <sz val="10"/>
        <rFont val="Arial"/>
        <family val="0"/>
        <charset val="1"/>
      </rPr>
      <t xml:space="preserve">. </t>
    </r>
    <r>
      <rPr>
        <sz val="10"/>
        <rFont val="WenQuanYi Zen Hei"/>
        <family val="2"/>
      </rPr>
      <t xml:space="preserve">가상 인물</t>
    </r>
    <r>
      <rPr>
        <sz val="10"/>
        <rFont val="Arial"/>
        <family val="0"/>
        <charset val="1"/>
      </rPr>
      <t xml:space="preserve">: Barros(</t>
    </r>
    <r>
      <rPr>
        <sz val="10"/>
        <rFont val="WenQuanYi Zen Hei"/>
        <family val="2"/>
      </rPr>
      <t xml:space="preserve">대표 파트너</t>
    </r>
    <r>
      <rPr>
        <sz val="10"/>
        <rFont val="Arial"/>
        <family val="0"/>
        <charset val="1"/>
      </rPr>
      <t xml:space="preserve">). </t>
    </r>
    <r>
      <rPr>
        <sz val="10"/>
        <rFont val="WenQuanYi Zen Hei"/>
        <family val="2"/>
      </rPr>
      <t xml:space="preserve">교차 카메오</t>
    </r>
    <r>
      <rPr>
        <sz val="10"/>
        <rFont val="Arial"/>
        <family val="0"/>
        <charset val="1"/>
      </rPr>
      <t xml:space="preserve">: Sérgio(</t>
    </r>
    <r>
      <rPr>
        <sz val="10"/>
        <rFont val="WenQuanYi Zen Hei"/>
        <family val="2"/>
      </rPr>
      <t xml:space="preserve">자료 제공</t>
    </r>
    <r>
      <rPr>
        <sz val="10"/>
        <rFont val="Arial"/>
        <family val="0"/>
        <charset val="1"/>
      </rPr>
      <t xml:space="preserve">), Quintela(</t>
    </r>
    <r>
      <rPr>
        <sz val="10"/>
        <rFont val="WenQuanYi Zen Hei"/>
        <family val="2"/>
      </rPr>
      <t xml:space="preserve">회유</t>
    </r>
    <r>
      <rPr>
        <sz val="10"/>
        <rFont val="Arial"/>
        <family val="0"/>
        <charset val="1"/>
      </rPr>
      <t xml:space="preserve">), Dumont(</t>
    </r>
    <r>
      <rPr>
        <sz val="10"/>
        <rFont val="WenQuanYi Zen Hei"/>
        <family val="2"/>
      </rPr>
      <t xml:space="preserve">전화</t>
    </r>
    <r>
      <rPr>
        <sz val="10"/>
        <rFont val="Arial"/>
        <family val="0"/>
        <charset val="1"/>
      </rPr>
      <t xml:space="preserve">), Juliana(</t>
    </r>
    <r>
      <rPr>
        <sz val="10"/>
        <rFont val="WenQuanYi Zen Hei"/>
        <family val="2"/>
      </rPr>
      <t xml:space="preserve">구조조정 통보</t>
    </r>
    <r>
      <rPr>
        <sz val="10"/>
        <rFont val="Arial"/>
        <family val="0"/>
        <charset val="1"/>
      </rPr>
      <t xml:space="preserve">).</t>
    </r>
  </si>
  <si>
    <t xml:space="preserve">복사본 USB(→6부 5화, 7부 5~6화) / «Eu só assino o que verifiquei»(→11부 11화, 12부 3화) / Sérgio 첫 접점(→7부 5화)</t>
  </si>
  <si>
    <r>
      <rPr>
        <sz val="10"/>
        <rFont val="Arial"/>
        <family val="0"/>
        <charset val="1"/>
      </rPr>
      <t xml:space="preserve">—(</t>
    </r>
    <r>
      <rPr>
        <sz val="10"/>
        <rFont val="WenQuanYi Zen Hei"/>
        <family val="2"/>
      </rPr>
      <t xml:space="preserve">정치 현안 없음</t>
    </r>
    <r>
      <rPr>
        <sz val="10"/>
        <rFont val="Arial"/>
        <family val="0"/>
        <charset val="1"/>
      </rPr>
      <t xml:space="preserve">, </t>
    </r>
    <r>
      <rPr>
        <sz val="10"/>
        <rFont val="WenQuanYi Zen Hei"/>
        <family val="2"/>
      </rPr>
      <t xml:space="preserve">감사</t>
    </r>
    <r>
      <rPr>
        <sz val="10"/>
        <rFont val="Arial"/>
        <family val="0"/>
        <charset val="1"/>
      </rPr>
      <t xml:space="preserve">·</t>
    </r>
    <r>
      <rPr>
        <sz val="10"/>
        <rFont val="WenQuanYi Zen Hei"/>
        <family val="2"/>
      </rPr>
      <t xml:space="preserve">자금 세탁 중심</t>
    </r>
    <r>
      <rPr>
        <sz val="10"/>
        <rFont val="Arial"/>
        <family val="0"/>
        <charset val="1"/>
      </rPr>
      <t xml:space="preserve">)</t>
    </r>
  </si>
  <si>
    <t xml:space="preserve">감사인 독립성·순환(CVM 규정), 회계기준위원회(CFC) 감사 기준(NBC TA), 자금세탁방지(Lei 9.613/1998, COAF), 특수관계자 거래, 의견 종류(sem ressalva / com ressalva / adversa / abstenção de opinião)</t>
  </si>
  <si>
    <r>
      <rPr>
        <sz val="10"/>
        <rFont val="Arial"/>
        <family val="0"/>
        <charset val="1"/>
      </rPr>
      <t xml:space="preserve">B2~C1. </t>
    </r>
    <r>
      <rPr>
        <sz val="10"/>
        <rFont val="WenQuanYi Zen Hei"/>
        <family val="2"/>
      </rPr>
      <t xml:space="preserve">숫자 낭독</t>
    </r>
    <r>
      <rPr>
        <sz val="10"/>
        <rFont val="Arial"/>
        <family val="0"/>
        <charset val="1"/>
      </rPr>
      <t xml:space="preserve">, </t>
    </r>
    <r>
      <rPr>
        <sz val="10"/>
        <rFont val="WenQuanYi Zen Hei"/>
        <family val="2"/>
      </rPr>
      <t xml:space="preserve">수동태</t>
    </r>
    <r>
      <rPr>
        <sz val="10"/>
        <rFont val="Arial"/>
        <family val="0"/>
        <charset val="1"/>
      </rPr>
      <t xml:space="preserve">·</t>
    </r>
    <r>
      <rPr>
        <sz val="10"/>
        <rFont val="WenQuanYi Zen Hei"/>
        <family val="2"/>
      </rPr>
      <t xml:space="preserve">조건문</t>
    </r>
    <r>
      <rPr>
        <sz val="10"/>
        <rFont val="Arial"/>
        <family val="0"/>
        <charset val="1"/>
      </rPr>
      <t xml:space="preserve">, </t>
    </r>
    <r>
      <rPr>
        <sz val="10"/>
        <rFont val="WenQuanYi Zen Hei"/>
        <family val="2"/>
      </rPr>
      <t xml:space="preserve">감사 보고서체</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일정한 속도</t>
    </r>
    <r>
      <rPr>
        <sz val="10"/>
        <rFont val="Arial"/>
        <family val="0"/>
        <charset val="1"/>
      </rPr>
      <t xml:space="preserve">, </t>
    </r>
    <r>
      <rPr>
        <sz val="10"/>
        <rFont val="WenQuanYi Zen Hei"/>
        <family val="2"/>
      </rPr>
      <t xml:space="preserve">결론 문장에서 톤 낮춤</t>
    </r>
    <r>
      <rPr>
        <sz val="10"/>
        <rFont val="Arial"/>
        <family val="0"/>
        <charset val="1"/>
      </rPr>
      <t xml:space="preserve">.</t>
    </r>
  </si>
  <si>
    <r>
      <rPr>
        <sz val="10"/>
        <rFont val="Arial"/>
        <family val="0"/>
        <charset val="1"/>
      </rPr>
      <t xml:space="preserve">Larissa: balanço·demonstração de resultado·materialidade </t>
    </r>
    <r>
      <rPr>
        <sz val="10"/>
        <rFont val="WenQuanYi Zen Hei"/>
        <family val="2"/>
      </rPr>
      <t xml:space="preserve">등 회계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증권거래위원회</t>
    </r>
    <r>
      <rPr>
        <sz val="10"/>
        <rFont val="Arial"/>
        <family val="0"/>
        <charset val="1"/>
      </rPr>
      <t xml:space="preserve">(CVM) </t>
    </r>
    <r>
      <rPr>
        <sz val="10"/>
        <rFont val="WenQuanYi Zen Hei"/>
        <family val="2"/>
      </rPr>
      <t xml:space="preserve">감사인 순환 규정</t>
    </r>
    <r>
      <rPr>
        <sz val="10"/>
        <rFont val="Arial"/>
        <family val="0"/>
        <charset val="1"/>
      </rPr>
      <t xml:space="preserve">, </t>
    </r>
    <r>
      <rPr>
        <sz val="10"/>
        <rFont val="WenQuanYi Zen Hei"/>
        <family val="2"/>
      </rPr>
      <t xml:space="preserve">자금세탁방지법</t>
    </r>
    <r>
      <rPr>
        <sz val="10"/>
        <rFont val="Arial"/>
        <family val="0"/>
        <charset val="1"/>
      </rPr>
      <t xml:space="preserve">, </t>
    </r>
    <r>
      <rPr>
        <sz val="10"/>
        <rFont val="WenQuanYi Zen Hei"/>
        <family val="2"/>
      </rPr>
      <t xml:space="preserve">상업등기소</t>
    </r>
    <r>
      <rPr>
        <sz val="10"/>
        <rFont val="Arial"/>
        <family val="0"/>
        <charset val="1"/>
      </rPr>
      <t xml:space="preserve">(Junta Comercial).</t>
    </r>
  </si>
  <si>
    <r>
      <rPr>
        <sz val="10"/>
        <rFont val="Arial"/>
        <family val="0"/>
        <charset val="1"/>
      </rPr>
      <t xml:space="preserve">5</t>
    </r>
    <r>
      <rPr>
        <sz val="10"/>
        <rFont val="WenQuanYi Zen Hei"/>
        <family val="2"/>
      </rPr>
      <t xml:space="preserve">부</t>
    </r>
    <r>
      <rPr>
        <sz val="10"/>
        <rFont val="Arial"/>
        <family val="0"/>
        <charset val="1"/>
      </rPr>
      <t xml:space="preserve">: Juliana — </t>
    </r>
    <r>
      <rPr>
        <sz val="10"/>
        <rFont val="WenQuanYi Zen Hei"/>
        <family val="2"/>
      </rPr>
      <t xml:space="preserve">그 의견서 이후 시작된 구조조정 명단의 주인</t>
    </r>
    <r>
      <rPr>
        <sz val="10"/>
        <rFont val="Arial"/>
        <family val="0"/>
        <charset val="1"/>
      </rPr>
      <t xml:space="preserve">.</t>
    </r>
  </si>
  <si>
    <r>
      <rPr>
        <b val="true"/>
        <sz val="10"/>
        <color rgb="FFFFFFFF"/>
        <rFont val="Arial"/>
        <family val="0"/>
        <charset val="1"/>
      </rPr>
      <t xml:space="preserve">A Consultora — </t>
    </r>
    <r>
      <rPr>
        <b val="true"/>
        <sz val="10"/>
        <color rgb="FFFFFFFF"/>
        <rFont val="WenQuanYi Zen Hei"/>
        <family val="2"/>
      </rPr>
      <t xml:space="preserve">컨설턴트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프레임</t>
    </r>
    <r>
      <rPr>
        <b val="true"/>
        <sz val="10"/>
        <color rgb="FFFFFFFF"/>
        <rFont val="Arial"/>
        <family val="0"/>
        <charset val="1"/>
      </rPr>
      <t xml:space="preserve">: </t>
    </r>
    <r>
      <rPr>
        <b val="true"/>
        <sz val="10"/>
        <color rgb="FFFFFFFF"/>
        <rFont val="WenQuanYi Zen Hei"/>
        <family val="2"/>
      </rPr>
      <t xml:space="preserve">금요일 밤</t>
    </r>
    <r>
      <rPr>
        <b val="true"/>
        <sz val="10"/>
        <color rgb="FFFFFFFF"/>
        <rFont val="Arial"/>
        <family val="0"/>
        <charset val="1"/>
      </rPr>
      <t xml:space="preserve">. </t>
    </r>
    <r>
      <rPr>
        <b val="true"/>
        <sz val="10"/>
        <color rgb="FFFFFFFF"/>
        <rFont val="WenQuanYi Zen Hei"/>
        <family val="2"/>
      </rPr>
      <t xml:space="preserve">과거</t>
    </r>
    <r>
      <rPr>
        <b val="true"/>
        <sz val="10"/>
        <color rgb="FFFFFFFF"/>
        <rFont val="Arial"/>
        <family val="0"/>
        <charset val="1"/>
      </rPr>
      <t xml:space="preserve">: </t>
    </r>
    <r>
      <rPr>
        <b val="true"/>
        <sz val="10"/>
        <color rgb="FFFFFFFF"/>
        <rFont val="WenQuanYi Zen Hei"/>
        <family val="2"/>
      </rPr>
      <t xml:space="preserve">약 </t>
    </r>
    <r>
      <rPr>
        <b val="true"/>
        <sz val="10"/>
        <color rgb="FFFFFFFF"/>
        <rFont val="Arial"/>
        <family val="0"/>
        <charset val="1"/>
      </rPr>
      <t xml:space="preserve">2</t>
    </r>
    <r>
      <rPr>
        <b val="true"/>
        <sz val="10"/>
        <color rgb="FFFFFFFF"/>
        <rFont val="WenQuanYi Zen Hei"/>
        <family val="2"/>
      </rPr>
      <t xml:space="preserve">년 전</t>
    </r>
    <r>
      <rPr>
        <b val="true"/>
        <sz val="10"/>
        <color rgb="FFFFFFFF"/>
        <rFont val="Arial"/>
        <family val="0"/>
        <charset val="1"/>
      </rPr>
      <t xml:space="preserve">, Faria Lima</t>
    </r>
    <r>
      <rPr>
        <b val="true"/>
        <sz val="10"/>
        <color rgb="FFFFFFFF"/>
        <rFont val="WenQuanYi Zen Hei"/>
        <family val="2"/>
      </rPr>
      <t xml:space="preserve">의 </t>
    </r>
    <r>
      <rPr>
        <b val="true"/>
        <sz val="10"/>
        <color rgb="FFFFFFFF"/>
        <rFont val="Arial"/>
        <family val="0"/>
        <charset val="1"/>
      </rPr>
      <t xml:space="preserve">Zênite Consultoria(</t>
    </r>
    <r>
      <rPr>
        <b val="true"/>
        <sz val="10"/>
        <color rgb="FFFFFFFF"/>
        <rFont val="WenQuanYi Zen Hei"/>
        <family val="2"/>
      </rPr>
      <t xml:space="preserve">가상</t>
    </r>
    <r>
      <rPr>
        <b val="true"/>
        <sz val="10"/>
        <color rgb="FFFFFFFF"/>
        <rFont val="Arial"/>
        <family val="0"/>
        <charset val="1"/>
      </rPr>
      <t xml:space="preserve">) 32</t>
    </r>
    <r>
      <rPr>
        <b val="true"/>
        <sz val="10"/>
        <color rgb="FFFFFFFF"/>
        <rFont val="WenQuanYi Zen Hei"/>
        <family val="2"/>
      </rPr>
      <t xml:space="preserve">층</t>
    </r>
    <r>
      <rPr>
        <b val="true"/>
        <sz val="10"/>
        <color rgb="FFFFFFFF"/>
        <rFont val="Arial"/>
        <family val="0"/>
        <charset val="1"/>
      </rPr>
      <t xml:space="preserve">.</t>
    </r>
  </si>
  <si>
    <t xml:space="preserve">효율의 이름으로 사람이 숫자가 되는 순간. 노동(Edson), 청년 고용(S1), 비공식 경제·영세 사업자(E2)를 도입하고 Juliana의 말투 변화를 예고한다.</t>
  </si>
  <si>
    <t xml:space="preserve">전략 컨설턴트가 영세 기업을 살리려던 낙관에서 출발해, 대형 고객 구조조정 모델의 셀 하나가 412명의 해고임을 알게 된다.</t>
  </si>
  <si>
    <r>
      <rPr>
        <sz val="10"/>
        <rFont val="Arial"/>
        <family val="0"/>
        <charset val="1"/>
      </rPr>
      <t xml:space="preserve">'</t>
    </r>
    <r>
      <rPr>
        <sz val="10"/>
        <rFont val="WenQuanYi Zen Hei"/>
        <family val="2"/>
      </rPr>
      <t xml:space="preserve">스케일</t>
    </r>
    <r>
      <rPr>
        <sz val="10"/>
        <rFont val="Arial"/>
        <family val="0"/>
        <charset val="1"/>
      </rPr>
      <t xml:space="preserve">'</t>
    </r>
    <r>
      <rPr>
        <sz val="10"/>
        <rFont val="WenQuanYi Zen Hei"/>
        <family val="2"/>
      </rPr>
      <t xml:space="preserve">을 믿던 사람 → 사람을 숫자로 본 죄책감을 인정하는 사람</t>
    </r>
    <r>
      <rPr>
        <sz val="10"/>
        <rFont val="Arial"/>
        <family val="0"/>
        <charset val="1"/>
      </rPr>
      <t xml:space="preserve">(</t>
    </r>
    <r>
      <rPr>
        <sz val="10"/>
        <rFont val="WenQuanYi Zen Hei"/>
        <family val="2"/>
      </rPr>
      <t xml:space="preserve">프레젠테이션 톤에서 솔직한 톤으로 가는 시작</t>
    </r>
    <r>
      <rPr>
        <sz val="10"/>
        <rFont val="Arial"/>
        <family val="0"/>
        <charset val="1"/>
      </rPr>
      <t xml:space="preserve">).</t>
    </r>
  </si>
  <si>
    <t xml:space="preserve">효율 vs 사람 / 조직 충성 vs 양심</t>
  </si>
  <si>
    <t xml:space="preserve">발단(1~3화): 매트릭스 프레임, Zênite 32층, Tavares 공방(영세 사업자의 실패).</t>
  </si>
  <si>
    <t xml:space="preserve">전개(4~5화): 이카루스 프로젝트 킥오프 / 프레임 '스프레드시트 한 장'.</t>
  </si>
  <si>
    <t xml:space="preserve">미드포인트(6화): C47 셀 — 412개 일자리, 샴페인.</t>
  </si>
  <si>
    <t xml:space="preserve">위기(7~9화): 협상 테이블에서 Edson과 대면, 잘못 보낸 이메일과 Isabel 상담, 프레임 '412'.</t>
  </si>
  <si>
    <t xml:space="preserve">절정(10~11화): 파업과 Edson의 해고, 마지막 회의에서 사직.</t>
  </si>
  <si>
    <t xml:space="preserve">결말·훅(12화): 프레임 — 네 명이 같은 강당에 모인 브라스의 화요일 예고.</t>
  </si>
  <si>
    <r>
      <rPr>
        <sz val="10"/>
        <rFont val="Arial"/>
        <family val="0"/>
        <charset val="1"/>
      </rPr>
      <t xml:space="preserve">Juliana: </t>
    </r>
    <r>
      <rPr>
        <sz val="10"/>
        <rFont val="WenQuanYi Zen Hei"/>
        <family val="2"/>
      </rPr>
      <t xml:space="preserve">영어식 경영 용어가 섞인 빠른 말투</t>
    </r>
    <r>
      <rPr>
        <sz val="10"/>
        <rFont val="Arial"/>
        <family val="0"/>
        <charset val="1"/>
      </rPr>
      <t xml:space="preserve">. </t>
    </r>
    <r>
      <rPr>
        <sz val="10"/>
        <rFont val="WenQuanYi Zen Hei"/>
        <family val="2"/>
      </rPr>
      <t xml:space="preserve">가상 인물</t>
    </r>
    <r>
      <rPr>
        <sz val="10"/>
        <rFont val="Arial"/>
        <family val="0"/>
        <charset val="1"/>
      </rPr>
      <t xml:space="preserve">: Tavares(</t>
    </r>
    <r>
      <rPr>
        <sz val="10"/>
        <rFont val="WenQuanYi Zen Hei"/>
        <family val="2"/>
      </rPr>
      <t xml:space="preserve">공방 주인</t>
    </r>
    <r>
      <rPr>
        <sz val="10"/>
        <rFont val="Arial"/>
        <family val="0"/>
        <charset val="1"/>
      </rPr>
      <t xml:space="preserve">), Zênite </t>
    </r>
    <r>
      <rPr>
        <sz val="10"/>
        <rFont val="WenQuanYi Zen Hei"/>
        <family val="2"/>
      </rPr>
      <t xml:space="preserve">파트너</t>
    </r>
    <r>
      <rPr>
        <sz val="10"/>
        <rFont val="Arial"/>
        <family val="0"/>
        <charset val="1"/>
      </rPr>
      <t xml:space="preserve">. </t>
    </r>
    <r>
      <rPr>
        <sz val="10"/>
        <rFont val="WenQuanYi Zen Hei"/>
        <family val="2"/>
      </rPr>
      <t xml:space="preserve">교차 카메오</t>
    </r>
    <r>
      <rPr>
        <sz val="10"/>
        <rFont val="Arial"/>
        <family val="0"/>
        <charset val="1"/>
      </rPr>
      <t xml:space="preserve">: Edson(</t>
    </r>
    <r>
      <rPr>
        <sz val="10"/>
        <rFont val="WenQuanYi Zen Hei"/>
        <family val="2"/>
      </rPr>
      <t xml:space="preserve">협상 상대</t>
    </r>
    <r>
      <rPr>
        <sz val="10"/>
        <rFont val="Arial"/>
        <family val="0"/>
        <charset val="1"/>
      </rPr>
      <t xml:space="preserve">), Isabel(</t>
    </r>
    <r>
      <rPr>
        <sz val="10"/>
        <rFont val="WenQuanYi Zen Hei"/>
        <family val="2"/>
      </rPr>
      <t xml:space="preserve">상담</t>
    </r>
    <r>
      <rPr>
        <sz val="10"/>
        <rFont val="Arial"/>
        <family val="0"/>
        <charset val="1"/>
      </rPr>
      <t xml:space="preserve">), Bruno(</t>
    </r>
    <r>
      <rPr>
        <sz val="10"/>
        <rFont val="WenQuanYi Zen Hei"/>
        <family val="2"/>
      </rPr>
      <t xml:space="preserve">프레임</t>
    </r>
    <r>
      <rPr>
        <sz val="10"/>
        <rFont val="Arial"/>
        <family val="0"/>
        <charset val="1"/>
      </rPr>
      <t xml:space="preserve">).</t>
    </r>
  </si>
  <si>
    <r>
      <rPr>
        <sz val="10"/>
        <rFont val="Arial"/>
        <family val="0"/>
        <charset val="1"/>
      </rPr>
      <t xml:space="preserve">C47 </t>
    </r>
    <r>
      <rPr>
        <sz val="10"/>
        <rFont val="WenQuanYi Zen Hei"/>
        <family val="2"/>
      </rPr>
      <t xml:space="preserve">셀</t>
    </r>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화 </t>
    </r>
    <r>
      <rPr>
        <sz val="10"/>
        <rFont val="Arial"/>
        <family val="0"/>
        <charset val="1"/>
      </rPr>
      <t xml:space="preserve">'</t>
    </r>
    <r>
      <rPr>
        <sz val="10"/>
        <rFont val="WenQuanYi Zen Hei"/>
        <family val="2"/>
      </rPr>
      <t xml:space="preserve">해고 없는 통합</t>
    </r>
    <r>
      <rPr>
        <sz val="10"/>
        <rFont val="Arial"/>
        <family val="0"/>
        <charset val="1"/>
      </rPr>
      <t xml:space="preserve">') / Edson–Juliana </t>
    </r>
    <r>
      <rPr>
        <sz val="10"/>
        <rFont val="WenQuanYi Zen Hei"/>
        <family val="2"/>
      </rPr>
      <t xml:space="preserve">갈등</t>
    </r>
    <r>
      <rPr>
        <sz val="10"/>
        <rFont val="Arial"/>
        <family val="0"/>
        <charset val="1"/>
      </rPr>
      <t xml:space="preserve">(→8</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9</t>
    </r>
    <r>
      <rPr>
        <sz val="10"/>
        <rFont val="WenQuanYi Zen Hei"/>
        <family val="2"/>
      </rPr>
      <t xml:space="preserve">부 </t>
    </r>
    <r>
      <rPr>
        <sz val="10"/>
        <rFont val="Arial"/>
        <family val="0"/>
        <charset val="1"/>
      </rPr>
      <t xml:space="preserve">5</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8</t>
    </r>
    <r>
      <rPr>
        <sz val="10"/>
        <rFont val="WenQuanYi Zen Hei"/>
        <family val="2"/>
      </rPr>
      <t xml:space="preserve">화 화해</t>
    </r>
    <r>
      <rPr>
        <sz val="10"/>
        <rFont val="Arial"/>
        <family val="0"/>
        <charset val="1"/>
      </rPr>
      <t xml:space="preserve">) / «Beleza, sem slide»(→6</t>
    </r>
    <r>
      <rPr>
        <sz val="10"/>
        <rFont val="WenQuanYi Zen Hei"/>
        <family val="2"/>
      </rPr>
      <t xml:space="preserve">부</t>
    </r>
    <r>
      <rPr>
        <sz val="10"/>
        <rFont val="Arial"/>
        <family val="0"/>
        <charset val="1"/>
      </rPr>
      <t xml:space="preserve">, 13</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</si>
  <si>
    <t xml:space="preserve">E2● S1○</t>
  </si>
  <si>
    <t xml:space="preserve">대량 해고와 사전 노조 협상(STF 2022, CLT 제477-A조와의 충돌), 노조 대표, 파업권(Lei 7.783/1989), 외주·PJ 계약, 영세 사업자 구조(MEI)</t>
  </si>
  <si>
    <r>
      <rPr>
        <sz val="10"/>
        <rFont val="Arial"/>
        <family val="0"/>
        <charset val="1"/>
      </rPr>
      <t xml:space="preserve">B2~C1. </t>
    </r>
    <r>
      <rPr>
        <sz val="10"/>
        <rFont val="WenQuanYi Zen Hei"/>
        <family val="2"/>
      </rPr>
      <t xml:space="preserve">영어가 섞인 경영 포르투갈어</t>
    </r>
    <r>
      <rPr>
        <sz val="10"/>
        <rFont val="Arial"/>
        <family val="0"/>
        <charset val="1"/>
      </rPr>
      <t xml:space="preserve">(alinhar, escalar, deadline), </t>
    </r>
    <r>
      <rPr>
        <sz val="10"/>
        <rFont val="WenQuanYi Zen Hei"/>
        <family val="2"/>
      </rPr>
      <t xml:space="preserve">프레젠테이션 톤</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숨 가쁜 톤에서 느린 솔직한 톤으로</t>
    </r>
    <r>
      <rPr>
        <sz val="10"/>
        <rFont val="Arial"/>
        <family val="0"/>
        <charset val="1"/>
      </rPr>
      <t xml:space="preserve">.</t>
    </r>
  </si>
  <si>
    <r>
      <rPr>
        <sz val="10"/>
        <rFont val="Arial"/>
        <family val="0"/>
        <charset val="1"/>
      </rPr>
      <t xml:space="preserve">Larissa: stakeholder·escalar·sinergia·KPI </t>
    </r>
    <r>
      <rPr>
        <sz val="10"/>
        <rFont val="WenQuanYi Zen Hei"/>
        <family val="2"/>
      </rPr>
      <t xml:space="preserve">등 경영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노동법</t>
    </r>
    <r>
      <rPr>
        <sz val="10"/>
        <rFont val="Arial"/>
        <family val="0"/>
        <charset val="1"/>
      </rPr>
      <t xml:space="preserve">(CLT) </t>
    </r>
    <r>
      <rPr>
        <sz val="10"/>
        <rFont val="WenQuanYi Zen Hei"/>
        <family val="2"/>
      </rPr>
      <t xml:space="preserve">제</t>
    </r>
    <r>
      <rPr>
        <sz val="10"/>
        <rFont val="Arial"/>
        <family val="0"/>
        <charset val="1"/>
      </rPr>
      <t xml:space="preserve">477-A</t>
    </r>
    <r>
      <rPr>
        <sz val="10"/>
        <rFont val="WenQuanYi Zen Hei"/>
        <family val="2"/>
      </rPr>
      <t xml:space="preserve">조</t>
    </r>
    <r>
      <rPr>
        <sz val="10"/>
        <rFont val="Arial"/>
        <family val="0"/>
        <charset val="1"/>
      </rPr>
      <t xml:space="preserve">, </t>
    </r>
    <r>
      <rPr>
        <sz val="10"/>
        <rFont val="WenQuanYi Zen Hei"/>
        <family val="2"/>
      </rPr>
      <t xml:space="preserve">대량 해고 사전 협상 판례</t>
    </r>
    <r>
      <rPr>
        <sz val="10"/>
        <rFont val="Arial"/>
        <family val="0"/>
        <charset val="1"/>
      </rPr>
      <t xml:space="preserve">(STF 2022).</t>
    </r>
  </si>
  <si>
    <r>
      <rPr>
        <sz val="10"/>
        <rFont val="Arial"/>
        <family val="0"/>
        <charset val="1"/>
      </rPr>
      <t xml:space="preserve">6</t>
    </r>
    <r>
      <rPr>
        <sz val="10"/>
        <rFont val="WenQuanYi Zen Hei"/>
        <family val="2"/>
      </rPr>
      <t xml:space="preserve">부</t>
    </r>
    <r>
      <rPr>
        <sz val="10"/>
        <rFont val="Arial"/>
        <family val="0"/>
        <charset val="1"/>
      </rPr>
      <t xml:space="preserve">: </t>
    </r>
    <r>
      <rPr>
        <sz val="10"/>
        <rFont val="WenQuanYi Zen Hei"/>
        <family val="2"/>
      </rPr>
      <t xml:space="preserve">브라스 — 네 사람이 같은 총회에</t>
    </r>
    <r>
      <rPr>
        <sz val="10"/>
        <rFont val="Arial"/>
        <family val="0"/>
        <charset val="1"/>
      </rPr>
      <t xml:space="preserve">.</t>
    </r>
  </si>
  <si>
    <r>
      <rPr>
        <b val="true"/>
        <sz val="10"/>
        <color rgb="FFFFFFFF"/>
        <rFont val="Arial"/>
        <family val="0"/>
        <charset val="1"/>
      </rPr>
      <t xml:space="preserve">O Encontro — </t>
    </r>
    <r>
      <rPr>
        <b val="true"/>
        <sz val="10"/>
        <color rgb="FFFFFFFF"/>
        <rFont val="WenQuanYi Zen Hei"/>
        <family val="2"/>
      </rPr>
      <t xml:space="preserve">운명적 만남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   |   </t>
    </r>
    <r>
      <rPr>
        <b val="true"/>
        <sz val="10"/>
        <color rgb="FFFFFFFF"/>
        <rFont val="WenQuanYi Zen Hei"/>
        <family val="2"/>
      </rPr>
      <t xml:space="preserve">약 </t>
    </r>
    <r>
      <rPr>
        <b val="true"/>
        <sz val="10"/>
        <color rgb="FFFFFFFF"/>
        <rFont val="Arial"/>
        <family val="0"/>
        <charset val="1"/>
      </rPr>
      <t xml:space="preserve">1</t>
    </r>
    <r>
      <rPr>
        <b val="true"/>
        <sz val="10"/>
        <color rgb="FFFFFFFF"/>
        <rFont val="WenQuanYi Zen Hei"/>
        <family val="2"/>
      </rPr>
      <t xml:space="preserve">년 전</t>
    </r>
    <r>
      <rPr>
        <b val="true"/>
        <sz val="10"/>
        <color rgb="FFFFFFFF"/>
        <rFont val="Arial"/>
        <family val="0"/>
        <charset val="1"/>
      </rPr>
      <t xml:space="preserve">(1</t>
    </r>
    <r>
      <rPr>
        <b val="true"/>
        <sz val="10"/>
        <color rgb="FFFFFFFF"/>
        <rFont val="WenQuanYi Zen Hei"/>
        <family val="2"/>
      </rPr>
      <t xml:space="preserve">부보다 앞</t>
    </r>
    <r>
      <rPr>
        <b val="true"/>
        <sz val="10"/>
        <color rgb="FFFFFFFF"/>
        <rFont val="Arial"/>
        <family val="0"/>
        <charset val="1"/>
      </rPr>
      <t xml:space="preserve">). Brás</t>
    </r>
    <r>
      <rPr>
        <b val="true"/>
        <sz val="10"/>
        <color rgb="FFFFFFFF"/>
        <rFont val="WenQuanYi Zen Hei"/>
        <family val="2"/>
      </rPr>
      <t xml:space="preserve">의 낡은 임대 건물 </t>
    </r>
    <r>
      <rPr>
        <b val="true"/>
        <sz val="10"/>
        <color rgb="FFFFFFFF"/>
        <rFont val="Arial"/>
        <family val="0"/>
        <charset val="1"/>
      </rPr>
      <t xml:space="preserve">'14</t>
    </r>
    <r>
      <rPr>
        <b val="true"/>
        <sz val="10"/>
        <color rgb="FFFFFFFF"/>
        <rFont val="WenQuanYi Zen Hei"/>
        <family val="2"/>
      </rPr>
      <t xml:space="preserve">번 블록</t>
    </r>
    <r>
      <rPr>
        <b val="true"/>
        <sz val="10"/>
        <color rgb="FFFFFFFF"/>
        <rFont val="Arial"/>
        <family val="0"/>
        <charset val="1"/>
      </rPr>
      <t xml:space="preserve">(Bloco 14)' → Bixiga </t>
    </r>
    <r>
      <rPr>
        <b val="true"/>
        <sz val="10"/>
        <color rgb="FFFFFFFF"/>
        <rFont val="WenQuanYi Zen Hei"/>
        <family val="2"/>
      </rPr>
      <t xml:space="preserve">사무소 개소</t>
    </r>
    <r>
      <rPr>
        <b val="true"/>
        <sz val="10"/>
        <color rgb="FFFFFFFF"/>
        <rFont val="Arial"/>
        <family val="0"/>
        <charset val="1"/>
      </rPr>
      <t xml:space="preserve">.</t>
    </r>
  </si>
  <si>
    <t xml:space="preserve">퍼즐 완성. 네 개의 과거가 하나의 이름(Grupo Meridiano)으로 수렴하고 팀이 결성된다. 1부의 '왜?'에 대한 대답이자 시간의 고리를 닫는 아크.</t>
  </si>
  <si>
    <t xml:space="preserve">각자 무너진 네 사람이 같은 건물을 지키려고 모였다가 자기들이 서로 다른 얼굴의 같은 회사를 도왔음을 알게 되고, 서로를 비난한 끝에 처음으로 함께 이긴다.</t>
  </si>
  <si>
    <t xml:space="preserve">혼자 무너진 네 사람 → 서로의 죄를 아는 팀.</t>
  </si>
  <si>
    <t xml:space="preserve">서로에 대한 책임(공모) vs 함께 속죄</t>
  </si>
  <si>
    <t xml:space="preserve">발단(1~3화): 브라스의 화요일, 낯선 넷, 14번 블록.</t>
  </si>
  <si>
    <t xml:space="preserve">전개(4~5화): 계단의 밤(첫 속내), Bruno의 서류.</t>
  </si>
  <si>
    <t xml:space="preserve">미드포인트(6화): '같은 이름' — 네 개의 과거가 Meridiano 하나로 이어진다.</t>
  </si>
  <si>
    <t xml:space="preserve">위기(7~9화): 서로에 대한 비난, 퇴거 아침 영시의 협업, 첫 정지 승리.</t>
  </si>
  <si>
    <t xml:space="preserve">절정(10~11화): 비시가의 가게, 식탁의 규칙(금요일 이야기 전통).</t>
  </si>
  <si>
    <t xml:space="preserve">결말·훅(12화): 간판이 걸리고 «Amanhã, às cinco.» → 1부 1화로.</t>
  </si>
  <si>
    <t xml:space="preserve">합류 순서: Larissa·Marina(1) → Edson·Zumbi(3) → Marta·Dom Pedro(4) → Freire·Dumont(8) → Machado·Isabel(9) → Sérgio(10). Larissa는 이 건물의 세입자로 인턴이 된다. 부활 6인은 '왜 되살아났는지' 서로도 모른다는 설정을 여기서 가볍게 확인한다.</t>
  </si>
  <si>
    <t xml:space="preserve">첫 회의 대사(→1부 1화) / 금요일 이야기 규칙(→2~5부 프레임) / Quintela의 이름(→7부, 9부)</t>
  </si>
  <si>
    <t xml:space="preserve">E1● S2● S1○</t>
  </si>
  <si>
    <t xml:space="preserve">퇴거 집행과 취약계층 조정(확인), 긴급 가처분(tutela de urgência), 소유 구조(부동산 펀드 FII, 역외법인), 소규모 임대인</t>
  </si>
  <si>
    <r>
      <rPr>
        <sz val="10"/>
        <rFont val="Arial"/>
        <family val="0"/>
        <charset val="1"/>
      </rPr>
      <t xml:space="preserve">B2. </t>
    </r>
    <r>
      <rPr>
        <sz val="10"/>
        <rFont val="WenQuanYi Zen Hei"/>
        <family val="2"/>
      </rPr>
      <t xml:space="preserve">감정 폭발</t>
    </r>
    <r>
      <rPr>
        <sz val="10"/>
        <rFont val="Arial"/>
        <family val="0"/>
        <charset val="1"/>
      </rPr>
      <t xml:space="preserve">·</t>
    </r>
    <r>
      <rPr>
        <sz val="10"/>
        <rFont val="WenQuanYi Zen Hei"/>
        <family val="2"/>
      </rPr>
      <t xml:space="preserve">설득 구어체</t>
    </r>
    <r>
      <rPr>
        <sz val="10"/>
        <rFont val="Arial"/>
        <family val="0"/>
        <charset val="1"/>
      </rPr>
      <t xml:space="preserve">, </t>
    </r>
    <r>
      <rPr>
        <sz val="10"/>
        <rFont val="WenQuanYi Zen Hei"/>
        <family val="2"/>
      </rPr>
      <t xml:space="preserve">다툼과 화해</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소리 높임과 회복의 대비</t>
    </r>
    <r>
      <rPr>
        <sz val="10"/>
        <rFont val="Arial"/>
        <family val="0"/>
        <charset val="1"/>
      </rPr>
      <t xml:space="preserve">. o senhor/a senhora → você </t>
    </r>
    <r>
      <rPr>
        <sz val="10"/>
        <rFont val="WenQuanYi Zen Hei"/>
        <family val="2"/>
      </rPr>
      <t xml:space="preserve">전환의 시작</t>
    </r>
    <r>
      <rPr>
        <sz val="10"/>
        <rFont val="Arial"/>
        <family val="0"/>
        <charset val="1"/>
      </rPr>
      <t xml:space="preserve">.</t>
    </r>
  </si>
  <si>
    <r>
      <rPr>
        <sz val="10"/>
        <rFont val="Arial"/>
        <family val="0"/>
        <charset val="1"/>
      </rPr>
      <t xml:space="preserve">Larissa: 'O que é um fundo abutre?' </t>
    </r>
    <r>
      <rPr>
        <sz val="10"/>
        <rFont val="WenQuanYi Zen Hei"/>
        <family val="2"/>
      </rPr>
      <t xml:space="preserve">등 소유 구조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상업등기소</t>
    </r>
    <r>
      <rPr>
        <sz val="10"/>
        <rFont val="Arial"/>
        <family val="0"/>
        <charset val="1"/>
      </rPr>
      <t xml:space="preserve">(Junta Comercial), </t>
    </r>
    <r>
      <rPr>
        <sz val="10"/>
        <rFont val="WenQuanYi Zen Hei"/>
        <family val="2"/>
      </rPr>
      <t xml:space="preserve">퇴거 조정 규정</t>
    </r>
    <r>
      <rPr>
        <sz val="10"/>
        <rFont val="Arial"/>
        <family val="0"/>
        <charset val="1"/>
      </rPr>
      <t xml:space="preserve">(ADPF 828).</t>
    </r>
  </si>
  <si>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 — 원이 닫힌다</t>
    </r>
    <r>
      <rPr>
        <sz val="10"/>
        <rFont val="Arial"/>
        <family val="0"/>
        <charset val="1"/>
      </rPr>
      <t xml:space="preserve">. </t>
    </r>
    <r>
      <rPr>
        <sz val="10"/>
        <rFont val="WenQuanYi Zen Hei"/>
        <family val="2"/>
      </rPr>
      <t xml:space="preserve">그리고 </t>
    </r>
    <r>
      <rPr>
        <sz val="10"/>
        <rFont val="Arial"/>
        <family val="0"/>
        <charset val="1"/>
      </rPr>
      <t xml:space="preserve">7</t>
    </r>
    <r>
      <rPr>
        <sz val="10"/>
        <rFont val="WenQuanYi Zen Hei"/>
        <family val="2"/>
      </rPr>
      <t xml:space="preserve">부로</t>
    </r>
    <r>
      <rPr>
        <sz val="10"/>
        <rFont val="Arial"/>
        <family val="0"/>
        <charset val="1"/>
      </rPr>
      <t xml:space="preserve">.</t>
    </r>
  </si>
  <si>
    <r>
      <rPr>
        <b val="true"/>
        <sz val="10"/>
        <color rgb="FFFFFFFF"/>
        <rFont val="Arial"/>
        <family val="0"/>
        <charset val="1"/>
      </rPr>
      <t xml:space="preserve">A Rede de Resistência — </t>
    </r>
    <r>
      <rPr>
        <b val="true"/>
        <sz val="10"/>
        <color rgb="FFFFFFFF"/>
        <rFont val="WenQuanYi Zen Hei"/>
        <family val="2"/>
      </rPr>
      <t xml:space="preserve">전면전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사무소 개소 </t>
    </r>
    <r>
      <rPr>
        <b val="true"/>
        <sz val="10"/>
        <color rgb="FFFFFFFF"/>
        <rFont val="Arial"/>
        <family val="0"/>
        <charset val="1"/>
      </rPr>
      <t xml:space="preserve">1</t>
    </r>
    <r>
      <rPr>
        <b val="true"/>
        <sz val="10"/>
        <color rgb="FFFFFFFF"/>
        <rFont val="WenQuanYi Zen Hei"/>
        <family val="2"/>
      </rPr>
      <t xml:space="preserve">년 후</t>
    </r>
    <r>
      <rPr>
        <b val="true"/>
        <sz val="10"/>
        <color rgb="FFFFFFFF"/>
        <rFont val="Arial"/>
        <family val="0"/>
        <charset val="1"/>
      </rPr>
      <t xml:space="preserve">. </t>
    </r>
    <r>
      <rPr>
        <b val="true"/>
        <sz val="10"/>
        <color rgb="FFFFFFFF"/>
        <rFont val="WenQuanYi Zen Hei"/>
        <family val="2"/>
      </rPr>
      <t xml:space="preserve">법원</t>
    </r>
    <r>
      <rPr>
        <b val="true"/>
        <sz val="10"/>
        <color rgb="FFFFFFFF"/>
        <rFont val="Arial"/>
        <family val="0"/>
        <charset val="1"/>
      </rPr>
      <t xml:space="preserve">, </t>
    </r>
    <r>
      <rPr>
        <b val="true"/>
        <sz val="10"/>
        <color rgb="FFFFFFFF"/>
        <rFont val="WenQuanYi Zen Hei"/>
        <family val="2"/>
      </rPr>
      <t xml:space="preserve">시청 앞</t>
    </r>
    <r>
      <rPr>
        <b val="true"/>
        <sz val="10"/>
        <color rgb="FFFFFFFF"/>
        <rFont val="Arial"/>
        <family val="0"/>
        <charset val="1"/>
      </rPr>
      <t xml:space="preserve">, </t>
    </r>
    <r>
      <rPr>
        <b val="true"/>
        <sz val="10"/>
        <color rgb="FFFFFFFF"/>
        <rFont val="WenQuanYi Zen Hei"/>
        <family val="2"/>
      </rPr>
      <t xml:space="preserve">상파울루 전역</t>
    </r>
    <r>
      <rPr>
        <b val="true"/>
        <sz val="10"/>
        <color rgb="FFFFFFFF"/>
        <rFont val="Arial"/>
        <family val="0"/>
        <charset val="1"/>
      </rPr>
      <t xml:space="preserve">.</t>
    </r>
  </si>
  <si>
    <t xml:space="preserve">전문 능력이 결합되어 첫 결정적 승리를 얻지만, 판결이 법 앞에서 무력할 수 있음을 배운다. 정치의 필요성을 낳는 아크.</t>
  </si>
  <si>
    <t xml:space="preserve">사무소가 공익소송·내부고발·보도를 결합해 Grupo Meridiano를 상대로 전면전을 벌이고 법원 결정을 얻지만, 그 승리를 뒤집을 법이 준비되고 있음을 알게 된다.</t>
  </si>
  <si>
    <t xml:space="preserve">사건을 푸는 사무소 → 법을 바꿔야 한다는 결론.</t>
  </si>
  <si>
    <t xml:space="preserve">합법 vs 효율(도청기) / 승리의 지속 가능성</t>
  </si>
  <si>
    <t xml:space="preserve">발단(1~3화): 1년 후, 계단 위의 줄, 피해자를 벌한 법(N4, 부모소외법).</t>
  </si>
  <si>
    <t xml:space="preserve">전개(4~5화): 서류 없는 이주 노동자들(S2), Sérgio의 제보.</t>
  </si>
  <si>
    <t xml:space="preserve">미드포인트(6화): 사건 파일 — 공익소송(ação civil pública)과 연방검찰 고발.</t>
  </si>
  <si>
    <t xml:space="preserve">위기(7~9화): 보복(사법적 괴롭힘), 전등 속 마이크(위법 수집 증거 논쟁), 동네의 보초.</t>
  </si>
  <si>
    <t xml:space="preserve">절정(10~11화): 기소 수리와 연방경찰 압수수색 / 다가오는 법(공익소송 자격 제한 법안).</t>
  </si>
  <si>
    <t xml:space="preserve">결말·훅(12화): 파울리스타의 의자 — «A gente tem que mudar a lei.»</t>
  </si>
  <si>
    <r>
      <rPr>
        <sz val="10"/>
        <rFont val="Arial"/>
        <family val="0"/>
        <charset val="1"/>
      </rPr>
      <t xml:space="preserve">A Velha Guarda(Dom Pedro·Zumbi·Freire) </t>
    </r>
    <r>
      <rPr>
        <sz val="10"/>
        <rFont val="WenQuanYi Zen Hei"/>
        <family val="2"/>
      </rPr>
      <t xml:space="preserve">본격 합류</t>
    </r>
    <r>
      <rPr>
        <sz val="10"/>
        <rFont val="Arial"/>
        <family val="0"/>
        <charset val="1"/>
      </rPr>
      <t xml:space="preserve">. </t>
    </r>
    <r>
      <rPr>
        <sz val="10"/>
        <rFont val="WenQuanYi Zen Hei"/>
        <family val="2"/>
      </rPr>
      <t xml:space="preserve">가상 인물</t>
    </r>
    <r>
      <rPr>
        <sz val="10"/>
        <rFont val="Arial"/>
        <family val="0"/>
        <charset val="1"/>
      </rPr>
      <t xml:space="preserve">: Quintela(</t>
    </r>
    <r>
      <rPr>
        <sz val="10"/>
        <rFont val="WenQuanYi Zen Hei"/>
        <family val="2"/>
      </rPr>
      <t xml:space="preserve">회장</t>
    </r>
    <r>
      <rPr>
        <sz val="10"/>
        <rFont val="Arial"/>
        <family val="0"/>
        <charset val="1"/>
      </rPr>
      <t xml:space="preserve">), GM </t>
    </r>
    <r>
      <rPr>
        <sz val="10"/>
        <rFont val="WenQuanYi Zen Hei"/>
        <family val="2"/>
      </rPr>
      <t xml:space="preserve">임원 </t>
    </r>
    <r>
      <rPr>
        <sz val="10"/>
        <rFont val="Arial"/>
        <family val="0"/>
        <charset val="1"/>
      </rPr>
      <t xml:space="preserve">3</t>
    </r>
    <r>
      <rPr>
        <sz val="10"/>
        <rFont val="WenQuanYi Zen Hei"/>
        <family val="2"/>
      </rPr>
      <t xml:space="preserve">인</t>
    </r>
    <r>
      <rPr>
        <sz val="10"/>
        <rFont val="Arial"/>
        <family val="0"/>
        <charset val="1"/>
      </rPr>
      <t xml:space="preserve">, </t>
    </r>
    <r>
      <rPr>
        <sz val="10"/>
        <rFont val="WenQuanYi Zen Hei"/>
        <family val="2"/>
      </rPr>
      <t xml:space="preserve">판사</t>
    </r>
    <r>
      <rPr>
        <sz val="10"/>
        <rFont val="Arial"/>
        <family val="0"/>
        <charset val="1"/>
      </rPr>
      <t xml:space="preserve">. Freire</t>
    </r>
    <r>
      <rPr>
        <sz val="10"/>
        <rFont val="WenQuanYi Zen Hei"/>
        <family val="2"/>
      </rPr>
      <t xml:space="preserve">와 </t>
    </r>
    <r>
      <rPr>
        <sz val="10"/>
        <rFont val="Arial"/>
        <family val="0"/>
        <charset val="1"/>
      </rPr>
      <t xml:space="preserve">Rafael</t>
    </r>
    <r>
      <rPr>
        <sz val="10"/>
        <rFont val="WenQuanYi Zen Hei"/>
        <family val="2"/>
      </rPr>
      <t xml:space="preserve">의 합법성 갈등이 핵심</t>
    </r>
    <r>
      <rPr>
        <sz val="10"/>
        <rFont val="Arial"/>
        <family val="0"/>
        <charset val="1"/>
      </rPr>
      <t xml:space="preserve">.</t>
    </r>
  </si>
  <si>
    <r>
      <rPr>
        <sz val="10"/>
        <rFont val="Arial"/>
        <family val="0"/>
        <charset val="1"/>
      </rPr>
      <t xml:space="preserve">USB·Sérgio </t>
    </r>
    <r>
      <rPr>
        <sz val="10"/>
        <rFont val="WenQuanYi Zen Hei"/>
        <family val="2"/>
      </rPr>
      <t xml:space="preserve">자료</t>
    </r>
    <r>
      <rPr>
        <sz val="10"/>
        <rFont val="Arial"/>
        <family val="0"/>
        <charset val="1"/>
      </rPr>
      <t xml:space="preserve">(→9</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 </t>
    </r>
    <r>
      <rPr>
        <sz val="10"/>
        <rFont val="WenQuanYi Zen Hei"/>
        <family val="2"/>
      </rPr>
      <t xml:space="preserve">도청기 논쟁</t>
    </r>
    <r>
      <rPr>
        <sz val="10"/>
        <rFont val="Arial"/>
        <family val="0"/>
        <charset val="1"/>
      </rPr>
      <t xml:space="preserve">(→11</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5</t>
    </r>
    <r>
      <rPr>
        <sz val="10"/>
        <rFont val="WenQuanYi Zen Hei"/>
        <family val="2"/>
      </rPr>
      <t xml:space="preserve">화</t>
    </r>
    <r>
      <rPr>
        <sz val="10"/>
        <rFont val="Arial"/>
        <family val="0"/>
        <charset val="1"/>
      </rPr>
      <t xml:space="preserve">) / </t>
    </r>
    <r>
      <rPr>
        <sz val="10"/>
        <rFont val="WenQuanYi Zen Hei"/>
        <family val="2"/>
      </rPr>
      <t xml:space="preserve">공익소송 자격 제한 법안</t>
    </r>
    <r>
      <rPr>
        <sz val="10"/>
        <rFont val="Arial"/>
        <family val="0"/>
        <charset val="1"/>
      </rPr>
      <t xml:space="preserve">(→8</t>
    </r>
    <r>
      <rPr>
        <sz val="10"/>
        <rFont val="WenQuanYi Zen Hei"/>
        <family val="2"/>
      </rPr>
      <t xml:space="preserve">부 동기</t>
    </r>
    <r>
      <rPr>
        <sz val="10"/>
        <rFont val="Arial"/>
        <family val="0"/>
        <charset val="1"/>
      </rPr>
      <t xml:space="preserve">)</t>
    </r>
  </si>
  <si>
    <t xml:space="preserve">N4● S2● P3●</t>
  </si>
  <si>
    <t xml:space="preserve">공익소송(Lei 7.347/1985), 시민소송(Lei 4.717/1965), 연방검찰(MPF), 연방법원, 내부고발자 보호(Lei 13.608/2018), 위법 수집 증거(헌법 제5조 LVI), 명예훼손, 부모소외법(Lei 12.318/2010)</t>
  </si>
  <si>
    <r>
      <rPr>
        <sz val="10"/>
        <rFont val="Arial"/>
        <family val="0"/>
        <charset val="1"/>
      </rPr>
      <t xml:space="preserve">B2~C1. </t>
    </r>
    <r>
      <rPr>
        <sz val="10"/>
        <rFont val="WenQuanYi Zen Hei"/>
        <family val="2"/>
      </rPr>
      <t xml:space="preserve">집단 소송</t>
    </r>
    <r>
      <rPr>
        <sz val="10"/>
        <rFont val="Arial"/>
        <family val="0"/>
        <charset val="1"/>
      </rPr>
      <t xml:space="preserve">·</t>
    </r>
    <r>
      <rPr>
        <sz val="10"/>
        <rFont val="WenQuanYi Zen Hei"/>
        <family val="2"/>
      </rPr>
      <t xml:space="preserve">성명서</t>
    </r>
    <r>
      <rPr>
        <sz val="10"/>
        <rFont val="Arial"/>
        <family val="0"/>
        <charset val="1"/>
      </rPr>
      <t xml:space="preserve">·</t>
    </r>
    <r>
      <rPr>
        <sz val="10"/>
        <rFont val="WenQuanYi Zen Hei"/>
        <family val="2"/>
      </rPr>
      <t xml:space="preserve">인터뷰 어휘</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긴박한 대화와 기자회견 톤</t>
    </r>
    <r>
      <rPr>
        <sz val="10"/>
        <rFont val="Arial"/>
        <family val="0"/>
        <charset val="1"/>
      </rPr>
      <t xml:space="preserve">.</t>
    </r>
  </si>
  <si>
    <r>
      <rPr>
        <sz val="10"/>
        <rFont val="Arial"/>
        <family val="0"/>
        <charset val="1"/>
      </rPr>
      <t xml:space="preserve">Larissa: representação·denúncia·réu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공익소송법</t>
    </r>
    <r>
      <rPr>
        <sz val="10"/>
        <rFont val="Arial"/>
        <family val="0"/>
        <charset val="1"/>
      </rPr>
      <t xml:space="preserve">, </t>
    </r>
    <r>
      <rPr>
        <sz val="10"/>
        <rFont val="WenQuanYi Zen Hei"/>
        <family val="2"/>
      </rPr>
      <t xml:space="preserve">헌법 제</t>
    </r>
    <r>
      <rPr>
        <sz val="10"/>
        <rFont val="Arial"/>
        <family val="0"/>
        <charset val="1"/>
      </rPr>
      <t xml:space="preserve">5</t>
    </r>
    <r>
      <rPr>
        <sz val="10"/>
        <rFont val="WenQuanYi Zen Hei"/>
        <family val="2"/>
      </rPr>
      <t xml:space="preserve">조 </t>
    </r>
    <r>
      <rPr>
        <sz val="10"/>
        <rFont val="Arial"/>
        <family val="0"/>
        <charset val="1"/>
      </rPr>
      <t xml:space="preserve">LVI, </t>
    </r>
    <r>
      <rPr>
        <sz val="10"/>
        <rFont val="WenQuanYi Zen Hei"/>
        <family val="2"/>
      </rPr>
      <t xml:space="preserve">부모소외법</t>
    </r>
    <r>
      <rPr>
        <sz val="10"/>
        <rFont val="Arial"/>
        <family val="0"/>
        <charset val="1"/>
      </rPr>
      <t xml:space="preserve">.</t>
    </r>
  </si>
  <si>
    <r>
      <rPr>
        <sz val="10"/>
        <rFont val="Arial"/>
        <family val="0"/>
        <charset val="1"/>
      </rPr>
      <t xml:space="preserve">8</t>
    </r>
    <r>
      <rPr>
        <sz val="10"/>
        <rFont val="WenQuanYi Zen Hei"/>
        <family val="2"/>
      </rPr>
      <t xml:space="preserve">부</t>
    </r>
    <r>
      <rPr>
        <sz val="10"/>
        <rFont val="Arial"/>
        <family val="0"/>
        <charset val="1"/>
      </rPr>
      <t xml:space="preserve">: Paulista — </t>
    </r>
    <r>
      <rPr>
        <sz val="10"/>
        <rFont val="WenQuanYi Zen Hei"/>
        <family val="2"/>
      </rPr>
      <t xml:space="preserve">광장으로</t>
    </r>
    <r>
      <rPr>
        <sz val="10"/>
        <rFont val="Arial"/>
        <family val="0"/>
        <charset val="1"/>
      </rPr>
      <t xml:space="preserve">.</t>
    </r>
  </si>
  <si>
    <r>
      <rPr>
        <b val="true"/>
        <sz val="10"/>
        <color rgb="FFFFFFFF"/>
        <rFont val="Arial"/>
        <family val="0"/>
        <charset val="1"/>
      </rPr>
      <t xml:space="preserve">O Despertar Cívico — </t>
    </r>
    <r>
      <rPr>
        <b val="true"/>
        <sz val="10"/>
        <color rgb="FFFFFFFF"/>
        <rFont val="WenQuanYi Zen Hei"/>
        <family val="2"/>
      </rPr>
      <t xml:space="preserve">정치적 각성과 창당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B2~C1   |   </t>
    </r>
    <r>
      <rPr>
        <b val="true"/>
        <sz val="10"/>
        <color rgb="FFFFFFFF"/>
        <rFont val="WenQuanYi Zen Hei"/>
        <family val="2"/>
      </rPr>
      <t xml:space="preserve">사무소 개소 약 </t>
    </r>
    <r>
      <rPr>
        <b val="true"/>
        <sz val="10"/>
        <color rgb="FFFFFFFF"/>
        <rFont val="Arial"/>
        <family val="0"/>
        <charset val="1"/>
      </rPr>
      <t xml:space="preserve">2</t>
    </r>
    <r>
      <rPr>
        <b val="true"/>
        <sz val="10"/>
        <color rgb="FFFFFFFF"/>
        <rFont val="WenQuanYi Zen Hei"/>
        <family val="2"/>
      </rPr>
      <t xml:space="preserve">년 후</t>
    </r>
    <r>
      <rPr>
        <b val="true"/>
        <sz val="10"/>
        <color rgb="FFFFFFFF"/>
        <rFont val="Arial"/>
        <family val="0"/>
        <charset val="1"/>
      </rPr>
      <t xml:space="preserve">. Avenida Paulista → </t>
    </r>
    <r>
      <rPr>
        <b val="true"/>
        <sz val="10"/>
        <color rgb="FFFFFFFF"/>
        <rFont val="WenQuanYi Zen Hei"/>
        <family val="2"/>
      </rPr>
      <t xml:space="preserve">골목길 캠페인 → 시장</t>
    </r>
    <r>
      <rPr>
        <b val="true"/>
        <sz val="10"/>
        <color rgb="FFFFFFFF"/>
        <rFont val="Arial"/>
        <family val="0"/>
        <charset val="1"/>
      </rPr>
      <t xml:space="preserve">·</t>
    </r>
    <r>
      <rPr>
        <b val="true"/>
        <sz val="10"/>
        <color rgb="FFFFFFFF"/>
        <rFont val="WenQuanYi Zen Hei"/>
        <family val="2"/>
      </rPr>
      <t xml:space="preserve">시의원 선거</t>
    </r>
    <r>
      <rPr>
        <b val="true"/>
        <sz val="10"/>
        <color rgb="FFFFFFFF"/>
        <rFont val="Arial"/>
        <family val="0"/>
        <charset val="1"/>
      </rPr>
      <t xml:space="preserve">(</t>
    </r>
    <r>
      <rPr>
        <b val="true"/>
        <sz val="10"/>
        <color rgb="FFFFFFFF"/>
        <rFont val="WenQuanYi Zen Hei"/>
        <family val="2"/>
      </rPr>
      <t xml:space="preserve">총선 </t>
    </r>
    <r>
      <rPr>
        <b val="true"/>
        <sz val="10"/>
        <color rgb="FFFFFFFF"/>
        <rFont val="Arial"/>
        <family val="0"/>
        <charset val="1"/>
      </rPr>
      <t xml:space="preserve">2</t>
    </r>
    <r>
      <rPr>
        <b val="true"/>
        <sz val="10"/>
        <color rgb="FFFFFFFF"/>
        <rFont val="WenQuanYi Zen Hei"/>
        <family val="2"/>
      </rPr>
      <t xml:space="preserve">년 전에 따로 치러짐</t>
    </r>
    <r>
      <rPr>
        <b val="true"/>
        <sz val="10"/>
        <color rgb="FFFFFFFF"/>
        <rFont val="Arial"/>
        <family val="0"/>
        <charset val="1"/>
      </rPr>
      <t xml:space="preserve">).</t>
    </r>
  </si>
  <si>
    <t xml:space="preserve">장르 전환점. 사건을 푸는 사무소에서 법을 바꾸는 정당으로. 집회 통지·국민발안·정당 등록·선거 절차를 낭독 어휘로 소개한다.</t>
  </si>
  <si>
    <t xml:space="preserve">법정에서 이겨도 법이 그대로면 소용없다는 걸 안 사무소가 광장으로 나가 국민발안에 도전하지만 서랍 속에서 좌초하고, 스스로 정당 «Casa Comum»을 만든다.</t>
  </si>
  <si>
    <t xml:space="preserve">사건 해결자 → 후보. 사무소가 정당이 된다.</t>
  </si>
  <si>
    <t xml:space="preserve">원칙(Edson) vs 현실(Juliana) / 순수함 vs 이기는 것</t>
  </si>
  <si>
    <t xml:space="preserve">발단(1~3화): Paulista 집회, 사건에서 법으로, 150만 서명.</t>
  </si>
  <si>
    <t xml:space="preserve">전환점(4화): 대리 발의된 법안이 뼈대만 남고 서랍 속으로.</t>
  </si>
  <si>
    <t xml:space="preserve">미드포인트(5화): 정당의 탄생 — 창립 문서 서명, 이름 «Casa Comum», 55만 지지 서명 운동 시작.</t>
  </si>
  <si>
    <t xml:space="preserve">위기(6~9화): 정관(내부 민주주의), 깨끗한 돈, 개방형 명부와 성별 할당, 골목길 캠페인.</t>
  </si>
  <si>
    <t xml:space="preserve">절정(10~11화): 가짜뉴스 공격과 반론권 청구, 선거 전날.</t>
  </si>
  <si>
    <t xml:space="preserve">결말·훅(12화): 개표의 밤 — 시의회 55석 중 7석, 시장 선거 Rafael 3위(가상).</t>
  </si>
  <si>
    <r>
      <rPr>
        <sz val="10"/>
        <rFont val="Arial"/>
        <family val="0"/>
        <charset val="1"/>
      </rPr>
      <t xml:space="preserve">Machado: </t>
    </r>
    <r>
      <rPr>
        <sz val="10"/>
        <rFont val="WenQuanYi Zen Hei"/>
        <family val="2"/>
      </rPr>
      <t xml:space="preserve">첫 문장 → 정당 이름</t>
    </r>
    <r>
      <rPr>
        <sz val="10"/>
        <rFont val="Arial"/>
        <family val="0"/>
        <charset val="1"/>
      </rPr>
      <t xml:space="preserve">·</t>
    </r>
    <r>
      <rPr>
        <sz val="10"/>
        <rFont val="WenQuanYi Zen Hei"/>
        <family val="2"/>
      </rPr>
      <t xml:space="preserve">연설문</t>
    </r>
    <r>
      <rPr>
        <sz val="10"/>
        <rFont val="Arial"/>
        <family val="0"/>
        <charset val="1"/>
      </rPr>
      <t xml:space="preserve">. Edson vs Juliana</t>
    </r>
    <r>
      <rPr>
        <sz val="10"/>
        <rFont val="WenQuanYi Zen Hei"/>
        <family val="2"/>
      </rPr>
      <t xml:space="preserve">의 원칙 논쟁</t>
    </r>
    <r>
      <rPr>
        <sz val="10"/>
        <rFont val="Arial"/>
        <family val="0"/>
        <charset val="1"/>
      </rPr>
      <t xml:space="preserve">. Rafael=</t>
    </r>
    <r>
      <rPr>
        <sz val="10"/>
        <rFont val="WenQuanYi Zen Hei"/>
        <family val="2"/>
      </rPr>
      <t xml:space="preserve">시장 후보</t>
    </r>
    <r>
      <rPr>
        <sz val="10"/>
        <rFont val="Arial"/>
        <family val="0"/>
        <charset val="1"/>
      </rPr>
      <t xml:space="preserve">, Bruno·Camila=</t>
    </r>
    <r>
      <rPr>
        <sz val="10"/>
        <rFont val="WenQuanYi Zen Hei"/>
        <family val="2"/>
      </rPr>
      <t xml:space="preserve">시의원 후보</t>
    </r>
    <r>
      <rPr>
        <sz val="10"/>
        <rFont val="Arial"/>
        <family val="0"/>
        <charset val="1"/>
      </rPr>
      <t xml:space="preserve">. Larissa: </t>
    </r>
    <r>
      <rPr>
        <sz val="10"/>
        <rFont val="WenQuanYi Zen Hei"/>
        <family val="2"/>
      </rPr>
      <t xml:space="preserve">첫 후보 등록 실무</t>
    </r>
    <r>
      <rPr>
        <sz val="10"/>
        <rFont val="Arial"/>
        <family val="0"/>
        <charset val="1"/>
      </rPr>
      <t xml:space="preserve">.</t>
    </r>
  </si>
  <si>
    <r>
      <rPr>
        <sz val="10"/>
        <rFont val="Arial"/>
        <family val="0"/>
        <charset val="1"/>
      </rPr>
      <t xml:space="preserve">Edson–Juliana </t>
    </r>
    <r>
      <rPr>
        <sz val="10"/>
        <rFont val="WenQuanYi Zen Hei"/>
        <family val="2"/>
      </rPr>
      <t xml:space="preserve">화해</t>
    </r>
    <r>
      <rPr>
        <sz val="10"/>
        <rFont val="Arial"/>
        <family val="0"/>
        <charset val="1"/>
      </rPr>
      <t xml:space="preserve">(→10</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 </t>
    </r>
    <r>
      <rPr>
        <sz val="10"/>
        <rFont val="WenQuanYi Zen Hei"/>
        <family val="2"/>
      </rPr>
      <t xml:space="preserve">정당 이름의 유래</t>
    </r>
    <r>
      <rPr>
        <sz val="10"/>
        <rFont val="Arial"/>
        <family val="0"/>
        <charset val="1"/>
      </rPr>
      <t xml:space="preserve">(Marta</t>
    </r>
    <r>
      <rPr>
        <sz val="10"/>
        <rFont val="WenQuanYi Zen Hei"/>
        <family val="2"/>
      </rPr>
      <t xml:space="preserve">의 식탁</t>
    </r>
    <r>
      <rPr>
        <sz val="10"/>
        <rFont val="Arial"/>
        <family val="0"/>
        <charset val="1"/>
      </rPr>
      <t xml:space="preserve">)(→13</t>
    </r>
    <r>
      <rPr>
        <sz val="10"/>
        <rFont val="WenQuanYi Zen Hei"/>
        <family val="2"/>
      </rPr>
      <t xml:space="preserve">부 마지막</t>
    </r>
    <r>
      <rPr>
        <sz val="10"/>
        <rFont val="Arial"/>
        <family val="0"/>
        <charset val="1"/>
      </rPr>
      <t xml:space="preserve">) / </t>
    </r>
    <r>
      <rPr>
        <sz val="10"/>
        <rFont val="WenQuanYi Zen Hei"/>
        <family val="2"/>
      </rPr>
      <t xml:space="preserve">반론권</t>
    </r>
    <r>
      <rPr>
        <sz val="10"/>
        <rFont val="Arial"/>
        <family val="0"/>
        <charset val="1"/>
      </rPr>
      <t xml:space="preserve">·</t>
    </r>
    <r>
      <rPr>
        <sz val="10"/>
        <rFont val="WenQuanYi Zen Hei"/>
        <family val="2"/>
      </rPr>
      <t xml:space="preserve">언론 갈등</t>
    </r>
    <r>
      <rPr>
        <sz val="10"/>
        <rFont val="Arial"/>
        <family val="0"/>
        <charset val="1"/>
      </rPr>
      <t xml:space="preserve">(→9</t>
    </r>
    <r>
      <rPr>
        <sz val="10"/>
        <rFont val="WenQuanYi Zen Hei"/>
        <family val="2"/>
      </rPr>
      <t xml:space="preserve">부 </t>
    </r>
    <r>
      <rPr>
        <sz val="10"/>
        <rFont val="Arial"/>
        <family val="0"/>
        <charset val="1"/>
      </rPr>
      <t xml:space="preserve">10</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t>
    </r>
  </si>
  <si>
    <t xml:space="preserve">P1○ E1○ E2○ S1○ S2○ N4○</t>
  </si>
  <si>
    <t xml:space="preserve">집회 사전 통지(헌법 제5조 XVI), 국민발안(헌법 제61조 2항, Lei 9.709/1998), 정당 창당(Lei 9.096/1995, TSE 등록), 정당 재정(정당기금·선거기금, 기업 후원 금지), 선거법(Código Eleitoral, Lei 9.504/1997), 반론권(Lei 13.188/2015)</t>
  </si>
  <si>
    <r>
      <rPr>
        <sz val="10"/>
        <rFont val="Arial"/>
        <family val="0"/>
        <charset val="1"/>
      </rPr>
      <t xml:space="preserve">B2~C1. </t>
    </r>
    <r>
      <rPr>
        <sz val="10"/>
        <rFont val="WenQuanYi Zen Hei"/>
        <family val="2"/>
      </rPr>
      <t xml:space="preserve">연설</t>
    </r>
    <r>
      <rPr>
        <sz val="10"/>
        <rFont val="Arial"/>
        <family val="0"/>
        <charset val="1"/>
      </rPr>
      <t xml:space="preserve">(discurso)·</t>
    </r>
    <r>
      <rPr>
        <sz val="10"/>
        <rFont val="WenQuanYi Zen Hei"/>
        <family val="2"/>
      </rPr>
      <t xml:space="preserve">구호</t>
    </r>
    <r>
      <rPr>
        <sz val="10"/>
        <rFont val="Arial"/>
        <family val="0"/>
        <charset val="1"/>
      </rPr>
      <t xml:space="preserve">·</t>
    </r>
    <r>
      <rPr>
        <sz val="10"/>
        <rFont val="WenQuanYi Zen Hei"/>
        <family val="2"/>
      </rPr>
      <t xml:space="preserve">선언문</t>
    </r>
    <r>
      <rPr>
        <sz val="10"/>
        <rFont val="Arial"/>
        <family val="0"/>
        <charset val="1"/>
      </rPr>
      <t xml:space="preserve">, </t>
    </r>
    <r>
      <rPr>
        <sz val="10"/>
        <rFont val="WenQuanYi Zen Hei"/>
        <family val="2"/>
      </rPr>
      <t xml:space="preserve">접속법</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광장 연설의 볼륨과 호흡</t>
    </r>
    <r>
      <rPr>
        <sz val="10"/>
        <rFont val="Arial"/>
        <family val="0"/>
        <charset val="1"/>
      </rPr>
      <t xml:space="preserve">.</t>
    </r>
  </si>
  <si>
    <r>
      <rPr>
        <sz val="10"/>
        <rFont val="Arial"/>
        <family val="0"/>
        <charset val="1"/>
      </rPr>
      <t xml:space="preserve">Larissa: apoiamento·título de eleitor·quociente eleitoral </t>
    </r>
    <r>
      <rPr>
        <sz val="10"/>
        <rFont val="WenQuanYi Zen Hei"/>
        <family val="2"/>
      </rPr>
      <t xml:space="preserve">등 선거 용어</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정당법</t>
    </r>
    <r>
      <rPr>
        <sz val="10"/>
        <rFont val="Arial"/>
        <family val="0"/>
        <charset val="1"/>
      </rPr>
      <t xml:space="preserve">(Lei 9.096/1995), </t>
    </r>
    <r>
      <rPr>
        <sz val="10"/>
        <rFont val="WenQuanYi Zen Hei"/>
        <family val="2"/>
      </rPr>
      <t xml:space="preserve">선거법</t>
    </r>
    <r>
      <rPr>
        <sz val="10"/>
        <rFont val="Arial"/>
        <family val="0"/>
        <charset val="1"/>
      </rPr>
      <t xml:space="preserve">(Lei 9.504/1997), TSE </t>
    </r>
    <r>
      <rPr>
        <sz val="10"/>
        <rFont val="WenQuanYi Zen Hei"/>
        <family val="2"/>
      </rPr>
      <t xml:space="preserve">정당 등록 절차</t>
    </r>
    <r>
      <rPr>
        <sz val="10"/>
        <rFont val="Arial"/>
        <family val="0"/>
        <charset val="1"/>
      </rPr>
      <t xml:space="preserve">.</t>
    </r>
  </si>
  <si>
    <r>
      <rPr>
        <sz val="10"/>
        <rFont val="Arial"/>
        <family val="0"/>
        <charset val="1"/>
      </rPr>
      <t xml:space="preserve">9</t>
    </r>
    <r>
      <rPr>
        <sz val="10"/>
        <rFont val="WenQuanYi Zen Hei"/>
        <family val="2"/>
      </rPr>
      <t xml:space="preserve">부</t>
    </r>
    <r>
      <rPr>
        <sz val="10"/>
        <rFont val="Arial"/>
        <family val="0"/>
        <charset val="1"/>
      </rPr>
      <t xml:space="preserve">: </t>
    </r>
    <r>
      <rPr>
        <sz val="10"/>
        <rFont val="WenQuanYi Zen Hei"/>
        <family val="2"/>
      </rPr>
      <t xml:space="preserve">시의회 — 소수 야당의 싸움</t>
    </r>
    <r>
      <rPr>
        <sz val="10"/>
        <rFont val="Arial"/>
        <family val="0"/>
        <charset val="1"/>
      </rPr>
      <t xml:space="preserve">.</t>
    </r>
  </si>
  <si>
    <r>
      <rPr>
        <b val="true"/>
        <sz val="10"/>
        <color rgb="FFFFFFFF"/>
        <rFont val="Arial"/>
        <family val="0"/>
        <charset val="1"/>
      </rPr>
      <t xml:space="preserve">Na Câmara Municipal — </t>
    </r>
    <r>
      <rPr>
        <b val="true"/>
        <sz val="10"/>
        <color rgb="FFFFFFFF"/>
        <rFont val="WenQuanYi Zen Hei"/>
        <family val="2"/>
      </rPr>
      <t xml:space="preserve">시의회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C1   |   </t>
    </r>
    <r>
      <rPr>
        <b val="true"/>
        <sz val="10"/>
        <color rgb="FFFFFFFF"/>
        <rFont val="WenQuanYi Zen Hei"/>
        <family val="2"/>
      </rPr>
      <t xml:space="preserve">시의원 취임</t>
    </r>
    <r>
      <rPr>
        <b val="true"/>
        <sz val="10"/>
        <color rgb="FFFFFFFF"/>
        <rFont val="Arial"/>
        <family val="0"/>
        <charset val="1"/>
      </rPr>
      <t xml:space="preserve">(1</t>
    </r>
    <r>
      <rPr>
        <b val="true"/>
        <sz val="10"/>
        <color rgb="FFFFFFFF"/>
        <rFont val="WenQuanYi Zen Hei"/>
        <family val="2"/>
      </rPr>
      <t xml:space="preserve">월 </t>
    </r>
    <r>
      <rPr>
        <b val="true"/>
        <sz val="10"/>
        <color rgb="FFFFFFFF"/>
        <rFont val="Arial"/>
        <family val="0"/>
        <charset val="1"/>
      </rPr>
      <t xml:space="preserve">1</t>
    </r>
    <r>
      <rPr>
        <b val="true"/>
        <sz val="10"/>
        <color rgb="FFFFFFFF"/>
        <rFont val="WenQuanYi Zen Hei"/>
        <family val="2"/>
      </rPr>
      <t xml:space="preserve">일</t>
    </r>
    <r>
      <rPr>
        <b val="true"/>
        <sz val="10"/>
        <color rgb="FFFFFFFF"/>
        <rFont val="Arial"/>
        <family val="0"/>
        <charset val="1"/>
      </rPr>
      <t xml:space="preserve">) ~ 2</t>
    </r>
    <r>
      <rPr>
        <b val="true"/>
        <sz val="10"/>
        <color rgb="FFFFFFFF"/>
        <rFont val="WenQuanYi Zen Hei"/>
        <family val="2"/>
      </rPr>
      <t xml:space="preserve">년 차</t>
    </r>
    <r>
      <rPr>
        <b val="true"/>
        <sz val="10"/>
        <color rgb="FFFFFFFF"/>
        <rFont val="Arial"/>
        <family val="0"/>
        <charset val="1"/>
      </rPr>
      <t xml:space="preserve">. Palácio Anchieta(Bixiga </t>
    </r>
    <r>
      <rPr>
        <b val="true"/>
        <sz val="10"/>
        <color rgb="FFFFFFFF"/>
        <rFont val="WenQuanYi Zen Hei"/>
        <family val="2"/>
      </rPr>
      <t xml:space="preserve">옆 시의회 청사</t>
    </r>
    <r>
      <rPr>
        <b val="true"/>
        <sz val="10"/>
        <color rgb="FFFFFFFF"/>
        <rFont val="Arial"/>
        <family val="0"/>
        <charset val="1"/>
      </rPr>
      <t xml:space="preserve">), </t>
    </r>
    <r>
      <rPr>
        <b val="true"/>
        <sz val="10"/>
        <color rgb="FFFFFFFF"/>
        <rFont val="WenQuanYi Zen Hei"/>
        <family val="2"/>
      </rPr>
      <t xml:space="preserve">당사</t>
    </r>
    <r>
      <rPr>
        <b val="true"/>
        <sz val="10"/>
        <color rgb="FFFFFFFF"/>
        <rFont val="Arial"/>
        <family val="0"/>
        <charset val="1"/>
      </rPr>
      <t xml:space="preserve">.</t>
    </r>
  </si>
  <si>
    <t xml:space="preserve">제도 안의 싸움. 소수 야당으로 예산·계약·병원 위탁을 파헤치며 권력의 내부를 배운다. Larissa의 2차 폭발(이번엔 옳다).</t>
  </si>
  <si>
    <t xml:space="preserve">시의원 Bruno와 Camila가 예산과 위탁 계약을 파헤쳐 Grupo Meridiano로 이어지는 스캔들을 폭로하고 고발로 잇지만, 정치는 사법을 기다려 주지 않는다.</t>
  </si>
  <si>
    <t xml:space="preserve">구경꾼 → 견제자. 순진함 → 제도의 요령.</t>
  </si>
  <si>
    <t xml:space="preserve">동맹의 대가 vs 원칙 / 폭로의 합법성</t>
  </si>
  <si>
    <t xml:space="preserve">발단(1~3화): 시의원 취임, 첫 본회의, 도시 예산 감사.</t>
  </si>
  <si>
    <t xml:space="preserve">전개(4~5화): 계약 돋보기(COHAB-SP·특별 이전 예산), 불편한 동맹.</t>
  </si>
  <si>
    <t xml:space="preserve">미드포인트(6화): 예산의 덫 — 임대료 보조 삭감 조항, Larissa 2차 폭발(Edson의 욕 포함).</t>
  </si>
  <si>
    <t xml:space="preserve">위기(7~9화): 시의회 보건(외곽 보건소 폐쇄·CPI), 스캔들 폭로, 고발장(사법 지연).</t>
  </si>
  <si>
    <t xml:space="preserve">절정(10~11화): 권력의 반격, 대선 후보 당내 경선 — 의리의 시험.</t>
  </si>
  <si>
    <t xml:space="preserve">결말·훅(12화): 전당대회에서 Rafael을 대통령 후보로 확정 → 브라질리아로.</t>
  </si>
  <si>
    <r>
      <rPr>
        <sz val="10"/>
        <rFont val="Arial"/>
        <family val="0"/>
        <charset val="1"/>
      </rPr>
      <t xml:space="preserve">Bruno=</t>
    </r>
    <r>
      <rPr>
        <sz val="10"/>
        <rFont val="WenQuanYi Zen Hei"/>
        <family val="2"/>
      </rPr>
      <t xml:space="preserve">재정위원회</t>
    </r>
    <r>
      <rPr>
        <sz val="10"/>
        <rFont val="Arial"/>
        <family val="0"/>
        <charset val="1"/>
      </rPr>
      <t xml:space="preserve">, Camila=</t>
    </r>
    <r>
      <rPr>
        <sz val="10"/>
        <rFont val="WenQuanYi Zen Hei"/>
        <family val="2"/>
      </rPr>
      <t xml:space="preserve">보건위원회</t>
    </r>
    <r>
      <rPr>
        <sz val="10"/>
        <rFont val="Arial"/>
        <family val="0"/>
        <charset val="1"/>
      </rPr>
      <t xml:space="preserve">. Larissa: </t>
    </r>
    <r>
      <rPr>
        <sz val="10"/>
        <rFont val="WenQuanYi Zen Hei"/>
        <family val="2"/>
      </rPr>
      <t xml:space="preserve">시의원 보좌</t>
    </r>
    <r>
      <rPr>
        <sz val="10"/>
        <rFont val="Arial"/>
        <family val="0"/>
        <charset val="1"/>
      </rPr>
      <t xml:space="preserve">. Freire·Dumont·Sérgio: </t>
    </r>
    <r>
      <rPr>
        <sz val="10"/>
        <rFont val="WenQuanYi Zen Hei"/>
        <family val="2"/>
      </rPr>
      <t xml:space="preserve">스캔들 증거와 보도</t>
    </r>
    <r>
      <rPr>
        <sz val="10"/>
        <rFont val="Arial"/>
        <family val="0"/>
        <charset val="1"/>
      </rPr>
      <t xml:space="preserve">. Edson·Juliana: </t>
    </r>
    <r>
      <rPr>
        <sz val="10"/>
        <rFont val="WenQuanYi Zen Hei"/>
        <family val="2"/>
      </rPr>
      <t xml:space="preserve">동맹 갈등</t>
    </r>
    <r>
      <rPr>
        <sz val="10"/>
        <rFont val="Arial"/>
        <family val="0"/>
        <charset val="1"/>
      </rPr>
      <t xml:space="preserve">.</t>
    </r>
  </si>
  <si>
    <r>
      <rPr>
        <sz val="10"/>
        <rFont val="Arial"/>
        <family val="0"/>
        <charset val="1"/>
      </rPr>
      <t xml:space="preserve">Larissa 2</t>
    </r>
    <r>
      <rPr>
        <sz val="10"/>
        <rFont val="WenQuanYi Zen Hei"/>
        <family val="2"/>
      </rPr>
      <t xml:space="preserve">차 폭발</t>
    </r>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차의 회수</t>
    </r>
    <r>
      <rPr>
        <sz val="10"/>
        <rFont val="Arial"/>
        <family val="0"/>
        <charset val="1"/>
      </rPr>
      <t xml:space="preserve">) / Meridiano </t>
    </r>
    <r>
      <rPr>
        <sz val="10"/>
        <rFont val="WenQuanYi Zen Hei"/>
        <family val="2"/>
      </rPr>
      <t xml:space="preserve">스캔들</t>
    </r>
    <r>
      <rPr>
        <sz val="10"/>
        <rFont val="Arial"/>
        <family val="0"/>
        <charset val="1"/>
      </rPr>
      <t xml:space="preserve">(→11</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9</t>
    </r>
    <r>
      <rPr>
        <sz val="10"/>
        <rFont val="WenQuanYi Zen Hei"/>
        <family val="2"/>
      </rPr>
      <t xml:space="preserve">화</t>
    </r>
    <r>
      <rPr>
        <sz val="10"/>
        <rFont val="Arial"/>
        <family val="0"/>
        <charset val="1"/>
      </rPr>
      <t xml:space="preserve">)</t>
    </r>
  </si>
  <si>
    <t xml:space="preserve">P1● P3● E1● N2● S3●</t>
  </si>
  <si>
    <t xml:space="preserve">시 조직법, 본회의·위원회, 시 예산(LOA·LDO), 공공조달법(Lei 14.133/2021), 시 감사원(TCM-SP), 의원 예산 수정·특별 이전, 시의회 CPI, 시민소송·주 검찰 고발</t>
  </si>
  <si>
    <r>
      <rPr>
        <sz val="10"/>
        <rFont val="Arial"/>
        <family val="0"/>
        <charset val="1"/>
      </rPr>
      <t xml:space="preserve">C1. </t>
    </r>
    <r>
      <rPr>
        <sz val="10"/>
        <rFont val="WenQuanYi Zen Hei"/>
        <family val="2"/>
      </rPr>
      <t xml:space="preserve">회의 어휘</t>
    </r>
    <r>
      <rPr>
        <sz val="10"/>
        <rFont val="Arial"/>
        <family val="0"/>
        <charset val="1"/>
      </rPr>
      <t xml:space="preserve">, </t>
    </r>
    <r>
      <rPr>
        <sz val="10"/>
        <rFont val="WenQuanYi Zen Hei"/>
        <family val="2"/>
      </rPr>
      <t xml:space="preserve">표결</t>
    </r>
    <r>
      <rPr>
        <sz val="10"/>
        <rFont val="Arial"/>
        <family val="0"/>
        <charset val="1"/>
      </rPr>
      <t xml:space="preserve">·</t>
    </r>
    <r>
      <rPr>
        <sz val="10"/>
        <rFont val="WenQuanYi Zen Hei"/>
        <family val="2"/>
      </rPr>
      <t xml:space="preserve">동의안</t>
    </r>
    <r>
      <rPr>
        <sz val="10"/>
        <rFont val="Arial"/>
        <family val="0"/>
        <charset val="1"/>
      </rPr>
      <t xml:space="preserve">, </t>
    </r>
    <r>
      <rPr>
        <sz val="10"/>
        <rFont val="WenQuanYi Zen Hei"/>
        <family val="2"/>
      </rPr>
      <t xml:space="preserve">질의</t>
    </r>
    <r>
      <rPr>
        <sz val="10"/>
        <rFont val="Arial"/>
        <family val="0"/>
        <charset val="1"/>
      </rPr>
      <t xml:space="preserve">·</t>
    </r>
    <r>
      <rPr>
        <sz val="10"/>
        <rFont val="WenQuanYi Zen Hei"/>
        <family val="2"/>
      </rPr>
      <t xml:space="preserve">답변</t>
    </r>
    <r>
      <rPr>
        <sz val="10"/>
        <rFont val="Arial"/>
        <family val="0"/>
        <charset val="1"/>
      </rPr>
      <t xml:space="preserve">, Vossa Excelência·nobre vereador </t>
    </r>
    <r>
      <rPr>
        <sz val="10"/>
        <rFont val="WenQuanYi Zen Hei"/>
        <family val="2"/>
      </rPr>
      <t xml:space="preserve">호칭</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정확하고 절제된 회의체</t>
    </r>
    <r>
      <rPr>
        <sz val="10"/>
        <rFont val="Arial"/>
        <family val="0"/>
        <charset val="1"/>
      </rPr>
      <t xml:space="preserve">.</t>
    </r>
  </si>
  <si>
    <r>
      <rPr>
        <sz val="10"/>
        <rFont val="Arial"/>
        <family val="0"/>
        <charset val="1"/>
      </rPr>
      <t xml:space="preserve">Larissa: edital·licitação·emenda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공공조달법</t>
    </r>
    <r>
      <rPr>
        <sz val="10"/>
        <rFont val="Arial"/>
        <family val="0"/>
        <charset val="1"/>
      </rPr>
      <t xml:space="preserve">, </t>
    </r>
    <r>
      <rPr>
        <sz val="10"/>
        <rFont val="WenQuanYi Zen Hei"/>
        <family val="2"/>
      </rPr>
      <t xml:space="preserve">시 조직법</t>
    </r>
    <r>
      <rPr>
        <sz val="10"/>
        <rFont val="Arial"/>
        <family val="0"/>
        <charset val="1"/>
      </rPr>
      <t xml:space="preserve">, </t>
    </r>
    <r>
      <rPr>
        <sz val="10"/>
        <rFont val="WenQuanYi Zen Hei"/>
        <family val="2"/>
      </rPr>
      <t xml:space="preserve">시 감사원 보고서</t>
    </r>
    <r>
      <rPr>
        <sz val="10"/>
        <rFont val="Arial"/>
        <family val="0"/>
        <charset val="1"/>
      </rPr>
      <t xml:space="preserve">.</t>
    </r>
  </si>
  <si>
    <r>
      <rPr>
        <sz val="10"/>
        <rFont val="Arial"/>
        <family val="0"/>
        <charset val="1"/>
      </rPr>
      <t xml:space="preserve">10</t>
    </r>
    <r>
      <rPr>
        <sz val="10"/>
        <rFont val="WenQuanYi Zen Hei"/>
        <family val="2"/>
      </rPr>
      <t xml:space="preserve">부</t>
    </r>
    <r>
      <rPr>
        <sz val="10"/>
        <rFont val="Arial"/>
        <family val="0"/>
        <charset val="1"/>
      </rPr>
      <t xml:space="preserve">: </t>
    </r>
    <r>
      <rPr>
        <sz val="10"/>
        <rFont val="WenQuanYi Zen Hei"/>
        <family val="2"/>
      </rPr>
      <t xml:space="preserve">국정 도전 — 대통령 선거</t>
    </r>
    <r>
      <rPr>
        <sz val="10"/>
        <rFont val="Arial"/>
        <family val="0"/>
        <charset val="1"/>
      </rPr>
      <t xml:space="preserve">.</t>
    </r>
  </si>
  <si>
    <r>
      <rPr>
        <b val="true"/>
        <sz val="10"/>
        <color rgb="FFFFFFFF"/>
        <rFont val="Arial"/>
        <family val="0"/>
        <charset val="1"/>
      </rPr>
      <t xml:space="preserve">Rumo ao Planalto — </t>
    </r>
    <r>
      <rPr>
        <b val="true"/>
        <sz val="10"/>
        <color rgb="FFFFFFFF"/>
        <rFont val="WenQuanYi Zen Hei"/>
        <family val="2"/>
      </rPr>
      <t xml:space="preserve">대선에서 대통령 취임까지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C1~C2   |   9</t>
    </r>
    <r>
      <rPr>
        <b val="true"/>
        <sz val="10"/>
        <color rgb="FFFFFFFF"/>
        <rFont val="WenQuanYi Zen Hei"/>
        <family val="2"/>
      </rPr>
      <t xml:space="preserve">부 이후 약 </t>
    </r>
    <r>
      <rPr>
        <b val="true"/>
        <sz val="10"/>
        <color rgb="FFFFFFFF"/>
        <rFont val="Arial"/>
        <family val="0"/>
        <charset val="1"/>
      </rPr>
      <t xml:space="preserve">2</t>
    </r>
    <r>
      <rPr>
        <b val="true"/>
        <sz val="10"/>
        <color rgb="FFFFFFFF"/>
        <rFont val="WenQuanYi Zen Hei"/>
        <family val="2"/>
      </rPr>
      <t xml:space="preserve">년</t>
    </r>
    <r>
      <rPr>
        <b val="true"/>
        <sz val="10"/>
        <color rgb="FFFFFFFF"/>
        <rFont val="Arial"/>
        <family val="0"/>
        <charset val="1"/>
      </rPr>
      <t xml:space="preserve">, </t>
    </r>
    <r>
      <rPr>
        <b val="true"/>
        <sz val="10"/>
        <color rgb="FFFFFFFF"/>
        <rFont val="WenQuanYi Zen Hei"/>
        <family val="2"/>
      </rPr>
      <t xml:space="preserve">총선의 해</t>
    </r>
    <r>
      <rPr>
        <b val="true"/>
        <sz val="10"/>
        <color rgb="FFFFFFFF"/>
        <rFont val="Arial"/>
        <family val="0"/>
        <charset val="1"/>
      </rPr>
      <t xml:space="preserve">. </t>
    </r>
    <r>
      <rPr>
        <b val="true"/>
        <sz val="10"/>
        <color rgb="FFFFFFFF"/>
        <rFont val="WenQuanYi Zen Hei"/>
        <family val="2"/>
      </rPr>
      <t xml:space="preserve">전국 유세 → 상파울루 개표의 밤 → 브라질리아 </t>
    </r>
    <r>
      <rPr>
        <b val="true"/>
        <sz val="10"/>
        <color rgb="FFFFFFFF"/>
        <rFont val="Arial"/>
        <family val="0"/>
        <charset val="1"/>
      </rPr>
      <t xml:space="preserve">Congresso Nacional·Palácio do Planalto.</t>
    </r>
  </si>
  <si>
    <t xml:space="preserve">긴장의 정점. 현실의 대통령 선출 절차(후보 등록, 45일 유세, 1차 투표, 결선, 당선증, 1월 5일 취임)를 드라마로 옮긴다. Rafael이 연설가가 되는 순간.</t>
  </si>
  <si>
    <t xml:space="preserve">창당 4년 차의 Casa Comum이 대선 1차 투표에서 2위로 결선에 올라, 딥페이크와 초접전을 넘어 Rafael을 대통령으로 만든다.</t>
  </si>
  <si>
    <t xml:space="preserve">시의회 소수당 → 정부의 주인.</t>
  </si>
  <si>
    <t xml:space="preserve">원칙 vs 협상(장관직 배분·주 정부 부채) / 피로</t>
  </si>
  <si>
    <t xml:space="preserve">발단(1~3화): 전당대회와 후보 등록, 45일 유세(북동부 풍력단지·가뭄·의료 공백), TV 토론 초청 문턱.</t>
  </si>
  <si>
    <t xml:space="preserve">전환점(4화): 1차 투표 — 2위로 결선 진출. 전개(5~6화): 새 의원단 48명, 3위 후보와 결선 지지 협상.</t>
  </si>
  <si>
    <t xml:space="preserve">미드포인트(7화): 결선 1주 전 딥페이크 영상.</t>
  </si>
  <si>
    <t xml:space="preserve">위기(8~9화): Edson–Juliana 화해, 오차 범위 안의 마지막 한 주.</t>
  </si>
  <si>
    <t xml:space="preserve">전환점·절정(10~11화): 결선 투표 역전승(가상 50.8%), 정권 인수와 연립 협상.</t>
  </si>
  <si>
    <t xml:space="preserve">결말·훅(12화): 1월 5일, 연방의회에서 헌법 선서와 Planalto 경사로.</t>
  </si>
  <si>
    <r>
      <rPr>
        <sz val="10"/>
        <rFont val="Arial"/>
        <family val="0"/>
        <charset val="1"/>
      </rPr>
      <t xml:space="preserve">Rafael: </t>
    </r>
    <r>
      <rPr>
        <sz val="10"/>
        <rFont val="WenQuanYi Zen Hei"/>
        <family val="2"/>
      </rPr>
      <t xml:space="preserve">후반 연설가로 성장</t>
    </r>
    <r>
      <rPr>
        <sz val="10"/>
        <rFont val="Arial"/>
        <family val="0"/>
        <charset val="1"/>
      </rPr>
      <t xml:space="preserve">(</t>
    </r>
    <r>
      <rPr>
        <sz val="10"/>
        <rFont val="WenQuanYi Zen Hei"/>
        <family val="2"/>
      </rPr>
      <t xml:space="preserve">따뜻한 문장</t>
    </r>
    <r>
      <rPr>
        <sz val="10"/>
        <rFont val="Arial"/>
        <family val="0"/>
        <charset val="1"/>
      </rPr>
      <t xml:space="preserve">). Machado: </t>
    </r>
    <r>
      <rPr>
        <sz val="10"/>
        <rFont val="WenQuanYi Zen Hei"/>
        <family val="2"/>
      </rPr>
      <t xml:space="preserve">연설문</t>
    </r>
    <r>
      <rPr>
        <sz val="10"/>
        <rFont val="Arial"/>
        <family val="0"/>
        <charset val="1"/>
      </rPr>
      <t xml:space="preserve">. Juliana: </t>
    </r>
    <r>
      <rPr>
        <sz val="10"/>
        <rFont val="WenQuanYi Zen Hei"/>
        <family val="2"/>
      </rPr>
      <t xml:space="preserve">협상</t>
    </r>
    <r>
      <rPr>
        <sz val="10"/>
        <rFont val="Arial"/>
        <family val="0"/>
        <charset val="1"/>
      </rPr>
      <t xml:space="preserve">. Zumbi: </t>
    </r>
    <r>
      <rPr>
        <sz val="10"/>
        <rFont val="WenQuanYi Zen Hei"/>
        <family val="2"/>
      </rPr>
      <t xml:space="preserve">캠프 총괄</t>
    </r>
    <r>
      <rPr>
        <sz val="10"/>
        <rFont val="Arial"/>
        <family val="0"/>
        <charset val="1"/>
      </rPr>
      <t xml:space="preserve">. Dumont: </t>
    </r>
    <r>
      <rPr>
        <sz val="10"/>
        <rFont val="WenQuanYi Zen Hei"/>
        <family val="2"/>
      </rPr>
      <t xml:space="preserve">딥페이크 검증</t>
    </r>
    <r>
      <rPr>
        <sz val="10"/>
        <rFont val="Arial"/>
        <family val="0"/>
        <charset val="1"/>
      </rPr>
      <t xml:space="preserve">. </t>
    </r>
    <r>
      <rPr>
        <sz val="10"/>
        <rFont val="WenQuanYi Zen Hei"/>
        <family val="2"/>
      </rPr>
      <t xml:space="preserve">가상 인물</t>
    </r>
    <r>
      <rPr>
        <sz val="10"/>
        <rFont val="Arial"/>
        <family val="0"/>
        <charset val="1"/>
      </rPr>
      <t xml:space="preserve">: </t>
    </r>
    <r>
      <rPr>
        <sz val="10"/>
        <rFont val="WenQuanYi Zen Hei"/>
        <family val="2"/>
      </rPr>
      <t xml:space="preserve">러닝메이트</t>
    </r>
    <r>
      <rPr>
        <sz val="10"/>
        <rFont val="Arial"/>
        <family val="0"/>
        <charset val="1"/>
      </rPr>
      <t xml:space="preserve">(</t>
    </r>
    <r>
      <rPr>
        <sz val="10"/>
        <rFont val="WenQuanYi Zen Hei"/>
        <family val="2"/>
      </rPr>
      <t xml:space="preserve">부통령 후보</t>
    </r>
    <r>
      <rPr>
        <sz val="10"/>
        <rFont val="Arial"/>
        <family val="0"/>
        <charset val="1"/>
      </rPr>
      <t xml:space="preserve">), UCN </t>
    </r>
    <r>
      <rPr>
        <sz val="10"/>
        <rFont val="WenQuanYi Zen Hei"/>
        <family val="2"/>
      </rPr>
      <t xml:space="preserve">후보</t>
    </r>
    <r>
      <rPr>
        <sz val="10"/>
        <rFont val="Arial"/>
        <family val="0"/>
        <charset val="1"/>
      </rPr>
      <t xml:space="preserve">, </t>
    </r>
    <r>
      <rPr>
        <sz val="10"/>
        <rFont val="WenQuanYi Zen Hei"/>
        <family val="2"/>
      </rPr>
      <t xml:space="preserve">선거법원장</t>
    </r>
    <r>
      <rPr>
        <sz val="10"/>
        <rFont val="Arial"/>
        <family val="0"/>
        <charset val="1"/>
      </rPr>
      <t xml:space="preserve">(</t>
    </r>
    <r>
      <rPr>
        <sz val="10"/>
        <rFont val="WenQuanYi Zen Hei"/>
        <family val="2"/>
      </rPr>
      <t xml:space="preserve">결과 발표</t>
    </r>
    <r>
      <rPr>
        <sz val="10"/>
        <rFont val="Arial"/>
        <family val="0"/>
        <charset val="1"/>
      </rPr>
      <t xml:space="preserve">), </t>
    </r>
    <r>
      <rPr>
        <sz val="10"/>
        <rFont val="WenQuanYi Zen Hei"/>
        <family val="2"/>
      </rPr>
      <t xml:space="preserve">연방의회 의장</t>
    </r>
    <r>
      <rPr>
        <sz val="10"/>
        <rFont val="Arial"/>
        <family val="0"/>
        <charset val="1"/>
      </rPr>
      <t xml:space="preserve">(</t>
    </r>
    <r>
      <rPr>
        <sz val="10"/>
        <rFont val="WenQuanYi Zen Hei"/>
        <family val="2"/>
      </rPr>
      <t xml:space="preserve">선서 진행</t>
    </r>
    <r>
      <rPr>
        <sz val="10"/>
        <rFont val="Arial"/>
        <family val="0"/>
        <charset val="1"/>
      </rPr>
      <t xml:space="preserve">).</t>
    </r>
  </si>
  <si>
    <r>
      <rPr>
        <sz val="10"/>
        <rFont val="Arial"/>
        <family val="0"/>
        <charset val="1"/>
      </rPr>
      <t xml:space="preserve">TB</t>
    </r>
    <r>
      <rPr>
        <sz val="10"/>
        <rFont val="WenQuanYi Zen Hei"/>
        <family val="2"/>
      </rPr>
      <t xml:space="preserve">의 조건부 중립</t>
    </r>
    <r>
      <rPr>
        <sz val="10"/>
        <rFont val="Arial"/>
        <family val="0"/>
        <charset val="1"/>
      </rPr>
      <t xml:space="preserve">(→12</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 Dom Pedro</t>
    </r>
    <r>
      <rPr>
        <sz val="10"/>
        <rFont val="WenQuanYi Zen Hei"/>
        <family val="2"/>
      </rPr>
      <t xml:space="preserve">의 </t>
    </r>
    <r>
      <rPr>
        <sz val="10"/>
        <rFont val="Arial"/>
        <family val="0"/>
        <charset val="1"/>
      </rPr>
      <t xml:space="preserve">'</t>
    </r>
    <r>
      <rPr>
        <sz val="10"/>
        <rFont val="WenQuanYi Zen Hei"/>
        <family val="2"/>
      </rPr>
      <t xml:space="preserve">조정권</t>
    </r>
    <r>
      <rPr>
        <sz val="10"/>
        <rFont val="Arial"/>
        <family val="0"/>
        <charset val="1"/>
      </rPr>
      <t xml:space="preserve">(Poder Moderador)' </t>
    </r>
    <r>
      <rPr>
        <sz val="10"/>
        <rFont val="WenQuanYi Zen Hei"/>
        <family val="2"/>
      </rPr>
      <t xml:space="preserve">해설</t>
    </r>
    <r>
      <rPr>
        <sz val="10"/>
        <rFont val="Arial"/>
        <family val="0"/>
        <charset val="1"/>
      </rPr>
      <t xml:space="preserve">(→11</t>
    </r>
    <r>
      <rPr>
        <sz val="10"/>
        <rFont val="WenQuanYi Zen Hei"/>
        <family val="2"/>
      </rPr>
      <t xml:space="preserve">부 </t>
    </r>
    <r>
      <rPr>
        <sz val="10"/>
        <rFont val="Arial"/>
        <family val="0"/>
        <charset val="1"/>
      </rPr>
      <t xml:space="preserve">9</t>
    </r>
    <r>
      <rPr>
        <sz val="10"/>
        <rFont val="WenQuanYi Zen Hei"/>
        <family val="2"/>
      </rPr>
      <t xml:space="preserve">화</t>
    </r>
    <r>
      <rPr>
        <sz val="10"/>
        <rFont val="Arial"/>
        <family val="0"/>
        <charset val="1"/>
      </rPr>
      <t xml:space="preserve">) / </t>
    </r>
    <r>
      <rPr>
        <sz val="10"/>
        <rFont val="WenQuanYi Zen Hei"/>
        <family val="2"/>
      </rPr>
      <t xml:space="preserve">결선의 근소한 차</t>
    </r>
    <r>
      <rPr>
        <sz val="10"/>
        <rFont val="Arial"/>
        <family val="0"/>
        <charset val="1"/>
      </rPr>
      <t xml:space="preserve">(→13</t>
    </r>
    <r>
      <rPr>
        <sz val="10"/>
        <rFont val="WenQuanYi Zen Hei"/>
        <family val="2"/>
      </rPr>
      <t xml:space="preserve">부 원형</t>
    </r>
    <r>
      <rPr>
        <sz val="10"/>
        <rFont val="Arial"/>
        <family val="0"/>
        <charset val="1"/>
      </rPr>
      <t xml:space="preserve">)</t>
    </r>
  </si>
  <si>
    <t xml:space="preserve">P1● P2● N5● (○ S3·S4·S1·S2·N3·N4·P3)</t>
  </si>
  <si>
    <t xml:space="preserve">후보 등록·피선거권 심사(LC 64/1990·클린기록법), 무료 선거방송(HGPE), TV 토론 초청 규칙, 대통령 선출(헌법 제77조: 과반·결선), 딥페이크 금지(TSE 결의), 정권 인수(Lei 10.609/2002), 취임(헌법 제78조, 1월 5일)</t>
  </si>
  <si>
    <r>
      <rPr>
        <sz val="10"/>
        <rFont val="Arial"/>
        <family val="0"/>
        <charset val="1"/>
      </rPr>
      <t xml:space="preserve">C1~C2. </t>
    </r>
    <r>
      <rPr>
        <sz val="10"/>
        <rFont val="WenQuanYi Zen Hei"/>
        <family val="2"/>
      </rPr>
      <t xml:space="preserve">토론</t>
    </r>
    <r>
      <rPr>
        <sz val="10"/>
        <rFont val="Arial"/>
        <family val="0"/>
        <charset val="1"/>
      </rPr>
      <t xml:space="preserve">·</t>
    </r>
    <r>
      <rPr>
        <sz val="10"/>
        <rFont val="WenQuanYi Zen Hei"/>
        <family val="2"/>
      </rPr>
      <t xml:space="preserve">연설 수사</t>
    </r>
    <r>
      <rPr>
        <sz val="10"/>
        <rFont val="Arial"/>
        <family val="0"/>
        <charset val="1"/>
      </rPr>
      <t xml:space="preserve">, </t>
    </r>
    <r>
      <rPr>
        <sz val="10"/>
        <rFont val="WenQuanYi Zen Hei"/>
        <family val="2"/>
      </rPr>
      <t xml:space="preserve">접속법</t>
    </r>
    <r>
      <rPr>
        <sz val="10"/>
        <rFont val="Arial"/>
        <family val="0"/>
        <charset val="1"/>
      </rPr>
      <t xml:space="preserve">·</t>
    </r>
    <r>
      <rPr>
        <sz val="10"/>
        <rFont val="WenQuanYi Zen Hei"/>
        <family val="2"/>
      </rPr>
      <t xml:space="preserve">조건문 완곡</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장엄한 호흡</t>
    </r>
    <r>
      <rPr>
        <sz val="10"/>
        <rFont val="Arial"/>
        <family val="0"/>
        <charset val="1"/>
      </rPr>
      <t xml:space="preserve">, </t>
    </r>
    <r>
      <rPr>
        <sz val="10"/>
        <rFont val="WenQuanYi Zen Hei"/>
        <family val="2"/>
      </rPr>
      <t xml:space="preserve">선서문 낭독의 또박또박함</t>
    </r>
    <r>
      <rPr>
        <sz val="10"/>
        <rFont val="Arial"/>
        <family val="0"/>
        <charset val="1"/>
      </rPr>
      <t xml:space="preserve">.</t>
    </r>
  </si>
  <si>
    <r>
      <rPr>
        <sz val="10"/>
        <rFont val="Arial"/>
        <family val="0"/>
        <charset val="1"/>
      </rPr>
      <t xml:space="preserve">Larissa: segundo turno·votos válidos·diplomação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헌법 제</t>
    </r>
    <r>
      <rPr>
        <sz val="10"/>
        <rFont val="Arial"/>
        <family val="0"/>
        <charset val="1"/>
      </rPr>
      <t xml:space="preserve">77·78</t>
    </r>
    <r>
      <rPr>
        <sz val="10"/>
        <rFont val="WenQuanYi Zen Hei"/>
        <family val="2"/>
      </rPr>
      <t xml:space="preserve">조</t>
    </r>
    <r>
      <rPr>
        <sz val="10"/>
        <rFont val="Arial"/>
        <family val="0"/>
        <charset val="1"/>
      </rPr>
      <t xml:space="preserve">, </t>
    </r>
    <r>
      <rPr>
        <sz val="10"/>
        <rFont val="WenQuanYi Zen Hei"/>
        <family val="2"/>
      </rPr>
      <t xml:space="preserve">선거법원</t>
    </r>
    <r>
      <rPr>
        <sz val="10"/>
        <rFont val="Arial"/>
        <family val="0"/>
        <charset val="1"/>
      </rPr>
      <t xml:space="preserve">(TSE) </t>
    </r>
    <r>
      <rPr>
        <sz val="10"/>
        <rFont val="WenQuanYi Zen Hei"/>
        <family val="2"/>
      </rPr>
      <t xml:space="preserve">결과 공고</t>
    </r>
    <r>
      <rPr>
        <sz val="10"/>
        <rFont val="Arial"/>
        <family val="0"/>
        <charset val="1"/>
      </rPr>
      <t xml:space="preserve">.</t>
    </r>
  </si>
  <si>
    <r>
      <rPr>
        <sz val="10"/>
        <rFont val="Arial"/>
        <family val="0"/>
        <charset val="1"/>
      </rPr>
      <t xml:space="preserve">11</t>
    </r>
    <r>
      <rPr>
        <sz val="10"/>
        <rFont val="WenQuanYi Zen Hei"/>
        <family val="2"/>
      </rPr>
      <t xml:space="preserve">부</t>
    </r>
    <r>
      <rPr>
        <sz val="10"/>
        <rFont val="Arial"/>
        <family val="0"/>
        <charset val="1"/>
      </rPr>
      <t xml:space="preserve">: </t>
    </r>
    <r>
      <rPr>
        <sz val="10"/>
        <rFont val="WenQuanYi Zen Hei"/>
        <family val="2"/>
      </rPr>
      <t xml:space="preserve">연립 정부의 국정</t>
    </r>
    <r>
      <rPr>
        <sz val="10"/>
        <rFont val="Arial"/>
        <family val="0"/>
        <charset val="1"/>
      </rPr>
      <t xml:space="preserve">.</t>
    </r>
  </si>
  <si>
    <r>
      <rPr>
        <b val="true"/>
        <sz val="10"/>
        <color rgb="FFFFFFFF"/>
        <rFont val="Arial"/>
        <family val="0"/>
        <charset val="1"/>
      </rPr>
      <t xml:space="preserve">A Grande Batalha Social I — </t>
    </r>
    <r>
      <rPr>
        <b val="true"/>
        <sz val="10"/>
        <color rgb="FFFFFFFF"/>
        <rFont val="WenQuanYi Zen Hei"/>
        <family val="2"/>
      </rPr>
      <t xml:space="preserve">사회 현안 전투 </t>
    </r>
    <r>
      <rPr>
        <b val="true"/>
        <sz val="10"/>
        <color rgb="FFFFFFFF"/>
        <rFont val="Arial"/>
        <family val="0"/>
        <charset val="1"/>
      </rPr>
      <t xml:space="preserve">I   |   </t>
    </r>
    <r>
      <rPr>
        <b val="true"/>
        <sz val="10"/>
        <color rgb="FFFFFFFF"/>
        <rFont val="WenQuanYi Zen Hei"/>
        <family val="2"/>
      </rPr>
      <t xml:space="preserve">난이도 </t>
    </r>
    <r>
      <rPr>
        <b val="true"/>
        <sz val="10"/>
        <color rgb="FFFFFFFF"/>
        <rFont val="Arial"/>
        <family val="0"/>
        <charset val="1"/>
      </rPr>
      <t xml:space="preserve">C1~C2   |   </t>
    </r>
    <r>
      <rPr>
        <b val="true"/>
        <sz val="10"/>
        <color rgb="FFFFFFFF"/>
        <rFont val="WenQuanYi Zen Hei"/>
        <family val="2"/>
      </rPr>
      <t xml:space="preserve">취임 후 첫 해</t>
    </r>
    <r>
      <rPr>
        <b val="true"/>
        <sz val="10"/>
        <color rgb="FFFFFFFF"/>
        <rFont val="Arial"/>
        <family val="0"/>
        <charset val="1"/>
      </rPr>
      <t xml:space="preserve">(</t>
    </r>
    <r>
      <rPr>
        <b val="true"/>
        <sz val="10"/>
        <color rgb="FFFFFFFF"/>
        <rFont val="WenQuanYi Zen Hei"/>
        <family val="2"/>
      </rPr>
      <t xml:space="preserve">가상</t>
    </r>
    <r>
      <rPr>
        <b val="true"/>
        <sz val="10"/>
        <color rgb="FFFFFFFF"/>
        <rFont val="Arial"/>
        <family val="0"/>
        <charset val="1"/>
      </rPr>
      <t xml:space="preserve">). </t>
    </r>
    <r>
      <rPr>
        <b val="true"/>
        <sz val="10"/>
        <color rgb="FFFFFFFF"/>
        <rFont val="WenQuanYi Zen Hei"/>
        <family val="2"/>
      </rPr>
      <t xml:space="preserve">브라질리아</t>
    </r>
    <r>
      <rPr>
        <b val="true"/>
        <sz val="10"/>
        <color rgb="FFFFFFFF"/>
        <rFont val="Arial"/>
        <family val="0"/>
        <charset val="1"/>
      </rPr>
      <t xml:space="preserve">(Planalto·</t>
    </r>
    <r>
      <rPr>
        <b val="true"/>
        <sz val="10"/>
        <color rgb="FFFFFFFF"/>
        <rFont val="WenQuanYi Zen Hei"/>
        <family val="2"/>
      </rPr>
      <t xml:space="preserve">에스플라나다</t>
    </r>
    <r>
      <rPr>
        <b val="true"/>
        <sz val="10"/>
        <color rgb="FFFFFFFF"/>
        <rFont val="Arial"/>
        <family val="0"/>
        <charset val="1"/>
      </rPr>
      <t xml:space="preserve">), </t>
    </r>
    <r>
      <rPr>
        <b val="true"/>
        <sz val="10"/>
        <color rgb="FFFFFFFF"/>
        <rFont val="WenQuanYi Zen Hei"/>
        <family val="2"/>
      </rPr>
      <t xml:space="preserve">주말엔 상파울루 </t>
    </r>
    <r>
      <rPr>
        <b val="true"/>
        <sz val="10"/>
        <color rgb="FFFFFFFF"/>
        <rFont val="Arial"/>
        <family val="0"/>
        <charset val="1"/>
      </rPr>
      <t xml:space="preserve">Bixiga</t>
    </r>
    <r>
      <rPr>
        <b val="true"/>
        <sz val="10"/>
        <color rgb="FFFFFFFF"/>
        <rFont val="WenQuanYi Zen Hei"/>
        <family val="2"/>
      </rPr>
      <t xml:space="preserve">의 식탁</t>
    </r>
    <r>
      <rPr>
        <b val="true"/>
        <sz val="10"/>
        <color rgb="FFFFFFFF"/>
        <rFont val="Arial"/>
        <family val="0"/>
        <charset val="1"/>
      </rPr>
      <t xml:space="preserve">, </t>
    </r>
    <r>
      <rPr>
        <b val="true"/>
        <sz val="10"/>
        <color rgb="FFFFFFFF"/>
        <rFont val="WenQuanYi Zen Hei"/>
        <family val="2"/>
      </rPr>
      <t xml:space="preserve">그리고 브뤼셀</t>
    </r>
    <r>
      <rPr>
        <b val="true"/>
        <sz val="10"/>
        <color rgb="FFFFFFFF"/>
        <rFont val="Arial"/>
        <family val="0"/>
        <charset val="1"/>
      </rPr>
      <t xml:space="preserve">.</t>
    </r>
  </si>
  <si>
    <t xml:space="preserve">이야기의 시험대이자 Dom Pedro의 마지막 임무. 대통령이 되어도 권한은 연방·주·시와 의회로 나뉘어 있다는 현실을 국내에서 배운 뒤, 폐위된 황제가 폐위 이후 처음으로 나라를 대표해 브뤼셀에서 직접 협상하고 승리한 직후 숨을 거둔다.</t>
  </si>
  <si>
    <t xml:space="preserve">연립 정부가 주거·보건·이민·청년의 벽을 넘고, Dom Pedro가 자원해 Mercosul–EU 협정의 막힌 조항을 직접 협상해 이긴 뒤 귀국하자마자 쓰러진다.</t>
  </si>
  <si>
    <t xml:space="preserve">선거의 사람들 → 통치하는 사람들. 그리고 폐위된 황제 → 공화국의 특사로 마지막으로 돌아간 사람.</t>
  </si>
  <si>
    <t xml:space="preserve">하고 싶은 것 vs 할 수 있는 것(권한) / 늙은 몸 vs 마지막 임무를 향한 의지</t>
  </si>
  <si>
    <t xml:space="preserve">발단(1~2화): 첫 장관회의, 보이지 않는 집주인들 — 주거 현안.</t>
  </si>
  <si>
    <t xml:space="preserve">전개(3~5화): 주거법(자기 조항 폐지), 응급실 마비(주·시 권한), 이주민 분담.</t>
  </si>
  <si>
    <t xml:space="preserve">위기(6화): 청년 고용 협상 — 아직 죽지 않지만 계단에서 숨이 가쁘다.</t>
  </si>
  <si>
    <t xml:space="preserve">위기(7~8화): 가격 카르텔·도청 논쟁(Dom Pedro가 중재), 초고소득 과세.</t>
  </si>
  <si>
    <t xml:space="preserve">전환점(9화): Dom Pedro가 브뤼셀행을 자원한다 — 금박 이름을 새긴 사업가 출신과 정보기관 출신의 이웃국 병합자, 두 지도자를 특징으로만 회상하며 이름은 끝내 말하지 않는다.</t>
  </si>
  <si>
    <t xml:space="preserve">절정(10~11화): 직접 협상 — 상대의 과장을 위성 자료로 반박하고 타결. 귀국길의 피로.</t>
  </si>
  <si>
    <t xml:space="preserve">비트 7</t>
  </si>
  <si>
    <t xml:space="preserve">결말(12화): 귀국 직후 조국에서 사망. «Não é ruim.» — 승리 직후라 더 무겁다.</t>
  </si>
  <si>
    <r>
      <rPr>
        <sz val="10"/>
        <rFont val="Arial"/>
        <family val="0"/>
        <charset val="1"/>
      </rPr>
      <t xml:space="preserve">Rafael=</t>
    </r>
    <r>
      <rPr>
        <sz val="10"/>
        <rFont val="WenQuanYi Zen Hei"/>
        <family val="2"/>
      </rPr>
      <t xml:space="preserve">대통령</t>
    </r>
    <r>
      <rPr>
        <sz val="10"/>
        <rFont val="Arial"/>
        <family val="0"/>
        <charset val="1"/>
      </rPr>
      <t xml:space="preserve">, Bruno=</t>
    </r>
    <r>
      <rPr>
        <sz val="10"/>
        <rFont val="WenQuanYi Zen Hei"/>
        <family val="2"/>
      </rPr>
      <t xml:space="preserve">재무장관</t>
    </r>
    <r>
      <rPr>
        <sz val="10"/>
        <rFont val="Arial"/>
        <family val="0"/>
        <charset val="1"/>
      </rPr>
      <t xml:space="preserve">(</t>
    </r>
    <r>
      <rPr>
        <sz val="10"/>
        <rFont val="WenQuanYi Zen Hei"/>
        <family val="2"/>
      </rPr>
      <t xml:space="preserve">브뤼셀 동행</t>
    </r>
    <r>
      <rPr>
        <sz val="10"/>
        <rFont val="Arial"/>
        <family val="0"/>
        <charset val="1"/>
      </rPr>
      <t xml:space="preserve">), Camila=</t>
    </r>
    <r>
      <rPr>
        <sz val="10"/>
        <rFont val="WenQuanYi Zen Hei"/>
        <family val="2"/>
      </rPr>
      <t xml:space="preserve">보건장관</t>
    </r>
    <r>
      <rPr>
        <sz val="10"/>
        <rFont val="Arial"/>
        <family val="0"/>
        <charset val="1"/>
      </rPr>
      <t xml:space="preserve">, Juliana=</t>
    </r>
    <r>
      <rPr>
        <sz val="10"/>
        <rFont val="WenQuanYi Zen Hei"/>
        <family val="2"/>
      </rPr>
      <t xml:space="preserve">수석장관</t>
    </r>
    <r>
      <rPr>
        <sz val="10"/>
        <rFont val="Arial"/>
        <family val="0"/>
        <charset val="1"/>
      </rPr>
      <t xml:space="preserve">(Casa Civil), Zumbi=</t>
    </r>
    <r>
      <rPr>
        <sz val="10"/>
        <rFont val="WenQuanYi Zen Hei"/>
        <family val="2"/>
      </rPr>
      <t xml:space="preserve">통합</t>
    </r>
    <r>
      <rPr>
        <sz val="10"/>
        <rFont val="Arial"/>
        <family val="0"/>
        <charset val="1"/>
      </rPr>
      <t xml:space="preserve">·</t>
    </r>
    <r>
      <rPr>
        <sz val="10"/>
        <rFont val="WenQuanYi Zen Hei"/>
        <family val="2"/>
      </rPr>
      <t xml:space="preserve">지역개발장관</t>
    </r>
    <r>
      <rPr>
        <sz val="10"/>
        <rFont val="Arial"/>
        <family val="0"/>
        <charset val="1"/>
      </rPr>
      <t xml:space="preserve">(</t>
    </r>
    <r>
      <rPr>
        <sz val="10"/>
        <rFont val="WenQuanYi Zen Hei"/>
        <family val="2"/>
      </rPr>
      <t xml:space="preserve">국가 민방위 총괄</t>
    </r>
    <r>
      <rPr>
        <sz val="10"/>
        <rFont val="Arial"/>
        <family val="0"/>
        <charset val="1"/>
      </rPr>
      <t xml:space="preserve">), Machado=</t>
    </r>
    <r>
      <rPr>
        <sz val="10"/>
        <rFont val="WenQuanYi Zen Hei"/>
        <family val="2"/>
      </rPr>
      <t xml:space="preserve">연설</t>
    </r>
    <r>
      <rPr>
        <sz val="10"/>
        <rFont val="Arial"/>
        <family val="0"/>
        <charset val="1"/>
      </rPr>
      <t xml:space="preserve">·</t>
    </r>
    <r>
      <rPr>
        <sz val="10"/>
        <rFont val="WenQuanYi Zen Hei"/>
        <family val="2"/>
      </rPr>
      <t xml:space="preserve">브리핑 문구</t>
    </r>
    <r>
      <rPr>
        <sz val="10"/>
        <rFont val="Arial"/>
        <family val="0"/>
        <charset val="1"/>
      </rPr>
      <t xml:space="preserve">, Larissa: </t>
    </r>
    <r>
      <rPr>
        <sz val="10"/>
        <rFont val="WenQuanYi Zen Hei"/>
        <family val="2"/>
      </rPr>
      <t xml:space="preserve">마지막 순간을 함께한다</t>
    </r>
    <r>
      <rPr>
        <sz val="10"/>
        <rFont val="Arial"/>
        <family val="0"/>
        <charset val="1"/>
      </rPr>
      <t xml:space="preserve">.</t>
    </r>
  </si>
  <si>
    <r>
      <rPr>
        <sz val="10"/>
        <rFont val="Arial"/>
        <family val="0"/>
        <charset val="1"/>
      </rPr>
      <t xml:space="preserve">Rafael</t>
    </r>
    <r>
      <rPr>
        <sz val="10"/>
        <rFont val="WenQuanYi Zen Hei"/>
        <family val="2"/>
      </rPr>
      <t xml:space="preserve">의 옛 조항 폐지</t>
    </r>
    <r>
      <rPr>
        <sz val="10"/>
        <rFont val="Arial"/>
        <family val="0"/>
        <charset val="1"/>
      </rPr>
      <t xml:space="preserve">(2</t>
    </r>
    <r>
      <rPr>
        <sz val="10"/>
        <rFont val="WenQuanYi Zen Hei"/>
        <family val="2"/>
      </rPr>
      <t xml:space="preserve">부 </t>
    </r>
    <r>
      <rPr>
        <sz val="10"/>
        <rFont val="Arial"/>
        <family val="0"/>
        <charset val="1"/>
      </rPr>
      <t xml:space="preserve">6</t>
    </r>
    <r>
      <rPr>
        <sz val="10"/>
        <rFont val="WenQuanYi Zen Hei"/>
        <family val="2"/>
      </rPr>
      <t xml:space="preserve">화 회수</t>
    </r>
    <r>
      <rPr>
        <sz val="10"/>
        <rFont val="Arial"/>
        <family val="0"/>
        <charset val="1"/>
      </rPr>
      <t xml:space="preserve">) / Dom Pedro </t>
    </r>
    <r>
      <rPr>
        <sz val="10"/>
        <rFont val="WenQuanYi Zen Hei"/>
        <family val="2"/>
      </rPr>
      <t xml:space="preserve">죽음</t>
    </r>
    <r>
      <rPr>
        <sz val="10"/>
        <rFont val="Arial"/>
        <family val="0"/>
        <charset val="1"/>
      </rPr>
      <t xml:space="preserve">·</t>
    </r>
    <r>
      <rPr>
        <sz val="10"/>
        <rFont val="WenQuanYi Zen Hei"/>
        <family val="2"/>
      </rPr>
      <t xml:space="preserve">우산</t>
    </r>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t>
    </r>
    <r>
      <rPr>
        <sz val="10"/>
        <rFont val="Arial"/>
        <family val="0"/>
        <charset val="1"/>
      </rPr>
      <t xml:space="preserve">, 13</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 </t>
    </r>
    <r>
      <rPr>
        <sz val="10"/>
        <rFont val="WenQuanYi Zen Hei"/>
        <family val="2"/>
      </rPr>
      <t xml:space="preserve">도청 논쟁</t>
    </r>
    <r>
      <rPr>
        <sz val="10"/>
        <rFont val="Arial"/>
        <family val="0"/>
        <charset val="1"/>
      </rPr>
      <t xml:space="preserve">(7</t>
    </r>
    <r>
      <rPr>
        <sz val="10"/>
        <rFont val="WenQuanYi Zen Hei"/>
        <family val="2"/>
      </rPr>
      <t xml:space="preserve">부 </t>
    </r>
    <r>
      <rPr>
        <sz val="10"/>
        <rFont val="Arial"/>
        <family val="0"/>
        <charset val="1"/>
      </rPr>
      <t xml:space="preserve">8</t>
    </r>
    <r>
      <rPr>
        <sz val="10"/>
        <rFont val="WenQuanYi Zen Hei"/>
        <family val="2"/>
      </rPr>
      <t xml:space="preserve">화 회수</t>
    </r>
    <r>
      <rPr>
        <sz val="10"/>
        <rFont val="Arial"/>
        <family val="0"/>
        <charset val="1"/>
      </rPr>
      <t xml:space="preserve">) / Dom Pedro</t>
    </r>
    <r>
      <rPr>
        <sz val="10"/>
        <rFont val="WenQuanYi Zen Hei"/>
        <family val="2"/>
      </rPr>
      <t xml:space="preserve">가 브뤼셀로 자원</t>
    </r>
    <r>
      <rPr>
        <sz val="10"/>
        <rFont val="Arial"/>
        <family val="0"/>
        <charset val="1"/>
      </rPr>
      <t xml:space="preserve">(→12</t>
    </r>
    <r>
      <rPr>
        <sz val="10"/>
        <rFont val="WenQuanYi Zen Hei"/>
        <family val="2"/>
      </rPr>
      <t xml:space="preserve">부 </t>
    </r>
    <r>
      <rPr>
        <sz val="10"/>
        <rFont val="Arial"/>
        <family val="0"/>
        <charset val="1"/>
      </rPr>
      <t xml:space="preserve">3</t>
    </r>
    <r>
      <rPr>
        <sz val="10"/>
        <rFont val="WenQuanYi Zen Hei"/>
        <family val="2"/>
      </rPr>
      <t xml:space="preserve">화 메모 승계</t>
    </r>
    <r>
      <rPr>
        <sz val="10"/>
        <rFont val="Arial"/>
        <family val="0"/>
        <charset val="1"/>
      </rPr>
      <t xml:space="preserve">)</t>
    </r>
  </si>
  <si>
    <t xml:space="preserve">E1● E3● S1● S2● N3●</t>
  </si>
  <si>
    <t xml:space="preserve">장관 임명(헌법 제84조), SUS 3자 협의체(CIT), 임시조치의 세금 제한(헌법 제62조 2항), 조약 체결·비준(헌법 제84조 VIII·제49조 I), Mercosul–EU 협정, EU 산림전용방지규정(EUDR), 위성 산림 감시(PRODES)</t>
  </si>
  <si>
    <r>
      <rPr>
        <sz val="10"/>
        <rFont val="Arial"/>
        <family val="0"/>
        <charset val="1"/>
      </rPr>
      <t xml:space="preserve">C1~C2. </t>
    </r>
    <r>
      <rPr>
        <sz val="10"/>
        <rFont val="WenQuanYi Zen Hei"/>
        <family val="2"/>
      </rPr>
      <t xml:space="preserve">국정 문서</t>
    </r>
    <r>
      <rPr>
        <sz val="10"/>
        <rFont val="Arial"/>
        <family val="0"/>
        <charset val="1"/>
      </rPr>
      <t xml:space="preserve">·</t>
    </r>
    <r>
      <rPr>
        <sz val="10"/>
        <rFont val="WenQuanYi Zen Hei"/>
        <family val="2"/>
      </rPr>
      <t xml:space="preserve">외교 협상 어휘</t>
    </r>
    <r>
      <rPr>
        <sz val="10"/>
        <rFont val="Arial"/>
        <family val="0"/>
        <charset val="1"/>
      </rPr>
      <t xml:space="preserve">, </t>
    </r>
    <r>
      <rPr>
        <sz val="10"/>
        <rFont val="WenQuanYi Zen Hei"/>
        <family val="2"/>
      </rPr>
      <t xml:space="preserve">조문 낭독</t>
    </r>
    <r>
      <rPr>
        <sz val="10"/>
        <rFont val="Arial"/>
        <family val="0"/>
        <charset val="1"/>
      </rPr>
      <t xml:space="preserve">, </t>
    </r>
    <r>
      <rPr>
        <sz val="10"/>
        <rFont val="WenQuanYi Zen Hei"/>
        <family val="2"/>
      </rPr>
      <t xml:space="preserve">완곡어법</t>
    </r>
    <r>
      <rPr>
        <sz val="10"/>
        <rFont val="Arial"/>
        <family val="0"/>
        <charset val="1"/>
      </rPr>
      <t xml:space="preserve">(Dom Pedro</t>
    </r>
    <r>
      <rPr>
        <sz val="10"/>
        <rFont val="WenQuanYi Zen Hei"/>
        <family val="2"/>
      </rPr>
      <t xml:space="preserve">의 </t>
    </r>
    <r>
      <rPr>
        <sz val="10"/>
        <rFont val="Arial"/>
        <family val="0"/>
        <charset val="1"/>
      </rPr>
      <t xml:space="preserve">19</t>
    </r>
    <r>
      <rPr>
        <sz val="10"/>
        <rFont val="WenQuanYi Zen Hei"/>
        <family val="2"/>
      </rPr>
      <t xml:space="preserve">세기식 격식체와 대명사 후치 </t>
    </r>
    <r>
      <rPr>
        <sz val="10"/>
        <rFont val="Arial"/>
        <family val="0"/>
        <charset val="1"/>
      </rPr>
      <t xml:space="preserve">dir-lhe-ei). </t>
    </r>
    <r>
      <rPr>
        <sz val="10"/>
        <rFont val="WenQuanYi Zen Hei"/>
        <family val="2"/>
      </rPr>
      <t xml:space="preserve">발성</t>
    </r>
    <r>
      <rPr>
        <sz val="10"/>
        <rFont val="Arial"/>
        <family val="0"/>
        <charset val="1"/>
      </rPr>
      <t xml:space="preserve">: </t>
    </r>
    <r>
      <rPr>
        <sz val="10"/>
        <rFont val="WenQuanYi Zen Hei"/>
        <family val="2"/>
      </rPr>
      <t xml:space="preserve">노련한 협상가의 절제된 반박과 임종 장면의 낮은 목소리</t>
    </r>
    <r>
      <rPr>
        <sz val="10"/>
        <rFont val="Arial"/>
        <family val="0"/>
        <charset val="1"/>
      </rPr>
      <t xml:space="preserve">.</t>
    </r>
  </si>
  <si>
    <r>
      <rPr>
        <sz val="10"/>
        <rFont val="Arial"/>
        <family val="0"/>
        <charset val="1"/>
      </rPr>
      <t xml:space="preserve">Larissa: medida provisória·competência concorrente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헌법 제</t>
    </r>
    <r>
      <rPr>
        <sz val="10"/>
        <rFont val="Arial"/>
        <family val="0"/>
        <charset val="1"/>
      </rPr>
      <t xml:space="preserve">23·24·30</t>
    </r>
    <r>
      <rPr>
        <sz val="10"/>
        <rFont val="WenQuanYi Zen Hei"/>
        <family val="2"/>
      </rPr>
      <t xml:space="preserve">조</t>
    </r>
    <r>
      <rPr>
        <sz val="10"/>
        <rFont val="Arial"/>
        <family val="0"/>
        <charset val="1"/>
      </rPr>
      <t xml:space="preserve">(</t>
    </r>
    <r>
      <rPr>
        <sz val="10"/>
        <rFont val="WenQuanYi Zen Hei"/>
        <family val="2"/>
      </rPr>
      <t xml:space="preserve">권한 배분</t>
    </r>
    <r>
      <rPr>
        <sz val="10"/>
        <rFont val="Arial"/>
        <family val="0"/>
        <charset val="1"/>
      </rPr>
      <t xml:space="preserve">), EUDR </t>
    </r>
    <r>
      <rPr>
        <sz val="10"/>
        <rFont val="WenQuanYi Zen Hei"/>
        <family val="2"/>
      </rPr>
      <t xml:space="preserve">원문</t>
    </r>
    <r>
      <rPr>
        <sz val="10"/>
        <rFont val="Arial"/>
        <family val="0"/>
        <charset val="1"/>
      </rPr>
      <t xml:space="preserve">(EUR-Lex).</t>
    </r>
  </si>
  <si>
    <r>
      <rPr>
        <sz val="10"/>
        <rFont val="Arial"/>
        <family val="0"/>
        <charset val="1"/>
      </rPr>
      <t xml:space="preserve">12</t>
    </r>
    <r>
      <rPr>
        <sz val="10"/>
        <rFont val="WenQuanYi Zen Hei"/>
        <family val="2"/>
      </rPr>
      <t xml:space="preserve">부</t>
    </r>
    <r>
      <rPr>
        <sz val="10"/>
        <rFont val="Arial"/>
        <family val="0"/>
        <charset val="1"/>
      </rPr>
      <t xml:space="preserve">: </t>
    </r>
    <r>
      <rPr>
        <sz val="10"/>
        <rFont val="WenQuanYi Zen Hei"/>
        <family val="2"/>
      </rPr>
      <t xml:space="preserve">장례식으로 시작해 그의 메모로 협상을 잇는다</t>
    </r>
    <r>
      <rPr>
        <sz val="10"/>
        <rFont val="Arial"/>
        <family val="0"/>
        <charset val="1"/>
      </rPr>
      <t xml:space="preserve">.</t>
    </r>
  </si>
  <si>
    <r>
      <rPr>
        <b val="true"/>
        <sz val="10"/>
        <color rgb="FFFFFFFF"/>
        <rFont val="Arial"/>
        <family val="0"/>
        <charset val="1"/>
      </rPr>
      <t xml:space="preserve">A Grande Batalha Social II — </t>
    </r>
    <r>
      <rPr>
        <b val="true"/>
        <sz val="10"/>
        <color rgb="FFFFFFFF"/>
        <rFont val="WenQuanYi Zen Hei"/>
        <family val="2"/>
      </rPr>
      <t xml:space="preserve">사회 현안 전투 </t>
    </r>
    <r>
      <rPr>
        <b val="true"/>
        <sz val="10"/>
        <color rgb="FFFFFFFF"/>
        <rFont val="Arial"/>
        <family val="0"/>
        <charset val="1"/>
      </rPr>
      <t xml:space="preserve">II   |   </t>
    </r>
    <r>
      <rPr>
        <b val="true"/>
        <sz val="10"/>
        <color rgb="FFFFFFFF"/>
        <rFont val="WenQuanYi Zen Hei"/>
        <family val="2"/>
      </rPr>
      <t xml:space="preserve">난이도 </t>
    </r>
    <r>
      <rPr>
        <b val="true"/>
        <sz val="10"/>
        <color rgb="FFFFFFFF"/>
        <rFont val="Arial"/>
        <family val="0"/>
        <charset val="1"/>
      </rPr>
      <t xml:space="preserve">C1~C2   |   Dom Pedro </t>
    </r>
    <r>
      <rPr>
        <b val="true"/>
        <sz val="10"/>
        <color rgb="FFFFFFFF"/>
        <rFont val="WenQuanYi Zen Hei"/>
        <family val="2"/>
      </rPr>
      <t xml:space="preserve">사후</t>
    </r>
    <r>
      <rPr>
        <b val="true"/>
        <sz val="10"/>
        <color rgb="FFFFFFFF"/>
        <rFont val="Arial"/>
        <family val="0"/>
        <charset val="1"/>
      </rPr>
      <t xml:space="preserve">. </t>
    </r>
    <r>
      <rPr>
        <b val="true"/>
        <sz val="10"/>
        <color rgb="FFFFFFFF"/>
        <rFont val="WenQuanYi Zen Hei"/>
        <family val="2"/>
      </rPr>
      <t xml:space="preserve">브라질리아</t>
    </r>
    <r>
      <rPr>
        <b val="true"/>
        <sz val="10"/>
        <color rgb="FFFFFFFF"/>
        <rFont val="Arial"/>
        <family val="0"/>
        <charset val="1"/>
      </rPr>
      <t xml:space="preserve">, </t>
    </r>
    <r>
      <rPr>
        <b val="true"/>
        <sz val="10"/>
        <color rgb="FFFFFFFF"/>
        <rFont val="WenQuanYi Zen Hei"/>
        <family val="2"/>
      </rPr>
      <t xml:space="preserve">상파울루</t>
    </r>
    <r>
      <rPr>
        <b val="true"/>
        <sz val="10"/>
        <color rgb="FFFFFFFF"/>
        <rFont val="Arial"/>
        <family val="0"/>
        <charset val="1"/>
      </rPr>
      <t xml:space="preserve">, </t>
    </r>
    <r>
      <rPr>
        <b val="true"/>
        <sz val="10"/>
        <color rgb="FFFFFFFF"/>
        <rFont val="WenQuanYi Zen Hei"/>
        <family val="2"/>
      </rPr>
      <t xml:space="preserve">브뤼셀</t>
    </r>
    <r>
      <rPr>
        <b val="true"/>
        <sz val="10"/>
        <color rgb="FFFFFFFF"/>
        <rFont val="Arial"/>
        <family val="0"/>
        <charset val="1"/>
      </rPr>
      <t xml:space="preserve">, </t>
    </r>
    <r>
      <rPr>
        <b val="true"/>
        <sz val="10"/>
        <color rgb="FFFFFFFF"/>
        <rFont val="WenQuanYi Zen Hei"/>
        <family val="2"/>
      </rPr>
      <t xml:space="preserve">남부 홍수 현장</t>
    </r>
    <r>
      <rPr>
        <b val="true"/>
        <sz val="10"/>
        <color rgb="FFFFFFFF"/>
        <rFont val="Arial"/>
        <family val="0"/>
        <charset val="1"/>
      </rPr>
      <t xml:space="preserve">.</t>
    </r>
  </si>
  <si>
    <t xml:space="preserve">상실 이후의 국정. 죽은 사람의 메모로 산 사람들이 협상을 잇는 법, 그리고 새로운 현안(앱 노동·정보기관 사찰·청년 정신건강과 온라인 도박)을 통과하는 팀의 성장.</t>
  </si>
  <si>
    <t xml:space="preserve">장례식을 치른 팀이 Dom Pedro의 메모로 브뤼셀 후속 협상을 마무리하고, 앱 노동·사찰 스캔들·청년 정신건강을 거쳐 탄핵 청구와 대홍수까지 버텨낸다.</t>
  </si>
  <si>
    <t xml:space="preserve">한 사람의 노련함에 기대던 팀 → 그의 방식을 자기 것으로 만든 팀.</t>
  </si>
  <si>
    <t xml:space="preserve">애도 vs 계속 가는 것 / 새 현안들의 무게</t>
  </si>
  <si>
    <t xml:space="preserve">발단(1화): 장례식 — Larissa가 처음으로 'você'를 쓴다.</t>
  </si>
  <si>
    <t xml:space="preserve">전개(2~3화): 유작 메모 발견, 그 메모로 잇는 2차 브뤼셀 협상.</t>
  </si>
  <si>
    <t xml:space="preserve">전개(4~6화): 앱 노동(앱 파업), 정보기관 사찰 스캔들, 청년 정신건강·온라인 도박.</t>
  </si>
  <si>
    <t xml:space="preserve">위기(7~8화): 탄핵 청구 방어(342표 문턱), 남부 대홍수 재난.</t>
  </si>
  <si>
    <t xml:space="preserve">절정(9화): 거리에서 나타난 성과들.</t>
  </si>
  <si>
    <t xml:space="preserve">위기·결말(10~12화): 올드 가드의 빈자리, 협정 이행·기후 재원 예산 반영 논쟁, 예산안 제출 준비.</t>
  </si>
  <si>
    <r>
      <rPr>
        <sz val="10"/>
        <rFont val="Arial"/>
        <family val="0"/>
        <charset val="1"/>
      </rPr>
      <t xml:space="preserve">Bruno·Machado=Dom Pedro</t>
    </r>
    <r>
      <rPr>
        <sz val="10"/>
        <rFont val="WenQuanYi Zen Hei"/>
        <family val="2"/>
      </rPr>
      <t xml:space="preserve">의 메모를 잇는 두 사람</t>
    </r>
    <r>
      <rPr>
        <sz val="10"/>
        <rFont val="Arial"/>
        <family val="0"/>
        <charset val="1"/>
      </rPr>
      <t xml:space="preserve">. Freire=</t>
    </r>
    <r>
      <rPr>
        <sz val="10"/>
        <rFont val="WenQuanYi Zen Hei"/>
        <family val="2"/>
      </rPr>
      <t xml:space="preserve">군사정권 시절 감시받던 경험으로 사찰 스캔들 추적</t>
    </r>
    <r>
      <rPr>
        <sz val="10"/>
        <rFont val="Arial"/>
        <family val="0"/>
        <charset val="1"/>
      </rPr>
      <t xml:space="preserve">. Isabel·Larissa=</t>
    </r>
    <r>
      <rPr>
        <sz val="10"/>
        <rFont val="WenQuanYi Zen Hei"/>
        <family val="2"/>
      </rPr>
      <t xml:space="preserve">청년 정신건강</t>
    </r>
    <r>
      <rPr>
        <sz val="10"/>
        <rFont val="Arial"/>
        <family val="0"/>
        <charset val="1"/>
      </rPr>
      <t xml:space="preserve">. Zumbi·Freire=</t>
    </r>
    <r>
      <rPr>
        <sz val="10"/>
        <rFont val="WenQuanYi Zen Hei"/>
        <family val="2"/>
      </rPr>
      <t xml:space="preserve">빈자리를 마주함</t>
    </r>
    <r>
      <rPr>
        <sz val="10"/>
        <rFont val="Arial"/>
        <family val="0"/>
        <charset val="1"/>
      </rPr>
      <t xml:space="preserve">. Juliana=</t>
    </r>
    <r>
      <rPr>
        <sz val="10"/>
        <rFont val="WenQuanYi Zen Hei"/>
        <family val="2"/>
      </rPr>
      <t xml:space="preserve">자기 부처 소속 정보청의 스캔들을 감당</t>
    </r>
    <r>
      <rPr>
        <sz val="10"/>
        <rFont val="Arial"/>
        <family val="0"/>
        <charset val="1"/>
      </rPr>
      <t xml:space="preserve">.</t>
    </r>
  </si>
  <si>
    <r>
      <rPr>
        <sz val="10"/>
        <rFont val="Arial"/>
        <family val="0"/>
        <charset val="1"/>
      </rPr>
      <t xml:space="preserve">Dom Pedro</t>
    </r>
    <r>
      <rPr>
        <sz val="10"/>
        <rFont val="WenQuanYi Zen Hei"/>
        <family val="2"/>
      </rPr>
      <t xml:space="preserve">의 유작 메모</t>
    </r>
    <r>
      <rPr>
        <sz val="10"/>
        <rFont val="Arial"/>
        <family val="0"/>
        <charset val="1"/>
      </rPr>
      <t xml:space="preserve">(11</t>
    </r>
    <r>
      <rPr>
        <sz val="10"/>
        <rFont val="WenQuanYi Zen Hei"/>
        <family val="2"/>
      </rPr>
      <t xml:space="preserve">부 </t>
    </r>
    <r>
      <rPr>
        <sz val="10"/>
        <rFont val="Arial"/>
        <family val="0"/>
        <charset val="1"/>
      </rPr>
      <t xml:space="preserve">11</t>
    </r>
    <r>
      <rPr>
        <sz val="10"/>
        <rFont val="WenQuanYi Zen Hei"/>
        <family val="2"/>
      </rPr>
      <t xml:space="preserve">화 회수 시작</t>
    </r>
    <r>
      <rPr>
        <sz val="10"/>
        <rFont val="Arial"/>
        <family val="0"/>
        <charset val="1"/>
      </rPr>
      <t xml:space="preserve">) / Larissa</t>
    </r>
    <r>
      <rPr>
        <sz val="10"/>
        <rFont val="WenQuanYi Zen Hei"/>
        <family val="2"/>
      </rPr>
      <t xml:space="preserve">의 </t>
    </r>
    <r>
      <rPr>
        <sz val="10"/>
        <rFont val="Arial"/>
        <family val="0"/>
        <charset val="1"/>
      </rPr>
      <t xml:space="preserve">o senhor → você(1</t>
    </r>
    <r>
      <rPr>
        <sz val="10"/>
        <rFont val="WenQuanYi Zen Hei"/>
        <family val="2"/>
      </rPr>
      <t xml:space="preserve">화에서 전환</t>
    </r>
    <r>
      <rPr>
        <sz val="10"/>
        <rFont val="Arial"/>
        <family val="0"/>
        <charset val="1"/>
      </rPr>
      <t xml:space="preserve">) / 7</t>
    </r>
    <r>
      <rPr>
        <sz val="10"/>
        <rFont val="WenQuanYi Zen Hei"/>
        <family val="2"/>
      </rPr>
      <t xml:space="preserve">부 도청 논쟁이 국가적 스캔들로 확장 </t>
    </r>
    <r>
      <rPr>
        <sz val="10"/>
        <rFont val="Arial"/>
        <family val="0"/>
        <charset val="1"/>
      </rPr>
      <t xml:space="preserve">/ Zumbi</t>
    </r>
    <r>
      <rPr>
        <sz val="10"/>
        <rFont val="WenQuanYi Zen Hei"/>
        <family val="2"/>
      </rPr>
      <t xml:space="preserve">의 </t>
    </r>
    <r>
      <rPr>
        <sz val="10"/>
        <rFont val="Arial"/>
        <family val="0"/>
        <charset val="1"/>
      </rPr>
      <t xml:space="preserve">«Tem novidade»(8</t>
    </r>
    <r>
      <rPr>
        <sz val="10"/>
        <rFont val="WenQuanYi Zen Hei"/>
        <family val="2"/>
      </rPr>
      <t xml:space="preserve">화</t>
    </r>
    <r>
      <rPr>
        <sz val="10"/>
        <rFont val="Arial"/>
        <family val="0"/>
        <charset val="1"/>
      </rPr>
      <t xml:space="preserve">)</t>
    </r>
  </si>
  <si>
    <t xml:space="preserve">N3● E3● N6● N7● N8● P1● P2● P3● N1● S4●</t>
  </si>
  <si>
    <t xml:space="preserve">유작 메모 승계, 정보청법(Lei 9.883/1999)·의회 정보활동통제위원회(CCAI), 앱 노동 법안(PLP 12/2024, 확인), 탄핵(헌법 제85·86조, Lei 1.079/1950), 민방위(Lei 12.608/2012)·공공재난사태, 재정규칙(LC 200/2023)·예산(헌법 제165~166조)</t>
  </si>
  <si>
    <r>
      <rPr>
        <sz val="10"/>
        <rFont val="Arial"/>
        <family val="0"/>
        <charset val="1"/>
      </rPr>
      <t xml:space="preserve">C1~C2. </t>
    </r>
    <r>
      <rPr>
        <sz val="10"/>
        <rFont val="WenQuanYi Zen Hei"/>
        <family val="2"/>
      </rPr>
      <t xml:space="preserve">추도사</t>
    </r>
    <r>
      <rPr>
        <sz val="10"/>
        <rFont val="Arial"/>
        <family val="0"/>
        <charset val="1"/>
      </rPr>
      <t xml:space="preserve">, </t>
    </r>
    <r>
      <rPr>
        <sz val="10"/>
        <rFont val="WenQuanYi Zen Hei"/>
        <family val="2"/>
      </rPr>
      <t xml:space="preserve">인용</t>
    </r>
    <r>
      <rPr>
        <sz val="10"/>
        <rFont val="Arial"/>
        <family val="0"/>
        <charset val="1"/>
      </rPr>
      <t xml:space="preserve">(Dom Pedro</t>
    </r>
    <r>
      <rPr>
        <sz val="10"/>
        <rFont val="WenQuanYi Zen Hei"/>
        <family val="2"/>
      </rPr>
      <t xml:space="preserve">의 문장을 빌려 쓰는 대사</t>
    </r>
    <r>
      <rPr>
        <sz val="10"/>
        <rFont val="Arial"/>
        <family val="0"/>
        <charset val="1"/>
      </rPr>
      <t xml:space="preserve">), </t>
    </r>
    <r>
      <rPr>
        <sz val="10"/>
        <rFont val="WenQuanYi Zen Hei"/>
        <family val="2"/>
      </rPr>
      <t xml:space="preserve">국정 어휘</t>
    </r>
    <r>
      <rPr>
        <sz val="10"/>
        <rFont val="Arial"/>
        <family val="0"/>
        <charset val="1"/>
      </rPr>
      <t xml:space="preserve">. </t>
    </r>
    <r>
      <rPr>
        <sz val="10"/>
        <rFont val="WenQuanYi Zen Hei"/>
        <family val="2"/>
      </rPr>
      <t xml:space="preserve">발성</t>
    </r>
    <r>
      <rPr>
        <sz val="10"/>
        <rFont val="Arial"/>
        <family val="0"/>
        <charset val="1"/>
      </rPr>
      <t xml:space="preserve">: 1</t>
    </r>
    <r>
      <rPr>
        <sz val="10"/>
        <rFont val="WenQuanYi Zen Hei"/>
        <family val="2"/>
      </rPr>
      <t xml:space="preserve">화의 낮고 절제된 애도 톤에서 점차 회복</t>
    </r>
    <r>
      <rPr>
        <sz val="10"/>
        <rFont val="Arial"/>
        <family val="0"/>
        <charset val="1"/>
      </rPr>
      <t xml:space="preserve">.</t>
    </r>
  </si>
  <si>
    <r>
      <rPr>
        <sz val="10"/>
        <rFont val="Arial"/>
        <family val="0"/>
        <charset val="1"/>
      </rPr>
      <t xml:space="preserve">Larissa: grampo ilegal·spyware·saúde mental·bets </t>
    </r>
    <r>
      <rPr>
        <sz val="10"/>
        <rFont val="WenQuanYi Zen Hei"/>
        <family val="2"/>
      </rPr>
      <t xml:space="preserve">등</t>
    </r>
    <r>
      <rPr>
        <sz val="10"/>
        <rFont val="Arial"/>
        <family val="0"/>
        <charset val="1"/>
      </rPr>
      <t xml:space="preserve">. </t>
    </r>
    <r>
      <rPr>
        <sz val="10"/>
        <rFont val="WenQuanYi Zen Hei"/>
        <family val="2"/>
      </rPr>
      <t xml:space="preserve">카드</t>
    </r>
    <r>
      <rPr>
        <sz val="10"/>
        <rFont val="Arial"/>
        <family val="0"/>
        <charset val="1"/>
      </rPr>
      <t xml:space="preserve">: </t>
    </r>
    <r>
      <rPr>
        <sz val="10"/>
        <rFont val="WenQuanYi Zen Hei"/>
        <family val="2"/>
      </rPr>
      <t xml:space="preserve">정보청법</t>
    </r>
    <r>
      <rPr>
        <sz val="10"/>
        <rFont val="Arial"/>
        <family val="0"/>
        <charset val="1"/>
      </rPr>
      <t xml:space="preserve">, </t>
    </r>
    <r>
      <rPr>
        <sz val="10"/>
        <rFont val="WenQuanYi Zen Hei"/>
        <family val="2"/>
      </rPr>
      <t xml:space="preserve">감청법</t>
    </r>
    <r>
      <rPr>
        <sz val="10"/>
        <rFont val="Arial"/>
        <family val="0"/>
        <charset val="1"/>
      </rPr>
      <t xml:space="preserve">(Lei 9.296/1996), </t>
    </r>
    <r>
      <rPr>
        <sz val="10"/>
        <rFont val="WenQuanYi Zen Hei"/>
        <family val="2"/>
      </rPr>
      <t xml:space="preserve">온라인 도박 규제법</t>
    </r>
    <r>
      <rPr>
        <sz val="10"/>
        <rFont val="Arial"/>
        <family val="0"/>
        <charset val="1"/>
      </rPr>
      <t xml:space="preserve">(Lei 14.790/2023).</t>
    </r>
  </si>
  <si>
    <r>
      <rPr>
        <sz val="10"/>
        <rFont val="Arial"/>
        <family val="0"/>
        <charset val="1"/>
      </rPr>
      <t xml:space="preserve">13</t>
    </r>
    <r>
      <rPr>
        <sz val="10"/>
        <rFont val="WenQuanYi Zen Hei"/>
        <family val="2"/>
      </rPr>
      <t xml:space="preserve">부</t>
    </r>
    <r>
      <rPr>
        <sz val="10"/>
        <rFont val="Arial"/>
        <family val="0"/>
        <charset val="1"/>
      </rPr>
      <t xml:space="preserve">: 1</t>
    </r>
    <r>
      <rPr>
        <sz val="10"/>
        <rFont val="WenQuanYi Zen Hei"/>
        <family val="2"/>
      </rPr>
      <t xml:space="preserve">부의 식탁으로 돌아간다</t>
    </r>
    <r>
      <rPr>
        <sz val="10"/>
        <rFont val="Arial"/>
        <family val="0"/>
        <charset val="1"/>
      </rPr>
      <t xml:space="preserve">.</t>
    </r>
  </si>
  <si>
    <r>
      <rPr>
        <b val="true"/>
        <sz val="10"/>
        <color rgb="FFFFFFFF"/>
        <rFont val="Arial"/>
        <family val="0"/>
        <charset val="1"/>
      </rPr>
      <t xml:space="preserve">13</t>
    </r>
    <r>
      <rPr>
        <b val="true"/>
        <sz val="10"/>
        <color rgb="FFFFFFFF"/>
        <rFont val="WenQuanYi Zen Hei"/>
        <family val="2"/>
      </rPr>
      <t xml:space="preserve">부</t>
    </r>
  </si>
  <si>
    <r>
      <rPr>
        <b val="true"/>
        <sz val="10"/>
        <color rgb="FFFFFFFF"/>
        <rFont val="Arial"/>
        <family val="0"/>
        <charset val="1"/>
      </rPr>
      <t xml:space="preserve">De Volta ao Bixiga — </t>
    </r>
    <r>
      <rPr>
        <b val="true"/>
        <sz val="10"/>
        <color rgb="FFFFFFFF"/>
        <rFont val="WenQuanYi Zen Hei"/>
        <family val="2"/>
      </rPr>
      <t xml:space="preserve">귀환   </t>
    </r>
    <r>
      <rPr>
        <b val="true"/>
        <sz val="10"/>
        <color rgb="FFFFFFFF"/>
        <rFont val="Arial"/>
        <family val="0"/>
        <charset val="1"/>
      </rPr>
      <t xml:space="preserve">|   </t>
    </r>
    <r>
      <rPr>
        <b val="true"/>
        <sz val="10"/>
        <color rgb="FFFFFFFF"/>
        <rFont val="WenQuanYi Zen Hei"/>
        <family val="2"/>
      </rPr>
      <t xml:space="preserve">난이도 </t>
    </r>
    <r>
      <rPr>
        <b val="true"/>
        <sz val="10"/>
        <color rgb="FFFFFFFF"/>
        <rFont val="Arial"/>
        <family val="0"/>
        <charset val="1"/>
      </rPr>
      <t xml:space="preserve">B1~B2   |   </t>
    </r>
    <r>
      <rPr>
        <b val="true"/>
        <sz val="10"/>
        <color rgb="FFFFFFFF"/>
        <rFont val="WenQuanYi Zen Hei"/>
        <family val="2"/>
      </rPr>
      <t xml:space="preserve">임기 후반</t>
    </r>
    <r>
      <rPr>
        <b val="true"/>
        <sz val="10"/>
        <color rgb="FFFFFFFF"/>
        <rFont val="Arial"/>
        <family val="0"/>
        <charset val="1"/>
      </rPr>
      <t xml:space="preserve">. </t>
    </r>
    <r>
      <rPr>
        <b val="true"/>
        <sz val="10"/>
        <color rgb="FFFFFFFF"/>
        <rFont val="WenQuanYi Zen Hei"/>
        <family val="2"/>
      </rPr>
      <t xml:space="preserve">상파울루 </t>
    </r>
    <r>
      <rPr>
        <b val="true"/>
        <sz val="10"/>
        <color rgb="FFFFFFFF"/>
        <rFont val="Arial"/>
        <family val="0"/>
        <charset val="1"/>
      </rPr>
      <t xml:space="preserve">Bixiga </t>
    </r>
    <r>
      <rPr>
        <b val="true"/>
        <sz val="10"/>
        <color rgb="FFFFFFFF"/>
        <rFont val="WenQuanYi Zen Hei"/>
        <family val="2"/>
      </rPr>
      <t xml:space="preserve">사무소와 </t>
    </r>
    <r>
      <rPr>
        <b val="true"/>
        <sz val="10"/>
        <color rgb="FFFFFFFF"/>
        <rFont val="Arial"/>
        <family val="0"/>
        <charset val="1"/>
      </rPr>
      <t xml:space="preserve">Bar da Marta(</t>
    </r>
    <r>
      <rPr>
        <b val="true"/>
        <sz val="10"/>
        <color rgb="FFFFFFFF"/>
        <rFont val="WenQuanYi Zen Hei"/>
        <family val="2"/>
      </rPr>
      <t xml:space="preserve">장관들은 목요일 밤 브라질리아에서 돌아온다</t>
    </r>
    <r>
      <rPr>
        <b val="true"/>
        <sz val="10"/>
        <color rgb="FFFFFFFF"/>
        <rFont val="Arial"/>
        <family val="0"/>
        <charset val="1"/>
      </rPr>
      <t xml:space="preserve">). </t>
    </r>
    <r>
      <rPr>
        <b val="true"/>
        <sz val="10"/>
        <color rgb="FFFFFFFF"/>
        <rFont val="WenQuanYi Zen Hei"/>
        <family val="2"/>
      </rPr>
      <t xml:space="preserve">마지막에 다시 </t>
    </r>
    <r>
      <rPr>
        <b val="true"/>
        <sz val="10"/>
        <color rgb="FFFFFFFF"/>
        <rFont val="Arial"/>
        <family val="0"/>
        <charset val="1"/>
      </rPr>
      <t xml:space="preserve">'</t>
    </r>
    <r>
      <rPr>
        <b val="true"/>
        <sz val="10"/>
        <color rgb="FFFFFFFF"/>
        <rFont val="WenQuanYi Zen Hei"/>
        <family val="2"/>
      </rPr>
      <t xml:space="preserve">다섯 시</t>
    </r>
    <r>
      <rPr>
        <b val="true"/>
        <sz val="10"/>
        <color rgb="FFFFFFFF"/>
        <rFont val="Arial"/>
        <family val="0"/>
        <charset val="1"/>
      </rPr>
      <t xml:space="preserve">'.</t>
    </r>
  </si>
  <si>
    <t xml:space="preserve">원형 닫기와 성장의 확인. 낭독자가 1부 장면을 다시 읽으며 실력의 성장을 체감한다. Larissa가 질문받는 쪽으로 이동한다.</t>
  </si>
  <si>
    <t xml:space="preserve">장관들이 손님으로 돌아온 비시가에서 Dom Pedro의 우산이 Larissa에게 도착하고, 새 인턴이 던진 질문에 Larissa가 답한다.</t>
  </si>
  <si>
    <t xml:space="preserve">대통령과 장관들 → 다시 식탁 앞의 사람들. Larissa: 묻는 사람 → 설명하는 사람.</t>
  </si>
  <si>
    <t xml:space="preserve">애도 vs 계속 가는 것 / 이해충돌 규정으로 사무소를 놓아야 함</t>
  </si>
  <si>
    <t xml:space="preserve">발단(1~3화): 다섯 시, 우산(유언장), 빈 의자.</t>
  </si>
  <si>
    <t xml:space="preserve">전개(4~5화): 사무소의 재단 전환, 새 인턴 Lucas.</t>
  </si>
  <si>
    <t xml:space="preserve">미드포인트(6화): Larissa가 어려운 말을 쉬운 말로 설명한다.</t>
  </si>
  <si>
    <t xml:space="preserve">전개(7~8화): 임기 보고서(현안 결산), 시민들의 편지.</t>
  </si>
  <si>
    <t xml:space="preserve">위기(9화): 올드 가드와 빈 의자.</t>
  </si>
  <si>
    <t xml:space="preserve">절정·결말(10~12화): 빠진 카드(Freire가 처음 결론을 말함), 다시 다섯 시, «Senta aí, que eu trago alguma coisa.»</t>
  </si>
  <si>
    <r>
      <rPr>
        <sz val="10"/>
        <rFont val="Arial"/>
        <family val="0"/>
        <charset val="1"/>
      </rPr>
      <t xml:space="preserve">Larissa 12</t>
    </r>
    <r>
      <rPr>
        <sz val="10"/>
        <rFont val="WenQuanYi Zen Hei"/>
        <family val="2"/>
      </rPr>
      <t xml:space="preserve">화 전부</t>
    </r>
    <r>
      <rPr>
        <sz val="10"/>
        <rFont val="Arial"/>
        <family val="0"/>
        <charset val="1"/>
      </rPr>
      <t xml:space="preserve">, Marta 10</t>
    </r>
    <r>
      <rPr>
        <sz val="10"/>
        <rFont val="WenQuanYi Zen Hei"/>
        <family val="2"/>
      </rPr>
      <t xml:space="preserve">화</t>
    </r>
    <r>
      <rPr>
        <sz val="10"/>
        <rFont val="Arial"/>
        <family val="0"/>
        <charset val="1"/>
      </rPr>
      <t xml:space="preserve">. Dom Pedro</t>
    </r>
    <r>
      <rPr>
        <sz val="10"/>
        <rFont val="WenQuanYi Zen Hei"/>
        <family val="2"/>
      </rPr>
      <t xml:space="preserve">는 유언장</t>
    </r>
    <r>
      <rPr>
        <sz val="10"/>
        <rFont val="Arial"/>
        <family val="0"/>
        <charset val="1"/>
      </rPr>
      <t xml:space="preserve">·</t>
    </r>
    <r>
      <rPr>
        <sz val="10"/>
        <rFont val="WenQuanYi Zen Hei"/>
        <family val="2"/>
      </rPr>
      <t xml:space="preserve">회상 </t>
    </r>
    <r>
      <rPr>
        <sz val="10"/>
        <rFont val="Arial"/>
        <family val="0"/>
        <charset val="1"/>
      </rPr>
      <t xml:space="preserve">3</t>
    </r>
    <r>
      <rPr>
        <sz val="10"/>
        <rFont val="WenQuanYi Zen Hei"/>
        <family val="2"/>
      </rPr>
      <t xml:space="preserve">화</t>
    </r>
    <r>
      <rPr>
        <sz val="10"/>
        <rFont val="Arial"/>
        <family val="0"/>
        <charset val="1"/>
      </rPr>
      <t xml:space="preserve">. </t>
    </r>
    <r>
      <rPr>
        <sz val="10"/>
        <rFont val="WenQuanYi Zen Hei"/>
        <family val="2"/>
      </rPr>
      <t xml:space="preserve">신규 엑스트라</t>
    </r>
    <r>
      <rPr>
        <sz val="10"/>
        <rFont val="Arial"/>
        <family val="0"/>
        <charset val="1"/>
      </rPr>
      <t xml:space="preserve">: Lucas(</t>
    </r>
    <r>
      <rPr>
        <sz val="10"/>
        <rFont val="WenQuanYi Zen Hei"/>
        <family val="2"/>
      </rPr>
      <t xml:space="preserve">새 인턴</t>
    </r>
    <r>
      <rPr>
        <sz val="10"/>
        <rFont val="Arial"/>
        <family val="0"/>
        <charset val="1"/>
      </rPr>
      <t xml:space="preserve">), </t>
    </r>
    <r>
      <rPr>
        <sz val="10"/>
        <rFont val="WenQuanYi Zen Hei"/>
        <family val="2"/>
      </rPr>
      <t xml:space="preserve">공증인</t>
    </r>
    <r>
      <rPr>
        <sz val="10"/>
        <rFont val="Arial"/>
        <family val="0"/>
        <charset val="1"/>
      </rPr>
      <t xml:space="preserve">(tabeliã).</t>
    </r>
  </si>
  <si>
    <r>
      <rPr>
        <sz val="10"/>
        <rFont val="Arial"/>
        <family val="0"/>
        <charset val="1"/>
      </rPr>
      <t xml:space="preserve">(</t>
    </r>
    <r>
      <rPr>
        <sz val="10"/>
        <rFont val="WenQuanYi Zen Hei"/>
        <family val="2"/>
      </rPr>
      <t xml:space="preserve">회수 아크</t>
    </r>
    <r>
      <rPr>
        <sz val="10"/>
        <rFont val="Arial"/>
        <family val="0"/>
        <charset val="1"/>
      </rPr>
      <t xml:space="preserve">) 1</t>
    </r>
    <r>
      <rPr>
        <sz val="10"/>
        <rFont val="WenQuanYi Zen Hei"/>
        <family val="2"/>
      </rPr>
      <t xml:space="preserve">부 첫 대사</t>
    </r>
    <r>
      <rPr>
        <sz val="10"/>
        <rFont val="Arial"/>
        <family val="0"/>
        <charset val="1"/>
      </rPr>
      <t xml:space="preserve">·</t>
    </r>
    <r>
      <rPr>
        <sz val="10"/>
        <rFont val="WenQuanYi Zen Hei"/>
        <family val="2"/>
      </rPr>
      <t xml:space="preserve">우산</t>
    </r>
    <r>
      <rPr>
        <sz val="10"/>
        <rFont val="Arial"/>
        <family val="0"/>
        <charset val="1"/>
      </rPr>
      <t xml:space="preserve">·Freire </t>
    </r>
    <r>
      <rPr>
        <sz val="10"/>
        <rFont val="WenQuanYi Zen Hei"/>
        <family val="2"/>
      </rPr>
      <t xml:space="preserve">카드</t>
    </r>
    <r>
      <rPr>
        <sz val="10"/>
        <rFont val="Arial"/>
        <family val="0"/>
        <charset val="1"/>
      </rPr>
      <t xml:space="preserve">·Larissa</t>
    </r>
    <r>
      <rPr>
        <sz val="10"/>
        <rFont val="WenQuanYi Zen Hei"/>
        <family val="2"/>
      </rPr>
      <t xml:space="preserve">의 질문 — </t>
    </r>
    <r>
      <rPr>
        <sz val="10"/>
        <rFont val="Arial"/>
        <family val="0"/>
        <charset val="1"/>
      </rPr>
      <t xml:space="preserve">'</t>
    </r>
    <r>
      <rPr>
        <sz val="10"/>
        <rFont val="WenQuanYi Zen Hei"/>
        <family val="2"/>
      </rPr>
      <t xml:space="preserve">복선</t>
    </r>
    <r>
      <rPr>
        <sz val="10"/>
        <rFont val="Arial"/>
        <family val="0"/>
        <charset val="1"/>
      </rPr>
      <t xml:space="preserve">_</t>
    </r>
    <r>
      <rPr>
        <sz val="10"/>
        <rFont val="WenQuanYi Zen Hei"/>
        <family val="2"/>
      </rPr>
      <t xml:space="preserve">회수</t>
    </r>
    <r>
      <rPr>
        <sz val="10"/>
        <rFont val="Arial"/>
        <family val="0"/>
        <charset val="1"/>
      </rPr>
      <t xml:space="preserve">' </t>
    </r>
    <r>
      <rPr>
        <sz val="10"/>
        <rFont val="WenQuanYi Zen Hei"/>
        <family val="2"/>
      </rPr>
      <t xml:space="preserve">시트 참고</t>
    </r>
  </si>
  <si>
    <r>
      <rPr>
        <sz val="10"/>
        <rFont val="Arial"/>
        <family val="0"/>
        <charset val="1"/>
      </rPr>
      <t xml:space="preserve">S1● (7</t>
    </r>
    <r>
      <rPr>
        <sz val="10"/>
        <rFont val="WenQuanYi Zen Hei"/>
        <family val="2"/>
      </rPr>
      <t xml:space="preserve">화 결산에서 </t>
    </r>
    <r>
      <rPr>
        <sz val="10"/>
        <rFont val="Arial"/>
        <family val="0"/>
        <charset val="1"/>
      </rPr>
      <t xml:space="preserve">E3·S3·N5·N3 </t>
    </r>
    <r>
      <rPr>
        <sz val="10"/>
        <rFont val="WenQuanYi Zen Hei"/>
        <family val="2"/>
      </rPr>
      <t xml:space="preserve">등</t>
    </r>
    <r>
      <rPr>
        <sz val="10"/>
        <rFont val="Arial"/>
        <family val="0"/>
        <charset val="1"/>
      </rPr>
      <t xml:space="preserve">)</t>
    </r>
  </si>
  <si>
    <t xml:space="preserve">공직자 이해충돌법(Lei 12.813/2013), 변호사 겸직 금지(Lei 8.906/1994 제28조), 공정증서 유언·유언집행자·유언 등록 조회(RCTO), 재단 설립(민법 제62~69조)</t>
  </si>
  <si>
    <r>
      <rPr>
        <sz val="10"/>
        <rFont val="Arial"/>
        <family val="0"/>
        <charset val="1"/>
      </rPr>
      <t xml:space="preserve">B1~B2. 1</t>
    </r>
    <r>
      <rPr>
        <sz val="10"/>
        <rFont val="WenQuanYi Zen Hei"/>
        <family val="2"/>
      </rPr>
      <t xml:space="preserve">부와 같은 문장을 다시 읽어 비교</t>
    </r>
    <r>
      <rPr>
        <sz val="10"/>
        <rFont val="Arial"/>
        <family val="0"/>
        <charset val="1"/>
      </rPr>
      <t xml:space="preserve">. </t>
    </r>
    <r>
      <rPr>
        <sz val="10"/>
        <rFont val="WenQuanYi Zen Hei"/>
        <family val="2"/>
      </rPr>
      <t xml:space="preserve">발성</t>
    </r>
    <r>
      <rPr>
        <sz val="10"/>
        <rFont val="Arial"/>
        <family val="0"/>
        <charset val="1"/>
      </rPr>
      <t xml:space="preserve">: </t>
    </r>
    <r>
      <rPr>
        <sz val="10"/>
        <rFont val="WenQuanYi Zen Hei"/>
        <family val="2"/>
      </rPr>
      <t xml:space="preserve">따뜻하고 여유로운 톤</t>
    </r>
    <r>
      <rPr>
        <sz val="10"/>
        <rFont val="Arial"/>
        <family val="0"/>
        <charset val="1"/>
      </rPr>
      <t xml:space="preserve">. Larissa</t>
    </r>
    <r>
      <rPr>
        <sz val="10"/>
        <rFont val="WenQuanYi Zen Hei"/>
        <family val="2"/>
      </rPr>
      <t xml:space="preserve">의 설명은 쉬운 말</t>
    </r>
    <r>
      <rPr>
        <sz val="10"/>
        <rFont val="Arial"/>
        <family val="0"/>
        <charset val="1"/>
      </rPr>
      <t xml:space="preserve">.</t>
    </r>
  </si>
  <si>
    <r>
      <rPr>
        <sz val="10"/>
        <rFont val="Arial"/>
        <family val="0"/>
        <charset val="1"/>
      </rPr>
      <t xml:space="preserve">Larissa</t>
    </r>
    <r>
      <rPr>
        <sz val="10"/>
        <rFont val="WenQuanYi Zen Hei"/>
        <family val="2"/>
      </rPr>
      <t xml:space="preserve">가 새 인턴의 질문에 답한다</t>
    </r>
    <r>
      <rPr>
        <sz val="10"/>
        <rFont val="Arial"/>
        <family val="0"/>
        <charset val="1"/>
      </rPr>
      <t xml:space="preserve">. </t>
    </r>
    <r>
      <rPr>
        <sz val="10"/>
        <rFont val="WenQuanYi Zen Hei"/>
        <family val="2"/>
      </rPr>
      <t xml:space="preserve">카드</t>
    </r>
    <r>
      <rPr>
        <sz val="10"/>
        <rFont val="Arial"/>
        <family val="0"/>
        <charset val="1"/>
      </rPr>
      <t xml:space="preserve">: Freire</t>
    </r>
    <r>
      <rPr>
        <sz val="10"/>
        <rFont val="WenQuanYi Zen Hei"/>
        <family val="2"/>
      </rPr>
      <t xml:space="preserve">가 처음으로 결론을 직접 말한다</t>
    </r>
    <r>
      <rPr>
        <sz val="10"/>
        <rFont val="Arial"/>
        <family val="0"/>
        <charset val="1"/>
      </rPr>
      <t xml:space="preserve">.</t>
    </r>
  </si>
  <si>
    <t xml:space="preserve">끝 — 원.</t>
  </si>
  <si>
    <t xml:space="preserve">전체 화별 목차 (1~13부, 156화)</t>
  </si>
  <si>
    <t xml:space="preserve">현실 제도와 현안(ID는 '현안_배치' 시트)을 반영한 초안. 의석 수·결과는 가상 수치. 모든 화는 지문 없이 대화문으로만 진행한다.</t>
  </si>
  <si>
    <t xml:space="preserve">화</t>
  </si>
  <si>
    <t xml:space="preserve">핵심 사건</t>
  </si>
  <si>
    <t xml:space="preserve">주요 인물</t>
  </si>
  <si>
    <t xml:space="preserve">반영 현안
(ID)</t>
  </si>
  <si>
    <t xml:space="preserve">턴 수</t>
  </si>
  <si>
    <t xml:space="preserve">사건1 도입</t>
  </si>
  <si>
    <t xml:space="preserve">Mais uma carta</t>
  </si>
  <si>
    <t xml:space="preserve">또 한 통의 편지</t>
  </si>
  <si>
    <t xml:space="preserve">사무소 개소 1개월 후, 오후 다섯 시. 아직도 일하는 순서 하나 못 정한 채 매일 다투는 팀. Fátima가 두 번째로 찾아와 집주인의 새 임대료 인상 통지서를 보인다. Larissa는 여전히 Rafael에게 'o senhor'를 쓴다. Freire가 지나가며 «계약서에 적힌 지수를 읽어 보라»는 힌트만 던지고, 계약서가 없어 다음 날로 미뤄진다.</t>
  </si>
  <si>
    <t xml:space="preserve">생활 법률 구어체, 반복되는 말다툼 (B1)</t>
  </si>
  <si>
    <t xml:space="preserve">Marta, Rafael, Camila, Bruno, Juliana, Larissa, Dom Pedro, Fátima, Freire</t>
  </si>
  <si>
    <t xml:space="preserve">E1</t>
  </si>
  <si>
    <t xml:space="preserve">사건1 해결</t>
  </si>
  <si>
    <t xml:space="preserve">O reajuste que não sobe</t>
  </si>
  <si>
    <t xml:space="preserve">오르지 않는 인상률</t>
  </si>
  <si>
    <r>
      <rPr>
        <sz val="10"/>
        <rFont val="Arial"/>
        <family val="0"/>
        <charset val="1"/>
      </rPr>
      <t xml:space="preserve">[</t>
    </r>
    <r>
      <rPr>
        <sz val="10"/>
        <rFont val="WenQuanYi Zen Hei"/>
        <family val="2"/>
      </rPr>
      <t xml:space="preserve">사건</t>
    </r>
    <r>
      <rPr>
        <sz val="10"/>
        <rFont val="Arial"/>
        <family val="0"/>
        <charset val="1"/>
      </rPr>
      <t xml:space="preserve">1 </t>
    </r>
    <r>
      <rPr>
        <sz val="10"/>
        <rFont val="WenQuanYi Zen Hei"/>
        <family val="2"/>
      </rPr>
      <t xml:space="preserve">해결</t>
    </r>
    <r>
      <rPr>
        <sz val="10"/>
        <rFont val="Arial"/>
        <family val="0"/>
        <charset val="1"/>
      </rPr>
      <t xml:space="preserve">] Fátima</t>
    </r>
    <r>
      <rPr>
        <sz val="10"/>
        <rFont val="WenQuanYi Zen Hei"/>
        <family val="2"/>
      </rPr>
      <t xml:space="preserve">와 </t>
    </r>
    <r>
      <rPr>
        <sz val="10"/>
        <rFont val="Arial"/>
        <family val="0"/>
        <charset val="1"/>
      </rPr>
      <t xml:space="preserve">Larissa</t>
    </r>
    <r>
      <rPr>
        <sz val="10"/>
        <rFont val="WenQuanYi Zen Hei"/>
        <family val="2"/>
      </rPr>
      <t xml:space="preserve">가 계약서를 가져온다</t>
    </r>
    <r>
      <rPr>
        <sz val="10"/>
        <rFont val="Arial"/>
        <family val="0"/>
        <charset val="1"/>
      </rPr>
      <t xml:space="preserve">. Freire</t>
    </r>
    <r>
      <rPr>
        <sz val="10"/>
        <rFont val="WenQuanYi Zen Hei"/>
        <family val="2"/>
      </rPr>
      <t xml:space="preserve">의 카드 </t>
    </r>
    <r>
      <rPr>
        <sz val="10"/>
        <rFont val="Arial"/>
        <family val="0"/>
        <charset val="1"/>
      </rPr>
      <t xml:space="preserve">#1(</t>
    </r>
    <r>
      <rPr>
        <sz val="10"/>
        <rFont val="WenQuanYi Zen Hei"/>
        <family val="2"/>
      </rPr>
      <t xml:space="preserve">임대차법</t>
    </r>
    <r>
      <rPr>
        <sz val="10"/>
        <rFont val="Arial"/>
        <family val="0"/>
        <charset val="1"/>
      </rPr>
      <t xml:space="preserve">·</t>
    </r>
    <r>
      <rPr>
        <sz val="10"/>
        <rFont val="WenQuanYi Zen Hei"/>
        <family val="2"/>
      </rPr>
      <t xml:space="preserve">연 </t>
    </r>
    <r>
      <rPr>
        <sz val="10"/>
        <rFont val="Arial"/>
        <family val="0"/>
        <charset val="1"/>
      </rPr>
      <t xml:space="preserve">1</t>
    </r>
    <r>
      <rPr>
        <sz val="10"/>
        <rFont val="WenQuanYi Zen Hei"/>
        <family val="2"/>
      </rPr>
      <t xml:space="preserve">회 조정 규정</t>
    </r>
    <r>
      <rPr>
        <sz val="10"/>
        <rFont val="Arial"/>
        <family val="0"/>
        <charset val="1"/>
      </rPr>
      <t xml:space="preserve">)</t>
    </r>
    <r>
      <rPr>
        <sz val="10"/>
        <rFont val="WenQuanYi Zen Hei"/>
        <family val="2"/>
      </rPr>
      <t xml:space="preserve">로 계약서의 지수는 </t>
    </r>
    <r>
      <rPr>
        <sz val="10"/>
        <rFont val="Arial"/>
        <family val="0"/>
        <charset val="1"/>
      </rPr>
      <t xml:space="preserve">IPCA</t>
    </r>
    <r>
      <rPr>
        <sz val="10"/>
        <rFont val="WenQuanYi Zen Hei"/>
        <family val="2"/>
      </rPr>
      <t xml:space="preserve">인데 집주인이 </t>
    </r>
    <r>
      <rPr>
        <sz val="10"/>
        <rFont val="Arial"/>
        <family val="0"/>
        <charset val="1"/>
      </rPr>
      <t xml:space="preserve">IGP-M </t>
    </r>
    <r>
      <rPr>
        <sz val="10"/>
        <rFont val="WenQuanYi Zen Hei"/>
        <family val="2"/>
      </rPr>
      <t xml:space="preserve">급등분을 들이댔다는 것을 확인하고</t>
    </r>
    <r>
      <rPr>
        <sz val="10"/>
        <rFont val="Arial"/>
        <family val="0"/>
        <charset val="1"/>
      </rPr>
      <t xml:space="preserve">, </t>
    </r>
    <r>
      <rPr>
        <sz val="10"/>
        <rFont val="WenQuanYi Zen Hei"/>
        <family val="2"/>
      </rPr>
      <t xml:space="preserve">기한 안에 반박 통지를 쓴다</t>
    </r>
    <r>
      <rPr>
        <sz val="10"/>
        <rFont val="Arial"/>
        <family val="0"/>
        <charset val="1"/>
      </rPr>
      <t xml:space="preserve">. </t>
    </r>
    <r>
      <rPr>
        <sz val="10"/>
        <rFont val="WenQuanYi Zen Hei"/>
        <family val="2"/>
      </rPr>
      <t xml:space="preserve">사무소의 첫 번째 규칙</t>
    </r>
    <r>
      <rPr>
        <sz val="10"/>
        <rFont val="Arial"/>
        <family val="0"/>
        <charset val="1"/>
      </rPr>
      <t xml:space="preserve">(</t>
    </r>
    <r>
      <rPr>
        <sz val="10"/>
        <rFont val="WenQuanYi Zen Hei"/>
        <family val="2"/>
      </rPr>
      <t xml:space="preserve">가난한 이웃에겐 돈을 받지 않는다</t>
    </r>
    <r>
      <rPr>
        <sz val="10"/>
        <rFont val="Arial"/>
        <family val="0"/>
        <charset val="1"/>
      </rPr>
      <t xml:space="preserve">)</t>
    </r>
    <r>
      <rPr>
        <sz val="10"/>
        <rFont val="WenQuanYi Zen Hei"/>
        <family val="2"/>
      </rPr>
      <t xml:space="preserve">이 확인된다</t>
    </r>
    <r>
      <rPr>
        <sz val="10"/>
        <rFont val="Arial"/>
        <family val="0"/>
        <charset val="1"/>
      </rPr>
      <t xml:space="preserve">.</t>
    </r>
  </si>
  <si>
    <t xml:space="preserve">임대차법(Lei 8.245/1991), 연 1회 조정(Lei 10.192/2001), IPCA vs IGP-M, 기한·통지</t>
  </si>
  <si>
    <t xml:space="preserve">Rafael, Bruno, Juliana, Fátima, Freire, Larissa, Marta</t>
  </si>
  <si>
    <t xml:space="preserve">사건2 도입</t>
  </si>
  <si>
    <t xml:space="preserve">Aviso das oito</t>
  </si>
  <si>
    <t xml:space="preserve">여덟 시의 통지</t>
  </si>
  <si>
    <r>
      <rPr>
        <sz val="10"/>
        <rFont val="Arial"/>
        <family val="0"/>
        <charset val="1"/>
      </rPr>
      <t xml:space="preserve">[</t>
    </r>
    <r>
      <rPr>
        <sz val="10"/>
        <rFont val="WenQuanYi Zen Hei"/>
        <family val="2"/>
      </rPr>
      <t xml:space="preserve">사건</t>
    </r>
    <r>
      <rPr>
        <sz val="10"/>
        <rFont val="Arial"/>
        <family val="0"/>
        <charset val="1"/>
      </rPr>
      <t xml:space="preserve">2 </t>
    </r>
    <r>
      <rPr>
        <sz val="10"/>
        <rFont val="WenQuanYi Zen Hei"/>
        <family val="2"/>
      </rPr>
      <t xml:space="preserve">도입</t>
    </r>
    <r>
      <rPr>
        <sz val="10"/>
        <rFont val="Arial"/>
        <family val="0"/>
        <charset val="1"/>
      </rPr>
      <t xml:space="preserve">] </t>
    </r>
    <r>
      <rPr>
        <sz val="10"/>
        <rFont val="WenQuanYi Zen Hei"/>
        <family val="2"/>
      </rPr>
      <t xml:space="preserve">밤 여덟 시</t>
    </r>
    <r>
      <rPr>
        <sz val="10"/>
        <rFont val="Arial"/>
        <family val="0"/>
        <charset val="1"/>
      </rPr>
      <t xml:space="preserve">, </t>
    </r>
    <r>
      <rPr>
        <sz val="10"/>
        <rFont val="WenQuanYi Zen Hei"/>
        <family val="2"/>
      </rPr>
      <t xml:space="preserve">다음 날 아침 집행관</t>
    </r>
    <r>
      <rPr>
        <sz val="10"/>
        <rFont val="Arial"/>
        <family val="0"/>
        <charset val="1"/>
      </rPr>
      <t xml:space="preserve">(oficial de justiça)</t>
    </r>
    <r>
      <rPr>
        <sz val="10"/>
        <rFont val="WenQuanYi Zen Hei"/>
        <family val="2"/>
      </rPr>
      <t xml:space="preserve">이 퇴거를 집행하러 온다는 급보</t>
    </r>
    <r>
      <rPr>
        <sz val="10"/>
        <rFont val="Arial"/>
        <family val="0"/>
        <charset val="1"/>
      </rPr>
      <t xml:space="preserve">. Zumbi</t>
    </r>
    <r>
      <rPr>
        <sz val="10"/>
        <rFont val="WenQuanYi Zen Hei"/>
        <family val="2"/>
      </rPr>
      <t xml:space="preserve">가 주민을 조직하고 </t>
    </r>
    <r>
      <rPr>
        <sz val="10"/>
        <rFont val="Arial"/>
        <family val="0"/>
        <charset val="1"/>
      </rPr>
      <t xml:space="preserve">Edson</t>
    </r>
    <r>
      <rPr>
        <sz val="10"/>
        <rFont val="WenQuanYi Zen Hei"/>
        <family val="2"/>
      </rPr>
      <t xml:space="preserve">이 이웃들을 모은다</t>
    </r>
    <r>
      <rPr>
        <sz val="10"/>
        <rFont val="Arial"/>
        <family val="0"/>
        <charset val="1"/>
      </rPr>
      <t xml:space="preserve">. </t>
    </r>
    <r>
      <rPr>
        <sz val="10"/>
        <rFont val="WenQuanYi Zen Hei"/>
        <family val="2"/>
      </rPr>
      <t xml:space="preserve">네 사람이 각자 서류</t>
    </r>
    <r>
      <rPr>
        <sz val="10"/>
        <rFont val="Arial"/>
        <family val="0"/>
        <charset val="1"/>
      </rPr>
      <t xml:space="preserve">·</t>
    </r>
    <r>
      <rPr>
        <sz val="10"/>
        <rFont val="WenQuanYi Zen Hei"/>
        <family val="2"/>
      </rPr>
      <t xml:space="preserve">건강</t>
    </r>
    <r>
      <rPr>
        <sz val="10"/>
        <rFont val="Arial"/>
        <family val="0"/>
        <charset val="1"/>
      </rPr>
      <t xml:space="preserve">·</t>
    </r>
    <r>
      <rPr>
        <sz val="10"/>
        <rFont val="WenQuanYi Zen Hei"/>
        <family val="2"/>
      </rPr>
      <t xml:space="preserve">숫자</t>
    </r>
    <r>
      <rPr>
        <sz val="10"/>
        <rFont val="Arial"/>
        <family val="0"/>
        <charset val="1"/>
      </rPr>
      <t xml:space="preserve">·</t>
    </r>
    <r>
      <rPr>
        <sz val="10"/>
        <rFont val="WenQuanYi Zen Hei"/>
        <family val="2"/>
      </rPr>
      <t xml:space="preserve">동선을 맡아 밤새 준비하지만 승산은 불투명하다</t>
    </r>
    <r>
      <rPr>
        <sz val="10"/>
        <rFont val="Arial"/>
        <family val="0"/>
        <charset val="1"/>
      </rPr>
      <t xml:space="preserve">.</t>
    </r>
  </si>
  <si>
    <t xml:space="preserve">퇴거 집행 명령(mandado de despejo), 긴급 동원, 이웃 조직</t>
  </si>
  <si>
    <t xml:space="preserve">Rafael, Camila, Bruno, Juliana, Zumbi, Edson, Larissa, Marta</t>
  </si>
  <si>
    <t xml:space="preserve">S1</t>
  </si>
  <si>
    <t xml:space="preserve">사건2 해결</t>
  </si>
  <si>
    <t xml:space="preserve">O caminhão que não chegou</t>
  </si>
  <si>
    <t xml:space="preserve">오지 않은 이삿짐 트럭</t>
  </si>
  <si>
    <r>
      <rPr>
        <sz val="10"/>
        <rFont val="Arial"/>
        <family val="0"/>
        <charset val="1"/>
      </rPr>
      <t xml:space="preserve">[</t>
    </r>
    <r>
      <rPr>
        <sz val="10"/>
        <rFont val="WenQuanYi Zen Hei"/>
        <family val="2"/>
      </rPr>
      <t xml:space="preserve">사건</t>
    </r>
    <r>
      <rPr>
        <sz val="10"/>
        <rFont val="Arial"/>
        <family val="0"/>
        <charset val="1"/>
      </rPr>
      <t xml:space="preserve">2 </t>
    </r>
    <r>
      <rPr>
        <sz val="10"/>
        <rFont val="WenQuanYi Zen Hei"/>
        <family val="2"/>
      </rPr>
      <t xml:space="preserve">해결</t>
    </r>
    <r>
      <rPr>
        <sz val="10"/>
        <rFont val="Arial"/>
        <family val="0"/>
        <charset val="1"/>
      </rPr>
      <t xml:space="preserve">] </t>
    </r>
    <r>
      <rPr>
        <sz val="10"/>
        <rFont val="WenQuanYi Zen Hei"/>
        <family val="2"/>
      </rPr>
      <t xml:space="preserve">집행 당일 아침</t>
    </r>
    <r>
      <rPr>
        <sz val="10"/>
        <rFont val="Arial"/>
        <family val="0"/>
        <charset val="1"/>
      </rPr>
      <t xml:space="preserve">. Rafael</t>
    </r>
    <r>
      <rPr>
        <sz val="10"/>
        <rFont val="WenQuanYi Zen Hei"/>
        <family val="2"/>
      </rPr>
      <t xml:space="preserve">의 긴급 가처분</t>
    </r>
    <r>
      <rPr>
        <sz val="10"/>
        <rFont val="Arial"/>
        <family val="0"/>
        <charset val="1"/>
      </rPr>
      <t xml:space="preserve">(tutela de urgência) </t>
    </r>
    <r>
      <rPr>
        <sz val="10"/>
        <rFont val="WenQuanYi Zen Hei"/>
        <family val="2"/>
      </rPr>
      <t xml:space="preserve">신청</t>
    </r>
    <r>
      <rPr>
        <sz val="10"/>
        <rFont val="Arial"/>
        <family val="0"/>
        <charset val="1"/>
      </rPr>
      <t xml:space="preserve">, Camila</t>
    </r>
    <r>
      <rPr>
        <sz val="10"/>
        <rFont val="WenQuanYi Zen Hei"/>
        <family val="2"/>
      </rPr>
      <t xml:space="preserve">의 취약계층</t>
    </r>
    <r>
      <rPr>
        <sz val="10"/>
        <rFont val="Arial"/>
        <family val="0"/>
        <charset val="1"/>
      </rPr>
      <t xml:space="preserve">(</t>
    </r>
    <r>
      <rPr>
        <sz val="10"/>
        <rFont val="WenQuanYi Zen Hei"/>
        <family val="2"/>
      </rPr>
      <t xml:space="preserve">노인</t>
    </r>
    <r>
      <rPr>
        <sz val="10"/>
        <rFont val="Arial"/>
        <family val="0"/>
        <charset val="1"/>
      </rPr>
      <t xml:space="preserve">·</t>
    </r>
    <r>
      <rPr>
        <sz val="10"/>
        <rFont val="WenQuanYi Zen Hei"/>
        <family val="2"/>
      </rPr>
      <t xml:space="preserve">아동</t>
    </r>
    <r>
      <rPr>
        <sz val="10"/>
        <rFont val="Arial"/>
        <family val="0"/>
        <charset val="1"/>
      </rPr>
      <t xml:space="preserve">) </t>
    </r>
    <r>
      <rPr>
        <sz val="10"/>
        <rFont val="WenQuanYi Zen Hei"/>
        <family val="2"/>
      </rPr>
      <t xml:space="preserve">진단서</t>
    </r>
    <r>
      <rPr>
        <sz val="10"/>
        <rFont val="Arial"/>
        <family val="0"/>
        <charset val="1"/>
      </rPr>
      <t xml:space="preserve">, Bruno</t>
    </r>
    <r>
      <rPr>
        <sz val="10"/>
        <rFont val="WenQuanYi Zen Hei"/>
        <family val="2"/>
      </rPr>
      <t xml:space="preserve">의 금액 계산</t>
    </r>
    <r>
      <rPr>
        <sz val="10"/>
        <rFont val="Arial"/>
        <family val="0"/>
        <charset val="1"/>
      </rPr>
      <t xml:space="preserve">, Juliana</t>
    </r>
    <r>
      <rPr>
        <sz val="10"/>
        <rFont val="WenQuanYi Zen Hei"/>
        <family val="2"/>
      </rPr>
      <t xml:space="preserve">의 동선 배치가 맞물려 집행이 연기되고 사건이 </t>
    </r>
    <r>
      <rPr>
        <sz val="10"/>
        <rFont val="Arial"/>
        <family val="0"/>
        <charset val="1"/>
      </rPr>
      <t xml:space="preserve">TJSP </t>
    </r>
    <r>
      <rPr>
        <sz val="10"/>
        <rFont val="WenQuanYi Zen Hei"/>
        <family val="2"/>
      </rPr>
      <t xml:space="preserve">토지분쟁 조정위원회로 넘어간다</t>
    </r>
    <r>
      <rPr>
        <sz val="10"/>
        <rFont val="Arial"/>
        <family val="0"/>
        <charset val="1"/>
      </rPr>
      <t xml:space="preserve">. Zumbi</t>
    </r>
    <r>
      <rPr>
        <sz val="10"/>
        <rFont val="WenQuanYi Zen Hei"/>
        <family val="2"/>
      </rPr>
      <t xml:space="preserve">의 </t>
    </r>
    <r>
      <rPr>
        <sz val="10"/>
        <rFont val="Arial"/>
        <family val="0"/>
        <charset val="1"/>
      </rPr>
      <t xml:space="preserve">«Sem novidade no quilombo» </t>
    </r>
    <r>
      <rPr>
        <sz val="10"/>
        <rFont val="WenQuanYi Zen Hei"/>
        <family val="2"/>
      </rPr>
      <t xml:space="preserve">보고로 마무리된다</t>
    </r>
    <r>
      <rPr>
        <sz val="10"/>
        <rFont val="Arial"/>
        <family val="0"/>
        <charset val="1"/>
      </rPr>
      <t xml:space="preserve">.</t>
    </r>
  </si>
  <si>
    <r>
      <rPr>
        <sz val="10"/>
        <rFont val="Noto Sans CJK SC"/>
        <family val="2"/>
        <charset val="1"/>
      </rPr>
      <t xml:space="preserve">tutela de urgência(CPC </t>
    </r>
    <r>
      <rPr>
        <sz val="10"/>
        <rFont val="WenQuanYi Zen Hei"/>
        <family val="2"/>
      </rPr>
      <t xml:space="preserve">제</t>
    </r>
    <r>
      <rPr>
        <sz val="10"/>
        <rFont val="Noto Sans CJK SC"/>
        <family val="2"/>
        <charset val="1"/>
      </rPr>
      <t xml:space="preserve">300</t>
    </r>
    <r>
      <rPr>
        <sz val="10"/>
        <rFont val="WenQuanYi Zen Hei"/>
        <family val="2"/>
      </rPr>
      <t xml:space="preserve">조</t>
    </r>
    <r>
      <rPr>
        <sz val="10"/>
        <rFont val="Noto Sans CJK SC"/>
        <family val="2"/>
        <charset val="1"/>
      </rPr>
      <t xml:space="preserve">), </t>
    </r>
    <r>
      <rPr>
        <sz val="10"/>
        <rFont val="WenQuanYi Zen Hei"/>
        <family val="2"/>
      </rPr>
      <t xml:space="preserve">취약계층 퇴거 조정</t>
    </r>
    <r>
      <rPr>
        <sz val="10"/>
        <rFont val="Noto Sans CJK SC"/>
        <family val="2"/>
        <charset val="1"/>
      </rPr>
      <t xml:space="preserve">(STF ADPF 828 </t>
    </r>
    <r>
      <rPr>
        <sz val="10"/>
        <rFont val="WenQuanYi Zen Hei"/>
        <family val="2"/>
      </rPr>
      <t xml:space="preserve">이후 조정위원회</t>
    </r>
    <r>
      <rPr>
        <sz val="10"/>
        <rFont val="Noto Sans CJK SC"/>
        <family val="2"/>
        <charset val="1"/>
      </rPr>
      <t xml:space="preserve">), </t>
    </r>
    <r>
      <rPr>
        <sz val="10"/>
        <rFont val="WenQuanYi Zen Hei"/>
        <family val="2"/>
      </rPr>
      <t xml:space="preserve">집행관 대응</t>
    </r>
  </si>
  <si>
    <t xml:space="preserve">사건3 도입</t>
  </si>
  <si>
    <t xml:space="preserve">O estagiário da fábrica</t>
  </si>
  <si>
    <t xml:space="preserve">공장의 인턴</t>
  </si>
  <si>
    <r>
      <rPr>
        <sz val="10"/>
        <rFont val="Arial"/>
        <family val="0"/>
        <charset val="1"/>
      </rPr>
      <t xml:space="preserve">[</t>
    </r>
    <r>
      <rPr>
        <sz val="10"/>
        <rFont val="WenQuanYi Zen Hei"/>
        <family val="2"/>
      </rPr>
      <t xml:space="preserve">사건</t>
    </r>
    <r>
      <rPr>
        <sz val="10"/>
        <rFont val="Arial"/>
        <family val="0"/>
        <charset val="1"/>
      </rPr>
      <t xml:space="preserve">3 </t>
    </r>
    <r>
      <rPr>
        <sz val="10"/>
        <rFont val="WenQuanYi Zen Hei"/>
        <family val="2"/>
      </rPr>
      <t xml:space="preserve">도입</t>
    </r>
    <r>
      <rPr>
        <sz val="10"/>
        <rFont val="Arial"/>
        <family val="0"/>
        <charset val="1"/>
      </rPr>
      <t xml:space="preserve">] </t>
    </r>
    <r>
      <rPr>
        <sz val="10"/>
        <rFont val="WenQuanYi Zen Hei"/>
        <family val="2"/>
      </rPr>
      <t xml:space="preserve">인턴</t>
    </r>
    <r>
      <rPr>
        <sz val="10"/>
        <rFont val="Arial"/>
        <family val="0"/>
        <charset val="1"/>
      </rPr>
      <t xml:space="preserve">(estagiário) </t>
    </r>
    <r>
      <rPr>
        <sz val="10"/>
        <rFont val="WenQuanYi Zen Hei"/>
        <family val="2"/>
      </rPr>
      <t xml:space="preserve">계약으로 풀타임 생산라인에 투입되고 임금까지 밀린 청년 </t>
    </r>
    <r>
      <rPr>
        <sz val="10"/>
        <rFont val="Arial"/>
        <family val="0"/>
        <charset val="1"/>
      </rPr>
      <t xml:space="preserve">Álvaro(</t>
    </r>
    <r>
      <rPr>
        <sz val="10"/>
        <rFont val="WenQuanYi Zen Hei"/>
        <family val="2"/>
      </rPr>
      <t xml:space="preserve">가상</t>
    </r>
    <r>
      <rPr>
        <sz val="10"/>
        <rFont val="Arial"/>
        <family val="0"/>
        <charset val="1"/>
      </rPr>
      <t xml:space="preserve">)</t>
    </r>
    <r>
      <rPr>
        <sz val="10"/>
        <rFont val="WenQuanYi Zen Hei"/>
        <family val="2"/>
      </rPr>
      <t xml:space="preserve">가 찾아온다</t>
    </r>
    <r>
      <rPr>
        <sz val="10"/>
        <rFont val="Arial"/>
        <family val="0"/>
        <charset val="1"/>
      </rPr>
      <t xml:space="preserve">. Juliana</t>
    </r>
    <r>
      <rPr>
        <sz val="10"/>
        <rFont val="WenQuanYi Zen Hei"/>
        <family val="2"/>
      </rPr>
      <t xml:space="preserve">가 컨설팅 용어로 상황을 분석하려 하고 </t>
    </r>
    <r>
      <rPr>
        <sz val="10"/>
        <rFont val="Arial"/>
        <family val="0"/>
        <charset val="1"/>
      </rPr>
      <t xml:space="preserve">Larissa</t>
    </r>
    <r>
      <rPr>
        <sz val="10"/>
        <rFont val="WenQuanYi Zen Hei"/>
        <family val="2"/>
      </rPr>
      <t xml:space="preserve">가 통역하듯 애쓰지만 </t>
    </r>
    <r>
      <rPr>
        <sz val="10"/>
        <rFont val="Arial"/>
        <family val="0"/>
        <charset val="1"/>
      </rPr>
      <t xml:space="preserve">Álvaro</t>
    </r>
    <r>
      <rPr>
        <sz val="10"/>
        <rFont val="WenQuanYi Zen Hei"/>
        <family val="2"/>
      </rPr>
      <t xml:space="preserve">는 점점 지쳐 간다</t>
    </r>
    <r>
      <rPr>
        <sz val="10"/>
        <rFont val="Arial"/>
        <family val="0"/>
        <charset val="1"/>
      </rPr>
      <t xml:space="preserve">.</t>
    </r>
  </si>
  <si>
    <t xml:space="preserve">인턴법(Lei 11.788/2008) 위반, 무등록 고용(sem carteira assinada), 초과근무, 경영 용어의 벽</t>
  </si>
  <si>
    <r>
      <rPr>
        <sz val="10"/>
        <rFont val="Arial"/>
        <family val="0"/>
        <charset val="1"/>
      </rPr>
      <t xml:space="preserve">Juliana, Larissa, Bruno, Marta, Álvaro(</t>
    </r>
    <r>
      <rPr>
        <sz val="10"/>
        <rFont val="WenQuanYi Zen Hei"/>
        <family val="2"/>
      </rPr>
      <t xml:space="preserve">가상</t>
    </r>
    <r>
      <rPr>
        <sz val="10"/>
        <rFont val="Arial"/>
        <family val="0"/>
        <charset val="1"/>
      </rPr>
      <t xml:space="preserve">)</t>
    </r>
  </si>
  <si>
    <t xml:space="preserve">사건3 해결(폭발)</t>
  </si>
  <si>
    <t xml:space="preserve">Chega!</t>
  </si>
  <si>
    <t xml:space="preserve">그만!</t>
  </si>
  <si>
    <r>
      <rPr>
        <sz val="10"/>
        <rFont val="Arial"/>
        <family val="0"/>
        <charset val="1"/>
      </rPr>
      <t xml:space="preserve">[</t>
    </r>
    <r>
      <rPr>
        <sz val="10"/>
        <rFont val="WenQuanYi Zen Hei"/>
        <family val="2"/>
      </rPr>
      <t xml:space="preserve">사건</t>
    </r>
    <r>
      <rPr>
        <sz val="10"/>
        <rFont val="Arial"/>
        <family val="0"/>
        <charset val="1"/>
      </rPr>
      <t xml:space="preserve">3 </t>
    </r>
    <r>
      <rPr>
        <sz val="10"/>
        <rFont val="WenQuanYi Zen Hei"/>
        <family val="2"/>
      </rPr>
      <t xml:space="preserve">해결</t>
    </r>
    <r>
      <rPr>
        <sz val="10"/>
        <rFont val="Arial"/>
        <family val="0"/>
        <charset val="1"/>
      </rPr>
      <t xml:space="preserve">] </t>
    </r>
    <r>
      <rPr>
        <sz val="10"/>
        <rFont val="WenQuanYi Zen Hei"/>
        <family val="2"/>
      </rPr>
      <t xml:space="preserve">협상 자리에서 </t>
    </r>
    <r>
      <rPr>
        <sz val="10"/>
        <rFont val="Arial"/>
        <family val="0"/>
        <charset val="1"/>
      </rPr>
      <t xml:space="preserve">Juliana</t>
    </r>
    <r>
      <rPr>
        <sz val="10"/>
        <rFont val="WenQuanYi Zen Hei"/>
        <family val="2"/>
      </rPr>
      <t xml:space="preserve">의 용어가 한 시간째 이어지자 </t>
    </r>
    <r>
      <rPr>
        <sz val="10"/>
        <rFont val="Arial"/>
        <family val="0"/>
        <charset val="1"/>
      </rPr>
      <t xml:space="preserve">Larissa</t>
    </r>
    <r>
      <rPr>
        <sz val="10"/>
        <rFont val="WenQuanYi Zen Hei"/>
        <family val="2"/>
      </rPr>
      <t xml:space="preserve">가 폭발한다</t>
    </r>
    <r>
      <rPr>
        <sz val="10"/>
        <rFont val="Arial"/>
        <family val="0"/>
        <charset val="1"/>
      </rPr>
      <t xml:space="preserve">(1</t>
    </r>
    <r>
      <rPr>
        <sz val="10"/>
        <rFont val="WenQuanYi Zen Hei"/>
        <family val="2"/>
      </rPr>
      <t xml:space="preserve">차 폭발</t>
    </r>
    <r>
      <rPr>
        <sz val="10"/>
        <rFont val="Arial"/>
        <family val="0"/>
        <charset val="1"/>
      </rPr>
      <t xml:space="preserve">). Camila·Zumbi·Marta·Freire</t>
    </r>
    <r>
      <rPr>
        <sz val="10"/>
        <rFont val="WenQuanYi Zen Hei"/>
        <family val="2"/>
      </rPr>
      <t xml:space="preserve">의 고정 반응</t>
    </r>
    <r>
      <rPr>
        <sz val="10"/>
        <rFont val="Arial"/>
        <family val="0"/>
        <charset val="1"/>
      </rPr>
      <t xml:space="preserve">, Dom Pedro</t>
    </r>
    <r>
      <rPr>
        <sz val="10"/>
        <rFont val="WenQuanYi Zen Hei"/>
        <family val="2"/>
      </rPr>
      <t xml:space="preserve">의 </t>
    </r>
    <r>
      <rPr>
        <sz val="10"/>
        <rFont val="Arial"/>
        <family val="0"/>
        <charset val="1"/>
      </rPr>
      <t xml:space="preserve">«Mentecapta… Pergunte.», Bruno</t>
    </r>
    <r>
      <rPr>
        <sz val="10"/>
        <rFont val="WenQuanYi Zen Hei"/>
        <family val="2"/>
      </rPr>
      <t xml:space="preserve">의 </t>
    </r>
    <r>
      <rPr>
        <sz val="10"/>
        <rFont val="Arial"/>
        <family val="0"/>
        <charset val="1"/>
      </rPr>
      <t xml:space="preserve">«Deixa que eu traduzo.» </t>
    </r>
    <r>
      <rPr>
        <sz val="10"/>
        <rFont val="WenQuanYi Zen Hei"/>
        <family val="2"/>
      </rPr>
      <t xml:space="preserve">이후 쉬운 말로 다시 협상해 밀린 임금과 정식 고용 전환에 합의한다</t>
    </r>
    <r>
      <rPr>
        <sz val="10"/>
        <rFont val="Arial"/>
        <family val="0"/>
        <charset val="1"/>
      </rPr>
      <t xml:space="preserve">.</t>
    </r>
  </si>
  <si>
    <t xml:space="preserve">감정 표현, 전문 용어 → 쉬운 말, 임금 체불·고용 전환 합의</t>
  </si>
  <si>
    <r>
      <rPr>
        <sz val="10"/>
        <rFont val="Arial"/>
        <family val="0"/>
        <charset val="1"/>
      </rPr>
      <t xml:space="preserve">Larissa, Juliana, Bruno, Camila, Dom Pedro, Zumbi, Marta, Freire, Álvaro(</t>
    </r>
    <r>
      <rPr>
        <sz val="10"/>
        <rFont val="WenQuanYi Zen Hei"/>
        <family val="2"/>
      </rPr>
      <t xml:space="preserve">가상</t>
    </r>
    <r>
      <rPr>
        <sz val="10"/>
        <rFont val="Arial"/>
        <family val="0"/>
        <charset val="1"/>
      </rPr>
      <t xml:space="preserve">)</t>
    </r>
  </si>
  <si>
    <t xml:space="preserve">사건4 도입</t>
  </si>
  <si>
    <t xml:space="preserve">A menina com febre</t>
  </si>
  <si>
    <t xml:space="preserve">열이 나는 아이</t>
  </si>
  <si>
    <r>
      <rPr>
        <sz val="10"/>
        <rFont val="Arial"/>
        <family val="0"/>
        <charset val="1"/>
      </rPr>
      <t xml:space="preserve">[</t>
    </r>
    <r>
      <rPr>
        <sz val="10"/>
        <rFont val="WenQuanYi Zen Hei"/>
        <family val="2"/>
      </rPr>
      <t xml:space="preserve">사건</t>
    </r>
    <r>
      <rPr>
        <sz val="10"/>
        <rFont val="Arial"/>
        <family val="0"/>
        <charset val="1"/>
      </rPr>
      <t xml:space="preserve">4 </t>
    </r>
    <r>
      <rPr>
        <sz val="10"/>
        <rFont val="WenQuanYi Zen Hei"/>
        <family val="2"/>
      </rPr>
      <t xml:space="preserve">도입</t>
    </r>
    <r>
      <rPr>
        <sz val="10"/>
        <rFont val="Arial"/>
        <family val="0"/>
        <charset val="1"/>
      </rPr>
      <t xml:space="preserve">] </t>
    </r>
    <r>
      <rPr>
        <sz val="10"/>
        <rFont val="WenQuanYi Zen Hei"/>
        <family val="2"/>
      </rPr>
      <t xml:space="preserve">서류가 없는 이주민 가족이 동네 보건소</t>
    </r>
    <r>
      <rPr>
        <sz val="10"/>
        <rFont val="Arial"/>
        <family val="0"/>
        <charset val="1"/>
      </rPr>
      <t xml:space="preserve">(UBS)</t>
    </r>
    <r>
      <rPr>
        <sz val="10"/>
        <rFont val="WenQuanYi Zen Hei"/>
        <family val="2"/>
      </rPr>
      <t xml:space="preserve">에서 </t>
    </r>
    <r>
      <rPr>
        <sz val="10"/>
        <rFont val="Arial"/>
        <family val="0"/>
        <charset val="1"/>
      </rPr>
      <t xml:space="preserve">'</t>
    </r>
    <r>
      <rPr>
        <sz val="10"/>
        <rFont val="WenQuanYi Zen Hei"/>
        <family val="2"/>
      </rPr>
      <t xml:space="preserve">주소 증명과 </t>
    </r>
    <r>
      <rPr>
        <sz val="10"/>
        <rFont val="Arial"/>
        <family val="0"/>
        <charset val="1"/>
      </rPr>
      <t xml:space="preserve">SUS </t>
    </r>
    <r>
      <rPr>
        <sz val="10"/>
        <rFont val="WenQuanYi Zen Hei"/>
        <family val="2"/>
      </rPr>
      <t xml:space="preserve">카드가 없으면 안 된다</t>
    </r>
    <r>
      <rPr>
        <sz val="10"/>
        <rFont val="Arial"/>
        <family val="0"/>
        <charset val="1"/>
      </rPr>
      <t xml:space="preserve">'</t>
    </r>
    <r>
      <rPr>
        <sz val="10"/>
        <rFont val="WenQuanYi Zen Hei"/>
        <family val="2"/>
      </rPr>
      <t xml:space="preserve">며 돌려보내졌다</t>
    </r>
    <r>
      <rPr>
        <sz val="10"/>
        <rFont val="Arial"/>
        <family val="0"/>
        <charset val="1"/>
      </rPr>
      <t xml:space="preserve">. Camila</t>
    </r>
    <r>
      <rPr>
        <sz val="10"/>
        <rFont val="WenQuanYi Zen Hei"/>
        <family val="2"/>
      </rPr>
      <t xml:space="preserve">가 나서고 </t>
    </r>
    <r>
      <rPr>
        <sz val="10"/>
        <rFont val="Arial"/>
        <family val="0"/>
        <charset val="1"/>
      </rPr>
      <t xml:space="preserve">Isabel</t>
    </r>
    <r>
      <rPr>
        <sz val="10"/>
        <rFont val="WenQuanYi Zen Hei"/>
        <family val="2"/>
      </rPr>
      <t xml:space="preserve">이 들러 </t>
    </r>
    <r>
      <rPr>
        <sz val="10"/>
        <rFont val="Arial"/>
        <family val="0"/>
        <charset val="1"/>
      </rPr>
      <t xml:space="preserve">«E como isso faz você se sentir?»</t>
    </r>
    <r>
      <rPr>
        <sz val="10"/>
        <rFont val="WenQuanYi Zen Hei"/>
        <family val="2"/>
      </rPr>
      <t xml:space="preserve">를 처음 선보인다</t>
    </r>
    <r>
      <rPr>
        <sz val="10"/>
        <rFont val="Arial"/>
        <family val="0"/>
        <charset val="1"/>
      </rPr>
      <t xml:space="preserve">. </t>
    </r>
    <r>
      <rPr>
        <sz val="10"/>
        <rFont val="WenQuanYi Zen Hei"/>
        <family val="2"/>
      </rPr>
      <t xml:space="preserve">마침 들른 </t>
    </r>
    <r>
      <rPr>
        <sz val="10"/>
        <rFont val="Arial"/>
        <family val="0"/>
        <charset val="1"/>
      </rPr>
      <t xml:space="preserve">Machado</t>
    </r>
    <r>
      <rPr>
        <sz val="10"/>
        <rFont val="WenQuanYi Zen Hei"/>
        <family val="2"/>
      </rPr>
      <t xml:space="preserve">는 </t>
    </r>
    <r>
      <rPr>
        <sz val="10"/>
        <rFont val="Arial"/>
        <family val="0"/>
        <charset val="1"/>
      </rPr>
      <t xml:space="preserve">Dom Pedro</t>
    </r>
    <r>
      <rPr>
        <sz val="10"/>
        <rFont val="WenQuanYi Zen Hei"/>
        <family val="2"/>
      </rPr>
      <t xml:space="preserve">에게 원고를 놀림받다 </t>
    </r>
    <r>
      <rPr>
        <sz val="10"/>
        <rFont val="Arial"/>
        <family val="0"/>
        <charset val="1"/>
      </rPr>
      <t xml:space="preserve">«Não é ruim.»</t>
    </r>
    <r>
      <rPr>
        <sz val="10"/>
        <rFont val="WenQuanYi Zen Hei"/>
        <family val="2"/>
      </rPr>
      <t xml:space="preserve">이라는 최고의 칭찬을 듣는다</t>
    </r>
    <r>
      <rPr>
        <sz val="10"/>
        <rFont val="Arial"/>
        <family val="0"/>
        <charset val="1"/>
      </rPr>
      <t xml:space="preserve">. </t>
    </r>
    <r>
      <rPr>
        <sz val="10"/>
        <rFont val="WenQuanYi Zen Hei"/>
        <family val="2"/>
      </rPr>
      <t xml:space="preserve">정작 진짜 아픈 아이 앞에서 </t>
    </r>
    <r>
      <rPr>
        <sz val="10"/>
        <rFont val="Arial"/>
        <family val="0"/>
        <charset val="1"/>
      </rPr>
      <t xml:space="preserve">Dom Pedro</t>
    </r>
    <r>
      <rPr>
        <sz val="10"/>
        <rFont val="WenQuanYi Zen Hei"/>
        <family val="2"/>
      </rPr>
      <t xml:space="preserve">는 자기 무릎 타령을 멈춘다</t>
    </r>
    <r>
      <rPr>
        <sz val="10"/>
        <rFont val="Arial"/>
        <family val="0"/>
        <charset val="1"/>
      </rPr>
      <t xml:space="preserve">.</t>
    </r>
  </si>
  <si>
    <r>
      <rPr>
        <sz val="10"/>
        <rFont val="Noto Sans CJK SC"/>
        <family val="2"/>
        <charset val="1"/>
      </rPr>
      <t xml:space="preserve">SUS</t>
    </r>
    <r>
      <rPr>
        <sz val="10"/>
        <rFont val="WenQuanYi Zen Hei"/>
        <family val="2"/>
      </rPr>
      <t xml:space="preserve">의 보편 접근권</t>
    </r>
    <r>
      <rPr>
        <sz val="10"/>
        <rFont val="Noto Sans CJK SC"/>
        <family val="2"/>
        <charset val="1"/>
      </rPr>
      <t xml:space="preserve">(</t>
    </r>
    <r>
      <rPr>
        <sz val="10"/>
        <rFont val="WenQuanYi Zen Hei"/>
        <family val="2"/>
      </rPr>
      <t xml:space="preserve">헌법 제</t>
    </r>
    <r>
      <rPr>
        <sz val="10"/>
        <rFont val="Noto Sans CJK SC"/>
        <family val="2"/>
        <charset val="1"/>
      </rPr>
      <t xml:space="preserve">196</t>
    </r>
    <r>
      <rPr>
        <sz val="10"/>
        <rFont val="WenQuanYi Zen Hei"/>
        <family val="2"/>
      </rPr>
      <t xml:space="preserve">조</t>
    </r>
    <r>
      <rPr>
        <sz val="10"/>
        <rFont val="Noto Sans CJK SC"/>
        <family val="2"/>
        <charset val="1"/>
      </rPr>
      <t xml:space="preserve">), </t>
    </r>
    <r>
      <rPr>
        <sz val="10"/>
        <rFont val="WenQuanYi Zen Hei"/>
        <family val="2"/>
      </rPr>
      <t xml:space="preserve">현장의 서류 요구</t>
    </r>
    <r>
      <rPr>
        <sz val="10"/>
        <rFont val="Noto Sans CJK SC"/>
        <family val="2"/>
        <charset val="1"/>
      </rPr>
      <t xml:space="preserve">, </t>
    </r>
    <r>
      <rPr>
        <sz val="10"/>
        <rFont val="WenQuanYi Zen Hei"/>
        <family val="2"/>
      </rPr>
      <t xml:space="preserve">증상 표현</t>
    </r>
  </si>
  <si>
    <r>
      <rPr>
        <sz val="10"/>
        <rFont val="Arial"/>
        <family val="0"/>
        <charset val="1"/>
      </rPr>
      <t xml:space="preserve">Camila, Isabel, Dom Pedro, Machado, Larissa, Marta, </t>
    </r>
    <r>
      <rPr>
        <sz val="10"/>
        <rFont val="WenQuanYi Zen Hei"/>
        <family val="2"/>
      </rPr>
      <t xml:space="preserve">가족</t>
    </r>
    <r>
      <rPr>
        <sz val="10"/>
        <rFont val="Arial"/>
        <family val="0"/>
        <charset val="1"/>
      </rPr>
      <t xml:space="preserve">(</t>
    </r>
    <r>
      <rPr>
        <sz val="10"/>
        <rFont val="WenQuanYi Zen Hei"/>
        <family val="2"/>
      </rPr>
      <t xml:space="preserve">가상</t>
    </r>
    <r>
      <rPr>
        <sz val="10"/>
        <rFont val="Arial"/>
        <family val="0"/>
        <charset val="1"/>
      </rPr>
      <t xml:space="preserve">)</t>
    </r>
  </si>
  <si>
    <t xml:space="preserve">S2</t>
  </si>
  <si>
    <t xml:space="preserve">사건4 해결</t>
  </si>
  <si>
    <t xml:space="preserve">Um cartão SUS para todos</t>
  </si>
  <si>
    <t xml:space="preserve">모두를 위한 SUS 카드</t>
  </si>
  <si>
    <r>
      <rPr>
        <sz val="10"/>
        <rFont val="Arial"/>
        <family val="0"/>
        <charset val="1"/>
      </rPr>
      <t xml:space="preserve">[</t>
    </r>
    <r>
      <rPr>
        <sz val="10"/>
        <rFont val="WenQuanYi Zen Hei"/>
        <family val="2"/>
      </rPr>
      <t xml:space="preserve">사건</t>
    </r>
    <r>
      <rPr>
        <sz val="10"/>
        <rFont val="Arial"/>
        <family val="0"/>
        <charset val="1"/>
      </rPr>
      <t xml:space="preserve">4 </t>
    </r>
    <r>
      <rPr>
        <sz val="10"/>
        <rFont val="WenQuanYi Zen Hei"/>
        <family val="2"/>
      </rPr>
      <t xml:space="preserve">해결</t>
    </r>
    <r>
      <rPr>
        <sz val="10"/>
        <rFont val="Arial"/>
        <family val="0"/>
        <charset val="1"/>
      </rPr>
      <t xml:space="preserve">] Rafael</t>
    </r>
    <r>
      <rPr>
        <sz val="10"/>
        <rFont val="WenQuanYi Zen Hei"/>
        <family val="2"/>
      </rPr>
      <t xml:space="preserve">과 </t>
    </r>
    <r>
      <rPr>
        <sz val="10"/>
        <rFont val="Arial"/>
        <family val="0"/>
        <charset val="1"/>
      </rPr>
      <t xml:space="preserve">Camila</t>
    </r>
    <r>
      <rPr>
        <sz val="10"/>
        <rFont val="WenQuanYi Zen Hei"/>
        <family val="2"/>
      </rPr>
      <t xml:space="preserve">가 서류 없이도 </t>
    </r>
    <r>
      <rPr>
        <sz val="10"/>
        <rFont val="Arial"/>
        <family val="0"/>
        <charset val="1"/>
      </rPr>
      <t xml:space="preserve">SUS </t>
    </r>
    <r>
      <rPr>
        <sz val="10"/>
        <rFont val="WenQuanYi Zen Hei"/>
        <family val="2"/>
      </rPr>
      <t xml:space="preserve">카드</t>
    </r>
    <r>
      <rPr>
        <sz val="10"/>
        <rFont val="Arial"/>
        <family val="0"/>
        <charset val="1"/>
      </rPr>
      <t xml:space="preserve">(Cartão Nacional de Saúde)</t>
    </r>
    <r>
      <rPr>
        <sz val="10"/>
        <rFont val="WenQuanYi Zen Hei"/>
        <family val="2"/>
      </rPr>
      <t xml:space="preserve">를 발급받는 경로를 찾아내 아이가 진료를 받는다</t>
    </r>
    <r>
      <rPr>
        <sz val="10"/>
        <rFont val="Arial"/>
        <family val="0"/>
        <charset val="1"/>
      </rPr>
      <t xml:space="preserve">. Dom Pedro</t>
    </r>
    <r>
      <rPr>
        <sz val="10"/>
        <rFont val="WenQuanYi Zen Hei"/>
        <family val="2"/>
      </rPr>
      <t xml:space="preserve">가 평소와 달리 조용히 커피를 마신다</t>
    </r>
    <r>
      <rPr>
        <sz val="10"/>
        <rFont val="Arial"/>
        <family val="0"/>
        <charset val="1"/>
      </rPr>
      <t xml:space="preserve">.</t>
    </r>
  </si>
  <si>
    <r>
      <rPr>
        <sz val="10"/>
        <rFont val="Noto Sans CJK SC"/>
        <family val="2"/>
        <charset val="1"/>
      </rPr>
      <t xml:space="preserve">SUS </t>
    </r>
    <r>
      <rPr>
        <sz val="10"/>
        <rFont val="WenQuanYi Zen Hei"/>
        <family val="2"/>
      </rPr>
      <t xml:space="preserve">카드 발급</t>
    </r>
    <r>
      <rPr>
        <sz val="10"/>
        <rFont val="Noto Sans CJK SC"/>
        <family val="2"/>
        <charset val="1"/>
      </rPr>
      <t xml:space="preserve">, </t>
    </r>
    <r>
      <rPr>
        <sz val="10"/>
        <rFont val="WenQuanYi Zen Hei"/>
        <family val="2"/>
      </rPr>
      <t xml:space="preserve">이주민 보건 접근권</t>
    </r>
    <r>
      <rPr>
        <sz val="10"/>
        <rFont val="Noto Sans CJK SC"/>
        <family val="2"/>
        <charset val="1"/>
      </rPr>
      <t xml:space="preserve">(</t>
    </r>
    <r>
      <rPr>
        <sz val="10"/>
        <rFont val="WenQuanYi Zen Hei"/>
        <family val="2"/>
      </rPr>
      <t xml:space="preserve">이민법 </t>
    </r>
    <r>
      <rPr>
        <sz val="10"/>
        <rFont val="Noto Sans CJK SC"/>
        <family val="2"/>
        <charset val="1"/>
      </rPr>
      <t xml:space="preserve">Lei 13.445/2017 </t>
    </r>
    <r>
      <rPr>
        <sz val="10"/>
        <rFont val="WenQuanYi Zen Hei"/>
        <family val="2"/>
      </rPr>
      <t xml:space="preserve">제</t>
    </r>
    <r>
      <rPr>
        <sz val="10"/>
        <rFont val="Noto Sans CJK SC"/>
        <family val="2"/>
        <charset val="1"/>
      </rPr>
      <t xml:space="preserve">4</t>
    </r>
    <r>
      <rPr>
        <sz val="10"/>
        <rFont val="WenQuanYi Zen Hei"/>
        <family val="2"/>
      </rPr>
      <t xml:space="preserve">조</t>
    </r>
    <r>
      <rPr>
        <sz val="10"/>
        <rFont val="Noto Sans CJK SC"/>
        <family val="2"/>
        <charset val="1"/>
      </rPr>
      <t xml:space="preserve">), </t>
    </r>
    <r>
      <rPr>
        <sz val="10"/>
        <rFont val="WenQuanYi Zen Hei"/>
        <family val="2"/>
      </rPr>
      <t xml:space="preserve">진료 의뢰</t>
    </r>
  </si>
  <si>
    <r>
      <rPr>
        <sz val="10"/>
        <rFont val="Arial"/>
        <family val="0"/>
        <charset val="1"/>
      </rPr>
      <t xml:space="preserve">Camila, Rafael, Larissa, Marta, </t>
    </r>
    <r>
      <rPr>
        <sz val="10"/>
        <rFont val="WenQuanYi Zen Hei"/>
        <family val="2"/>
      </rPr>
      <t xml:space="preserve">가족</t>
    </r>
    <r>
      <rPr>
        <sz val="10"/>
        <rFont val="Arial"/>
        <family val="0"/>
        <charset val="1"/>
      </rPr>
      <t xml:space="preserve">(</t>
    </r>
    <r>
      <rPr>
        <sz val="10"/>
        <rFont val="WenQuanYi Zen Hei"/>
        <family val="2"/>
      </rPr>
      <t xml:space="preserve">가상</t>
    </r>
    <r>
      <rPr>
        <sz val="10"/>
        <rFont val="Arial"/>
        <family val="0"/>
        <charset val="1"/>
      </rPr>
      <t xml:space="preserve">)</t>
    </r>
  </si>
  <si>
    <t xml:space="preserve">사건5 도입</t>
  </si>
  <si>
    <t xml:space="preserve">A viúva do quinto andar</t>
  </si>
  <si>
    <r>
      <rPr>
        <sz val="10"/>
        <rFont val="Arial"/>
        <family val="0"/>
        <charset val="1"/>
      </rPr>
      <t xml:space="preserve">5</t>
    </r>
    <r>
      <rPr>
        <sz val="10"/>
        <rFont val="WenQuanYi Zen Hei"/>
        <family val="2"/>
      </rPr>
      <t xml:space="preserve">층의 미망인</t>
    </r>
  </si>
  <si>
    <r>
      <rPr>
        <sz val="10"/>
        <rFont val="Arial"/>
        <family val="0"/>
        <charset val="1"/>
      </rPr>
      <t xml:space="preserve">[</t>
    </r>
    <r>
      <rPr>
        <sz val="10"/>
        <rFont val="WenQuanYi Zen Hei"/>
        <family val="2"/>
      </rPr>
      <t xml:space="preserve">사건</t>
    </r>
    <r>
      <rPr>
        <sz val="10"/>
        <rFont val="Arial"/>
        <family val="0"/>
        <charset val="1"/>
      </rPr>
      <t xml:space="preserve">5 </t>
    </r>
    <r>
      <rPr>
        <sz val="10"/>
        <rFont val="WenQuanYi Zen Hei"/>
        <family val="2"/>
      </rPr>
      <t xml:space="preserve">도입</t>
    </r>
    <r>
      <rPr>
        <sz val="10"/>
        <rFont val="Arial"/>
        <family val="0"/>
        <charset val="1"/>
      </rPr>
      <t xml:space="preserve">] '</t>
    </r>
    <r>
      <rPr>
        <sz val="10"/>
        <rFont val="WenQuanYi Zen Hei"/>
        <family val="2"/>
      </rPr>
      <t xml:space="preserve">고수익 투자</t>
    </r>
    <r>
      <rPr>
        <sz val="10"/>
        <rFont val="Arial"/>
        <family val="0"/>
        <charset val="1"/>
      </rPr>
      <t xml:space="preserve">' </t>
    </r>
    <r>
      <rPr>
        <sz val="10"/>
        <rFont val="WenQuanYi Zen Hei"/>
        <family val="2"/>
      </rPr>
      <t xml:space="preserve">사기와 </t>
    </r>
    <r>
      <rPr>
        <sz val="10"/>
        <rFont val="Arial"/>
        <family val="0"/>
        <charset val="1"/>
      </rPr>
      <t xml:space="preserve">Pix </t>
    </r>
    <r>
      <rPr>
        <sz val="10"/>
        <rFont val="WenQuanYi Zen Hei"/>
        <family val="2"/>
      </rPr>
      <t xml:space="preserve">송금으로 저축을 잃은 노년의 이웃 </t>
    </r>
    <r>
      <rPr>
        <sz val="10"/>
        <rFont val="Arial"/>
        <family val="0"/>
        <charset val="1"/>
      </rPr>
      <t xml:space="preserve">Dona Cida(</t>
    </r>
    <r>
      <rPr>
        <sz val="10"/>
        <rFont val="WenQuanYi Zen Hei"/>
        <family val="2"/>
      </rPr>
      <t xml:space="preserve">가상</t>
    </r>
    <r>
      <rPr>
        <sz val="10"/>
        <rFont val="Arial"/>
        <family val="0"/>
        <charset val="1"/>
      </rPr>
      <t xml:space="preserve">)</t>
    </r>
    <r>
      <rPr>
        <sz val="10"/>
        <rFont val="WenQuanYi Zen Hei"/>
        <family val="2"/>
      </rPr>
      <t xml:space="preserve">가 찾아온다</t>
    </r>
    <r>
      <rPr>
        <sz val="10"/>
        <rFont val="Arial"/>
        <family val="0"/>
        <charset val="1"/>
      </rPr>
      <t xml:space="preserve">. Bruno</t>
    </r>
    <r>
      <rPr>
        <sz val="10"/>
        <rFont val="WenQuanYi Zen Hei"/>
        <family val="2"/>
      </rPr>
      <t xml:space="preserve">가 장부를 살피는 동안</t>
    </r>
    <r>
      <rPr>
        <sz val="10"/>
        <rFont val="Arial"/>
        <family val="0"/>
        <charset val="1"/>
      </rPr>
      <t xml:space="preserve">, </t>
    </r>
    <r>
      <rPr>
        <sz val="10"/>
        <rFont val="WenQuanYi Zen Hei"/>
        <family val="2"/>
      </rPr>
      <t xml:space="preserve">양복 입은 낯선 남자 </t>
    </r>
    <r>
      <rPr>
        <sz val="10"/>
        <rFont val="Arial"/>
        <family val="0"/>
        <charset val="1"/>
      </rPr>
      <t xml:space="preserve">Sérgio</t>
    </r>
    <r>
      <rPr>
        <sz val="10"/>
        <rFont val="WenQuanYi Zen Hei"/>
        <family val="2"/>
      </rPr>
      <t xml:space="preserve">가 나타나 은행 쪽 흐름을 봐 주겠다고 하면서도 자기 이야기는 하지 않는다</t>
    </r>
    <r>
      <rPr>
        <sz val="10"/>
        <rFont val="Arial"/>
        <family val="0"/>
        <charset val="1"/>
      </rPr>
      <t xml:space="preserve">. Dumont</t>
    </r>
    <r>
      <rPr>
        <sz val="10"/>
        <rFont val="WenQuanYi Zen Hei"/>
        <family val="2"/>
      </rPr>
      <t xml:space="preserve">이 냄새를 맡고 기웃거린다</t>
    </r>
    <r>
      <rPr>
        <sz val="10"/>
        <rFont val="Arial"/>
        <family val="0"/>
        <charset val="1"/>
      </rPr>
      <t xml:space="preserve">.</t>
    </r>
  </si>
  <si>
    <t xml:space="preserve">투자 사기·금융 피라미드, Pix, 은행 계좌 기초 어휘</t>
  </si>
  <si>
    <r>
      <rPr>
        <sz val="10"/>
        <rFont val="Arial"/>
        <family val="0"/>
        <charset val="1"/>
      </rPr>
      <t xml:space="preserve">Bruno, Sérgio, Dumont, Larissa, Marta, Dona Cida(</t>
    </r>
    <r>
      <rPr>
        <sz val="10"/>
        <rFont val="WenQuanYi Zen Hei"/>
        <family val="2"/>
      </rPr>
      <t xml:space="preserve">가상</t>
    </r>
    <r>
      <rPr>
        <sz val="10"/>
        <rFont val="Arial"/>
        <family val="0"/>
        <charset val="1"/>
      </rPr>
      <t xml:space="preserve">)</t>
    </r>
  </si>
  <si>
    <t xml:space="preserve">E3</t>
  </si>
  <si>
    <t xml:space="preserve">사건5 해결</t>
  </si>
  <si>
    <t xml:space="preserve">Siga o dinheiro</t>
  </si>
  <si>
    <t xml:space="preserve">돈을 따라가라</t>
  </si>
  <si>
    <r>
      <rPr>
        <sz val="10"/>
        <rFont val="Arial"/>
        <family val="0"/>
        <charset val="1"/>
      </rPr>
      <t xml:space="preserve">[</t>
    </r>
    <r>
      <rPr>
        <sz val="10"/>
        <rFont val="WenQuanYi Zen Hei"/>
        <family val="2"/>
      </rPr>
      <t xml:space="preserve">사건</t>
    </r>
    <r>
      <rPr>
        <sz val="10"/>
        <rFont val="Arial"/>
        <family val="0"/>
        <charset val="1"/>
      </rPr>
      <t xml:space="preserve">5 </t>
    </r>
    <r>
      <rPr>
        <sz val="10"/>
        <rFont val="WenQuanYi Zen Hei"/>
        <family val="2"/>
      </rPr>
      <t xml:space="preserve">해결</t>
    </r>
    <r>
      <rPr>
        <sz val="10"/>
        <rFont val="Arial"/>
        <family val="0"/>
        <charset val="1"/>
      </rPr>
      <t xml:space="preserve">] Sérgio</t>
    </r>
    <r>
      <rPr>
        <sz val="10"/>
        <rFont val="WenQuanYi Zen Hei"/>
        <family val="2"/>
      </rPr>
      <t xml:space="preserve">의 계좌 흐름 추적과 </t>
    </r>
    <r>
      <rPr>
        <sz val="10"/>
        <rFont val="Arial"/>
        <family val="0"/>
        <charset val="1"/>
      </rPr>
      <t xml:space="preserve">Bruno</t>
    </r>
    <r>
      <rPr>
        <sz val="10"/>
        <rFont val="WenQuanYi Zen Hei"/>
        <family val="2"/>
      </rPr>
      <t xml:space="preserve">의 장부 대조로 사기 계좌를 찾고</t>
    </r>
    <r>
      <rPr>
        <sz val="10"/>
        <rFont val="Arial"/>
        <family val="0"/>
        <charset val="1"/>
      </rPr>
      <t xml:space="preserve">, Pix </t>
    </r>
    <r>
      <rPr>
        <sz val="10"/>
        <rFont val="WenQuanYi Zen Hei"/>
        <family val="2"/>
      </rPr>
      <t xml:space="preserve">특별 반환 절차</t>
    </r>
    <r>
      <rPr>
        <sz val="10"/>
        <rFont val="Arial"/>
        <family val="0"/>
        <charset val="1"/>
      </rPr>
      <t xml:space="preserve">(MED)</t>
    </r>
    <r>
      <rPr>
        <sz val="10"/>
        <rFont val="WenQuanYi Zen Hei"/>
        <family val="2"/>
      </rPr>
      <t xml:space="preserve">로 돈 일부를 되찾는다</t>
    </r>
    <r>
      <rPr>
        <sz val="10"/>
        <rFont val="Arial"/>
        <family val="0"/>
        <charset val="1"/>
      </rPr>
      <t xml:space="preserve">. Sérgio</t>
    </r>
    <r>
      <rPr>
        <sz val="10"/>
        <rFont val="WenQuanYi Zen Hei"/>
        <family val="2"/>
      </rPr>
      <t xml:space="preserve">는 설명 없이 떠나고</t>
    </r>
    <r>
      <rPr>
        <sz val="10"/>
        <rFont val="Arial"/>
        <family val="0"/>
        <charset val="1"/>
      </rPr>
      <t xml:space="preserve">, Bruno</t>
    </r>
    <r>
      <rPr>
        <sz val="10"/>
        <rFont val="WenQuanYi Zen Hei"/>
        <family val="2"/>
      </rPr>
      <t xml:space="preserve">는 </t>
    </r>
    <r>
      <rPr>
        <sz val="10"/>
        <rFont val="Arial"/>
        <family val="0"/>
        <charset val="1"/>
      </rPr>
      <t xml:space="preserve">«Banco Atlântico»</t>
    </r>
    <r>
      <rPr>
        <sz val="10"/>
        <rFont val="WenQuanYi Zen Hei"/>
        <family val="2"/>
      </rPr>
      <t xml:space="preserve">라는 이름에 말없이 굳는다</t>
    </r>
    <r>
      <rPr>
        <sz val="10"/>
        <rFont val="Arial"/>
        <family val="0"/>
        <charset val="1"/>
      </rPr>
      <t xml:space="preserve">.</t>
    </r>
  </si>
  <si>
    <r>
      <rPr>
        <sz val="10"/>
        <rFont val="Noto Sans CJK SC"/>
        <family val="2"/>
        <charset val="1"/>
      </rPr>
      <t xml:space="preserve">Pix </t>
    </r>
    <r>
      <rPr>
        <sz val="10"/>
        <rFont val="WenQuanYi Zen Hei"/>
        <family val="2"/>
      </rPr>
      <t xml:space="preserve">특별 반환 절차</t>
    </r>
    <r>
      <rPr>
        <sz val="10"/>
        <rFont val="Noto Sans CJK SC"/>
        <family val="2"/>
        <charset val="1"/>
      </rPr>
      <t xml:space="preserve">(MED, </t>
    </r>
    <r>
      <rPr>
        <sz val="10"/>
        <rFont val="WenQuanYi Zen Hei"/>
        <family val="2"/>
      </rPr>
      <t xml:space="preserve">중앙은행</t>
    </r>
    <r>
      <rPr>
        <sz val="10"/>
        <rFont val="Noto Sans CJK SC"/>
        <family val="2"/>
        <charset val="1"/>
      </rPr>
      <t xml:space="preserve">), </t>
    </r>
    <r>
      <rPr>
        <sz val="10"/>
        <rFont val="WenQuanYi Zen Hei"/>
        <family val="2"/>
      </rPr>
      <t xml:space="preserve">자금 흐름 추적</t>
    </r>
    <r>
      <rPr>
        <sz val="10"/>
        <rFont val="Noto Sans CJK SC"/>
        <family val="2"/>
        <charset val="1"/>
      </rPr>
      <t xml:space="preserve">, </t>
    </r>
    <r>
      <rPr>
        <sz val="10"/>
        <rFont val="WenQuanYi Zen Hei"/>
        <family val="2"/>
      </rPr>
      <t xml:space="preserve">계좌</t>
    </r>
    <r>
      <rPr>
        <sz val="10"/>
        <rFont val="Noto Sans CJK SC"/>
        <family val="2"/>
        <charset val="1"/>
      </rPr>
      <t xml:space="preserve">·</t>
    </r>
    <r>
      <rPr>
        <sz val="10"/>
        <rFont val="WenQuanYi Zen Hei"/>
        <family val="2"/>
      </rPr>
      <t xml:space="preserve">송금 어휘</t>
    </r>
  </si>
  <si>
    <r>
      <rPr>
        <sz val="10"/>
        <rFont val="Arial"/>
        <family val="0"/>
        <charset val="1"/>
      </rPr>
      <t xml:space="preserve">Bruno, Sérgio, Larissa, Marta, Dona Cida(</t>
    </r>
    <r>
      <rPr>
        <sz val="10"/>
        <rFont val="WenQuanYi Zen Hei"/>
        <family val="2"/>
      </rPr>
      <t xml:space="preserve">가상</t>
    </r>
    <r>
      <rPr>
        <sz val="10"/>
        <rFont val="Arial"/>
        <family val="0"/>
        <charset val="1"/>
      </rPr>
      <t xml:space="preserve">)</t>
    </r>
  </si>
  <si>
    <t xml:space="preserve">사건6 도입</t>
  </si>
  <si>
    <t xml:space="preserve">Um papel de anos atrás</t>
  </si>
  <si>
    <t xml:space="preserve">수년 전 서류</t>
  </si>
  <si>
    <r>
      <rPr>
        <sz val="10"/>
        <rFont val="Arial"/>
        <family val="0"/>
        <charset val="1"/>
      </rPr>
      <t xml:space="preserve">[</t>
    </r>
    <r>
      <rPr>
        <sz val="10"/>
        <rFont val="WenQuanYi Zen Hei"/>
        <family val="2"/>
      </rPr>
      <t xml:space="preserve">사건</t>
    </r>
    <r>
      <rPr>
        <sz val="10"/>
        <rFont val="Arial"/>
        <family val="0"/>
        <charset val="1"/>
      </rPr>
      <t xml:space="preserve">6 </t>
    </r>
    <r>
      <rPr>
        <sz val="10"/>
        <rFont val="WenQuanYi Zen Hei"/>
        <family val="2"/>
      </rPr>
      <t xml:space="preserve">도입</t>
    </r>
    <r>
      <rPr>
        <sz val="10"/>
        <rFont val="Arial"/>
        <family val="0"/>
        <charset val="1"/>
      </rPr>
      <t xml:space="preserve">] Fátima</t>
    </r>
    <r>
      <rPr>
        <sz val="10"/>
        <rFont val="WenQuanYi Zen Hei"/>
        <family val="2"/>
      </rPr>
      <t xml:space="preserve">의 남편 </t>
    </r>
    <r>
      <rPr>
        <sz val="10"/>
        <rFont val="Arial"/>
        <family val="0"/>
        <charset val="1"/>
      </rPr>
      <t xml:space="preserve">Seu Jurandir(</t>
    </r>
    <r>
      <rPr>
        <sz val="10"/>
        <rFont val="WenQuanYi Zen Hei"/>
        <family val="2"/>
      </rPr>
      <t xml:space="preserve">가상</t>
    </r>
    <r>
      <rPr>
        <sz val="10"/>
        <rFont val="Arial"/>
        <family val="0"/>
        <charset val="1"/>
      </rPr>
      <t xml:space="preserve">)</t>
    </r>
    <r>
      <rPr>
        <sz val="10"/>
        <rFont val="WenQuanYi Zen Hei"/>
        <family val="2"/>
      </rPr>
      <t xml:space="preserve">가 수십 년 전 다른 건물에서 받은 낡은 퇴거 서류를 들고 온다</t>
    </r>
    <r>
      <rPr>
        <sz val="10"/>
        <rFont val="Arial"/>
        <family val="0"/>
        <charset val="1"/>
      </rPr>
      <t xml:space="preserve">. </t>
    </r>
    <r>
      <rPr>
        <sz val="10"/>
        <rFont val="WenQuanYi Zen Hei"/>
        <family val="2"/>
      </rPr>
      <t xml:space="preserve">당장 급한 사안은 아니지만 오래된 절차 하자가 보인다</t>
    </r>
    <r>
      <rPr>
        <sz val="10"/>
        <rFont val="Arial"/>
        <family val="0"/>
        <charset val="1"/>
      </rPr>
      <t xml:space="preserve">. Dumont</t>
    </r>
    <r>
      <rPr>
        <sz val="10"/>
        <rFont val="WenQuanYi Zen Hei"/>
        <family val="2"/>
      </rPr>
      <t xml:space="preserve">이 취재 각도로 흥미를 보이며 </t>
    </r>
    <r>
      <rPr>
        <sz val="10"/>
        <rFont val="Arial"/>
        <family val="0"/>
        <charset val="1"/>
      </rPr>
      <t xml:space="preserve">«Preciso de duas fontes.»</t>
    </r>
  </si>
  <si>
    <t xml:space="preserve">오래된 서류 판독, 절차 하자</t>
  </si>
  <si>
    <r>
      <rPr>
        <sz val="10"/>
        <rFont val="Arial"/>
        <family val="0"/>
        <charset val="1"/>
      </rPr>
      <t xml:space="preserve">Rafael, Dumont, Larissa, Marta, Seu Jurandir(</t>
    </r>
    <r>
      <rPr>
        <sz val="10"/>
        <rFont val="WenQuanYi Zen Hei"/>
        <family val="2"/>
      </rPr>
      <t xml:space="preserve">가상</t>
    </r>
    <r>
      <rPr>
        <sz val="10"/>
        <rFont val="Arial"/>
        <family val="0"/>
        <charset val="1"/>
      </rPr>
      <t xml:space="preserve">)</t>
    </r>
  </si>
  <si>
    <t xml:space="preserve">사건6 해결(훅)</t>
  </si>
  <si>
    <t xml:space="preserve">A assinatura</t>
  </si>
  <si>
    <t xml:space="preserve">서명</t>
  </si>
  <si>
    <r>
      <rPr>
        <sz val="10"/>
        <rFont val="Arial"/>
        <family val="0"/>
        <charset val="1"/>
      </rPr>
      <t xml:space="preserve">[</t>
    </r>
    <r>
      <rPr>
        <sz val="10"/>
        <rFont val="WenQuanYi Zen Hei"/>
        <family val="2"/>
      </rPr>
      <t xml:space="preserve">사건</t>
    </r>
    <r>
      <rPr>
        <sz val="10"/>
        <rFont val="Arial"/>
        <family val="0"/>
        <charset val="1"/>
      </rPr>
      <t xml:space="preserve">6 </t>
    </r>
    <r>
      <rPr>
        <sz val="10"/>
        <rFont val="WenQuanYi Zen Hei"/>
        <family val="2"/>
      </rPr>
      <t xml:space="preserve">해결</t>
    </r>
    <r>
      <rPr>
        <sz val="10"/>
        <rFont val="Arial"/>
        <family val="0"/>
        <charset val="1"/>
      </rPr>
      <t xml:space="preserve">·</t>
    </r>
    <r>
      <rPr>
        <sz val="10"/>
        <rFont val="WenQuanYi Zen Hei"/>
        <family val="2"/>
      </rPr>
      <t xml:space="preserve">훅</t>
    </r>
    <r>
      <rPr>
        <sz val="10"/>
        <rFont val="Arial"/>
        <family val="0"/>
        <charset val="1"/>
      </rPr>
      <t xml:space="preserve">] </t>
    </r>
    <r>
      <rPr>
        <sz val="10"/>
        <rFont val="WenQuanYi Zen Hei"/>
        <family val="2"/>
      </rPr>
      <t xml:space="preserve">절차 하자를 바로잡아 오래된 기록을 정정하지만</t>
    </r>
    <r>
      <rPr>
        <sz val="10"/>
        <rFont val="Arial"/>
        <family val="0"/>
        <charset val="1"/>
      </rPr>
      <t xml:space="preserve">, </t>
    </r>
    <r>
      <rPr>
        <sz val="10"/>
        <rFont val="WenQuanYi Zen Hei"/>
        <family val="2"/>
      </rPr>
      <t xml:space="preserve">진짜 충격은 서류 맨 아래</t>
    </r>
    <r>
      <rPr>
        <sz val="10"/>
        <rFont val="Arial"/>
        <family val="0"/>
        <charset val="1"/>
      </rPr>
      <t xml:space="preserve">: Rafael</t>
    </r>
    <r>
      <rPr>
        <sz val="10"/>
        <rFont val="WenQuanYi Zen Hei"/>
        <family val="2"/>
      </rPr>
      <t xml:space="preserve">의 옛 로펌 </t>
    </r>
    <r>
      <rPr>
        <sz val="10"/>
        <rFont val="Arial"/>
        <family val="0"/>
        <charset val="1"/>
      </rPr>
      <t xml:space="preserve">«Aguiar &amp; Salgado»</t>
    </r>
    <r>
      <rPr>
        <sz val="10"/>
        <rFont val="WenQuanYi Zen Hei"/>
        <family val="2"/>
      </rPr>
      <t xml:space="preserve">의 서명이다</t>
    </r>
    <r>
      <rPr>
        <sz val="10"/>
        <rFont val="Arial"/>
        <family val="0"/>
        <charset val="1"/>
      </rPr>
      <t xml:space="preserve">. Rafael</t>
    </r>
    <r>
      <rPr>
        <sz val="10"/>
        <rFont val="WenQuanYi Zen Hei"/>
        <family val="2"/>
      </rPr>
      <t xml:space="preserve">이 얼어붙고 </t>
    </r>
    <r>
      <rPr>
        <sz val="10"/>
        <rFont val="Arial"/>
        <family val="0"/>
        <charset val="1"/>
      </rPr>
      <t xml:space="preserve">Marta</t>
    </r>
    <r>
      <rPr>
        <sz val="10"/>
        <rFont val="WenQuanYi Zen Hei"/>
        <family val="2"/>
      </rPr>
      <t xml:space="preserve">가 </t>
    </r>
    <r>
      <rPr>
        <sz val="10"/>
        <rFont val="Arial"/>
        <family val="0"/>
        <charset val="1"/>
      </rPr>
      <t xml:space="preserve">«Senta aí, que eu trago alguma coisa.»</t>
    </r>
    <r>
      <rPr>
        <sz val="10"/>
        <rFont val="WenQuanYi Zen Hei"/>
        <family val="2"/>
      </rPr>
      <t xml:space="preserve">로 분위기를 잇는다</t>
    </r>
    <r>
      <rPr>
        <sz val="10"/>
        <rFont val="Arial"/>
        <family val="0"/>
        <charset val="1"/>
      </rPr>
      <t xml:space="preserve">. </t>
    </r>
    <r>
      <rPr>
        <sz val="10"/>
        <rFont val="WenQuanYi Zen Hei"/>
        <family val="2"/>
      </rPr>
      <t xml:space="preserve">금요일에는 </t>
    </r>
    <r>
      <rPr>
        <sz val="10"/>
        <rFont val="Arial"/>
        <family val="0"/>
        <charset val="1"/>
      </rPr>
      <t xml:space="preserve">Rafael</t>
    </r>
    <r>
      <rPr>
        <sz val="10"/>
        <rFont val="WenQuanYi Zen Hei"/>
        <family val="2"/>
      </rPr>
      <t xml:space="preserve">의 이야기가 시작된다</t>
    </r>
    <r>
      <rPr>
        <sz val="10"/>
        <rFont val="Arial"/>
        <family val="0"/>
        <charset val="1"/>
      </rPr>
      <t xml:space="preserve">.</t>
    </r>
  </si>
  <si>
    <t xml:space="preserve">서명·기록 정정, 이름 확인</t>
  </si>
  <si>
    <r>
      <rPr>
        <sz val="10"/>
        <rFont val="Arial"/>
        <family val="0"/>
        <charset val="1"/>
      </rPr>
      <t xml:space="preserve">Rafael, Marta, Larissa, Dom Pedro, Seu Jurandir(</t>
    </r>
    <r>
      <rPr>
        <sz val="10"/>
        <rFont val="WenQuanYi Zen Hei"/>
        <family val="2"/>
      </rPr>
      <t xml:space="preserve">가상</t>
    </r>
    <r>
      <rPr>
        <sz val="10"/>
        <rFont val="Arial"/>
        <family val="0"/>
        <charset val="1"/>
      </rPr>
      <t xml:space="preserve">)</t>
    </r>
  </si>
  <si>
    <t xml:space="preserve">발단</t>
  </si>
  <si>
    <t xml:space="preserve">Sexta de histórias</t>
  </si>
  <si>
    <t xml:space="preserve">금요일의 이야기</t>
  </si>
  <si>
    <r>
      <rPr>
        <sz val="10"/>
        <rFont val="Arial"/>
        <family val="0"/>
        <charset val="1"/>
      </rPr>
      <t xml:space="preserve">(</t>
    </r>
    <r>
      <rPr>
        <sz val="10"/>
        <rFont val="WenQuanYi Zen Hei"/>
        <family val="2"/>
      </rPr>
      <t xml:space="preserve">프레임</t>
    </r>
    <r>
      <rPr>
        <sz val="10"/>
        <rFont val="Arial"/>
        <family val="0"/>
        <charset val="1"/>
      </rPr>
      <t xml:space="preserve">) Marta</t>
    </r>
    <r>
      <rPr>
        <sz val="10"/>
        <rFont val="WenQuanYi Zen Hei"/>
        <family val="2"/>
      </rPr>
      <t xml:space="preserve">의 식탁에서 금요일마다 한 사람이 과거를 이야기하는 규칙이 시작된다</t>
    </r>
    <r>
      <rPr>
        <sz val="10"/>
        <rFont val="Arial"/>
        <family val="0"/>
        <charset val="1"/>
      </rPr>
      <t xml:space="preserve">. Larissa</t>
    </r>
    <r>
      <rPr>
        <sz val="10"/>
        <rFont val="WenQuanYi Zen Hei"/>
        <family val="2"/>
      </rPr>
      <t xml:space="preserve">가 </t>
    </r>
    <r>
      <rPr>
        <sz val="10"/>
        <rFont val="Arial"/>
        <family val="0"/>
        <charset val="1"/>
      </rPr>
      <t xml:space="preserve">Rafael</t>
    </r>
    <r>
      <rPr>
        <sz val="10"/>
        <rFont val="WenQuanYi Zen Hei"/>
        <family val="2"/>
      </rPr>
      <t xml:space="preserve">에게 왜 로펌을 그만뒀느냐고 묻고 </t>
    </r>
    <r>
      <rPr>
        <sz val="10"/>
        <rFont val="Arial"/>
        <family val="0"/>
        <charset val="1"/>
      </rPr>
      <t xml:space="preserve">Rafael</t>
    </r>
    <r>
      <rPr>
        <sz val="10"/>
        <rFont val="WenQuanYi Zen Hei"/>
        <family val="2"/>
      </rPr>
      <t xml:space="preserve">은 </t>
    </r>
    <r>
      <rPr>
        <sz val="10"/>
        <rFont val="Arial"/>
        <family val="0"/>
        <charset val="1"/>
      </rPr>
      <t xml:space="preserve">«Vamos por partes.»</t>
    </r>
    <r>
      <rPr>
        <sz val="10"/>
        <rFont val="WenQuanYi Zen Hei"/>
        <family val="2"/>
      </rPr>
      <t xml:space="preserve">로 시작한다</t>
    </r>
    <r>
      <rPr>
        <sz val="10"/>
        <rFont val="Arial"/>
        <family val="0"/>
        <charset val="1"/>
      </rPr>
      <t xml:space="preserve">.</t>
    </r>
  </si>
  <si>
    <t xml:space="preserve">격식체(o senhor)와 você의 대비, 과거 이야기 도입</t>
  </si>
  <si>
    <t xml:space="preserve">Larissa, Rafael, Marta, Dom Pedro</t>
  </si>
  <si>
    <t xml:space="preserve">Uma segunda-feira na Faria Lima</t>
  </si>
  <si>
    <t xml:space="preserve">파리아 리마의 월요일</t>
  </si>
  <si>
    <r>
      <rPr>
        <sz val="10"/>
        <rFont val="Arial"/>
        <family val="0"/>
        <charset val="1"/>
      </rPr>
      <t xml:space="preserve">(</t>
    </r>
    <r>
      <rPr>
        <sz val="10"/>
        <rFont val="WenQuanYi Zen Hei"/>
        <family val="2"/>
      </rPr>
      <t xml:space="preserve">과거</t>
    </r>
    <r>
      <rPr>
        <sz val="10"/>
        <rFont val="Arial"/>
        <family val="0"/>
        <charset val="1"/>
      </rPr>
      <t xml:space="preserve">) </t>
    </r>
    <r>
      <rPr>
        <sz val="10"/>
        <rFont val="WenQuanYi Zen Hei"/>
        <family val="2"/>
      </rPr>
      <t xml:space="preserve">승소율 </t>
    </r>
    <r>
      <rPr>
        <sz val="10"/>
        <rFont val="Arial"/>
        <family val="0"/>
        <charset val="1"/>
      </rPr>
      <t xml:space="preserve">100%</t>
    </r>
    <r>
      <rPr>
        <sz val="10"/>
        <rFont val="WenQuanYi Zen Hei"/>
        <family val="2"/>
      </rPr>
      <t xml:space="preserve">의 파트너 후보 </t>
    </r>
    <r>
      <rPr>
        <sz val="10"/>
        <rFont val="Arial"/>
        <family val="0"/>
        <charset val="1"/>
      </rPr>
      <t xml:space="preserve">Rafael</t>
    </r>
    <r>
      <rPr>
        <sz val="10"/>
        <rFont val="WenQuanYi Zen Hei"/>
        <family val="2"/>
      </rPr>
      <t xml:space="preserve">의 하루</t>
    </r>
    <r>
      <rPr>
        <sz val="10"/>
        <rFont val="Arial"/>
        <family val="0"/>
        <charset val="1"/>
      </rPr>
      <t xml:space="preserve">. </t>
    </r>
    <r>
      <rPr>
        <sz val="10"/>
        <rFont val="WenQuanYi Zen Hei"/>
        <family val="2"/>
      </rPr>
      <t xml:space="preserve">새벽 편의점 앞에서 신문을 사러 나온 </t>
    </r>
    <r>
      <rPr>
        <sz val="10"/>
        <rFont val="Arial"/>
        <family val="0"/>
        <charset val="1"/>
      </rPr>
      <t xml:space="preserve">Machado</t>
    </r>
    <r>
      <rPr>
        <sz val="10"/>
        <rFont val="WenQuanYi Zen Hei"/>
        <family val="2"/>
      </rPr>
      <t xml:space="preserve">와 마주친다</t>
    </r>
    <r>
      <rPr>
        <sz val="10"/>
        <rFont val="Arial"/>
        <family val="0"/>
        <charset val="1"/>
      </rPr>
      <t xml:space="preserve">(</t>
    </r>
    <r>
      <rPr>
        <sz val="10"/>
        <rFont val="WenQuanYi Zen Hei"/>
        <family val="2"/>
      </rPr>
      <t xml:space="preserve">부활 직후의 </t>
    </r>
    <r>
      <rPr>
        <sz val="10"/>
        <rFont val="Arial"/>
        <family val="0"/>
        <charset val="1"/>
      </rPr>
      <t xml:space="preserve">Machado</t>
    </r>
    <r>
      <rPr>
        <sz val="10"/>
        <rFont val="WenQuanYi Zen Hei"/>
        <family val="2"/>
      </rPr>
      <t xml:space="preserve">는 </t>
    </r>
    <r>
      <rPr>
        <sz val="10"/>
        <rFont val="Arial"/>
        <family val="0"/>
        <charset val="1"/>
      </rPr>
      <t xml:space="preserve">'</t>
    </r>
    <r>
      <rPr>
        <sz val="10"/>
        <rFont val="WenQuanYi Zen Hei"/>
        <family val="2"/>
      </rPr>
      <t xml:space="preserve">오늘 자 신문</t>
    </r>
    <r>
      <rPr>
        <sz val="10"/>
        <rFont val="Arial"/>
        <family val="0"/>
        <charset val="1"/>
      </rPr>
      <t xml:space="preserve">'</t>
    </r>
    <r>
      <rPr>
        <sz val="10"/>
        <rFont val="WenQuanYi Zen Hei"/>
        <family val="2"/>
      </rPr>
      <t xml:space="preserve">에 집착한다</t>
    </r>
    <r>
      <rPr>
        <sz val="10"/>
        <rFont val="Arial"/>
        <family val="0"/>
        <charset val="1"/>
      </rPr>
      <t xml:space="preserve">). </t>
    </r>
    <r>
      <rPr>
        <sz val="10"/>
        <rFont val="WenQuanYi Zen Hei"/>
        <family val="2"/>
      </rPr>
      <t xml:space="preserve">상사 </t>
    </r>
    <r>
      <rPr>
        <sz val="10"/>
        <rFont val="Arial"/>
        <family val="0"/>
        <charset val="1"/>
      </rPr>
      <t xml:space="preserve">Salgado(</t>
    </r>
    <r>
      <rPr>
        <sz val="10"/>
        <rFont val="WenQuanYi Zen Hei"/>
        <family val="2"/>
      </rPr>
      <t xml:space="preserve">가상</t>
    </r>
    <r>
      <rPr>
        <sz val="10"/>
        <rFont val="Arial"/>
        <family val="0"/>
        <charset val="1"/>
      </rPr>
      <t xml:space="preserve">)</t>
    </r>
    <r>
      <rPr>
        <sz val="10"/>
        <rFont val="WenQuanYi Zen Hei"/>
        <family val="2"/>
      </rPr>
      <t xml:space="preserve">가 파트너 승진을 암시한다</t>
    </r>
    <r>
      <rPr>
        <sz val="10"/>
        <rFont val="Arial"/>
        <family val="0"/>
        <charset val="1"/>
      </rPr>
      <t xml:space="preserve">.</t>
    </r>
  </si>
  <si>
    <t xml:space="preserve">로펌 어휘: sócio, honorários, carteira de clientes</t>
  </si>
  <si>
    <r>
      <rPr>
        <sz val="10"/>
        <rFont val="Arial"/>
        <family val="0"/>
        <charset val="1"/>
      </rPr>
      <t xml:space="preserve">Rafael, Machado, Salgado(</t>
    </r>
    <r>
      <rPr>
        <sz val="10"/>
        <rFont val="WenQuanYi Zen Hei"/>
        <family val="2"/>
      </rPr>
      <t xml:space="preserve">가상</t>
    </r>
    <r>
      <rPr>
        <sz val="10"/>
        <rFont val="Arial"/>
        <family val="0"/>
        <charset val="1"/>
      </rPr>
      <t xml:space="preserve">)</t>
    </r>
  </si>
  <si>
    <t xml:space="preserve">O cliente estrela</t>
  </si>
  <si>
    <r>
      <rPr>
        <sz val="10"/>
        <rFont val="Arial"/>
        <family val="0"/>
        <charset val="1"/>
      </rPr>
      <t xml:space="preserve">VIP </t>
    </r>
    <r>
      <rPr>
        <sz val="10"/>
        <rFont val="WenQuanYi Zen Hei"/>
        <family val="2"/>
      </rPr>
      <t xml:space="preserve">고객</t>
    </r>
  </si>
  <si>
    <t xml:space="preserve">대형 고객 Grupo Meridiano의 회장 Quintela(가상)를 소개받는다. 회의석에는 고객 측 컨설턴트 Juliana와 매각 은행 지점장 Sérgio가 있다.</t>
  </si>
  <si>
    <t xml:space="preserve">인수합병 어휘: aquisição, carteira, cláusula</t>
  </si>
  <si>
    <r>
      <rPr>
        <sz val="10"/>
        <rFont val="Arial"/>
        <family val="0"/>
        <charset val="1"/>
      </rPr>
      <t xml:space="preserve">Rafael, Juliana, Sérgio, Quintela(</t>
    </r>
    <r>
      <rPr>
        <sz val="10"/>
        <rFont val="WenQuanYi Zen Hei"/>
        <family val="2"/>
      </rPr>
      <t xml:space="preserve">가상</t>
    </r>
    <r>
      <rPr>
        <sz val="10"/>
        <rFont val="Arial"/>
        <family val="0"/>
        <charset val="1"/>
      </rPr>
      <t xml:space="preserve">)</t>
    </r>
  </si>
  <si>
    <t xml:space="preserve">전개</t>
  </si>
  <si>
    <t xml:space="preserve">A carteira do Bixiga</t>
  </si>
  <si>
    <t xml:space="preserve">비시가 자산 포트폴리오</t>
  </si>
  <si>
    <t xml:space="preserve">실사(due diligence). 포트폴리오에 Bixiga 건물 12채가 들어 있다. 감사인 Bruno가 «Isso não fecha.»를 흘리고, 헌책방(sebo)에서 등기 자료를 찾던 Rafael에게 Freire가 «Procure você.»</t>
  </si>
  <si>
    <t xml:space="preserve">실사, 부동산 등기(Cartório de Registro de Imóveis, matrícula), 임차인 명부</t>
  </si>
  <si>
    <t xml:space="preserve">Rafael, Bruno, Freire</t>
  </si>
  <si>
    <t xml:space="preserve">Sexta: a rua da Marta</t>
  </si>
  <si>
    <t xml:space="preserve">금요일: Marta의 거리</t>
  </si>
  <si>
    <r>
      <rPr>
        <sz val="10"/>
        <rFont val="Arial"/>
        <family val="0"/>
        <charset val="1"/>
      </rPr>
      <t xml:space="preserve">(</t>
    </r>
    <r>
      <rPr>
        <sz val="10"/>
        <rFont val="WenQuanYi Zen Hei"/>
        <family val="2"/>
      </rPr>
      <t xml:space="preserve">프레임</t>
    </r>
    <r>
      <rPr>
        <sz val="10"/>
        <rFont val="Arial"/>
        <family val="0"/>
        <charset val="1"/>
      </rPr>
      <t xml:space="preserve">) </t>
    </r>
    <r>
      <rPr>
        <sz val="10"/>
        <rFont val="WenQuanYi Zen Hei"/>
        <family val="2"/>
      </rPr>
      <t xml:space="preserve">그 포트폴리오에 </t>
    </r>
    <r>
      <rPr>
        <sz val="10"/>
        <rFont val="Arial"/>
        <family val="0"/>
        <charset val="1"/>
      </rPr>
      <t xml:space="preserve">Marta</t>
    </r>
    <r>
      <rPr>
        <sz val="10"/>
        <rFont val="WenQuanYi Zen Hei"/>
        <family val="2"/>
      </rPr>
      <t xml:space="preserve">의 옛 가게가 있던 건물이 들어 있었음이 밝혀진다</t>
    </r>
    <r>
      <rPr>
        <sz val="10"/>
        <rFont val="Arial"/>
        <family val="0"/>
        <charset val="1"/>
      </rPr>
      <t xml:space="preserve">. Larissa</t>
    </r>
    <r>
      <rPr>
        <sz val="10"/>
        <rFont val="WenQuanYi Zen Hei"/>
        <family val="2"/>
      </rPr>
      <t xml:space="preserve">는 놀라 </t>
    </r>
    <r>
      <rPr>
        <sz val="10"/>
        <rFont val="Arial"/>
        <family val="0"/>
        <charset val="1"/>
      </rPr>
      <t xml:space="preserve">'o senhor'</t>
    </r>
    <r>
      <rPr>
        <sz val="10"/>
        <rFont val="WenQuanYi Zen Hei"/>
        <family val="2"/>
      </rPr>
      <t xml:space="preserve">를 놓치고 </t>
    </r>
    <r>
      <rPr>
        <sz val="10"/>
        <rFont val="Arial"/>
        <family val="0"/>
        <charset val="1"/>
      </rPr>
      <t xml:space="preserve">Rafael</t>
    </r>
    <r>
      <rPr>
        <sz val="10"/>
        <rFont val="WenQuanYi Zen Hei"/>
        <family val="2"/>
      </rPr>
      <t xml:space="preserve">은 잠시 침묵한다</t>
    </r>
    <r>
      <rPr>
        <sz val="10"/>
        <rFont val="Arial"/>
        <family val="0"/>
        <charset val="1"/>
      </rPr>
      <t xml:space="preserve">.</t>
    </r>
  </si>
  <si>
    <t xml:space="preserve">감정 표현, 놀람</t>
  </si>
  <si>
    <t xml:space="preserve">Marta, Rafael, Larissa</t>
  </si>
  <si>
    <t xml:space="preserve">미드포인트</t>
  </si>
  <si>
    <t xml:space="preserve">A cláusula</t>
  </si>
  <si>
    <t xml:space="preserve">조항</t>
  </si>
  <si>
    <t xml:space="preserve">임차인을 비우는 가장 '깨끗한' 방법으로 Rafael이 «retomada para obras»(리모델링·재건축을 이유로 한 계약 해지) 조항을 설계한다. Juliana의 재무 모델이 이를 뒷받침한다.</t>
  </si>
  <si>
    <t xml:space="preserve">임대 해지(denúncia), 공사 사유 회수(임대차법 제47조), 통지 요건</t>
  </si>
  <si>
    <r>
      <rPr>
        <sz val="10"/>
        <rFont val="Arial"/>
        <family val="0"/>
        <charset val="1"/>
      </rPr>
      <t xml:space="preserve">Rafael, Juliana, Salgado(</t>
    </r>
    <r>
      <rPr>
        <sz val="10"/>
        <rFont val="WenQuanYi Zen Hei"/>
        <family val="2"/>
      </rPr>
      <t xml:space="preserve">가상</t>
    </r>
    <r>
      <rPr>
        <sz val="10"/>
        <rFont val="Arial"/>
        <family val="0"/>
        <charset val="1"/>
      </rPr>
      <t xml:space="preserve">)</t>
    </r>
  </si>
  <si>
    <t xml:space="preserve">위기</t>
  </si>
  <si>
    <t xml:space="preserve">A assembleia dos moradores</t>
  </si>
  <si>
    <t xml:space="preserve">주민 총회</t>
  </si>
  <si>
    <t xml:space="preserve">세입자들이 총회를 연다. 노조 출신 Edson이 이끌고, 응급의 Camila가 공황을 일으킨 노인을 돌본다. Rafael은 78세 Dona Conceição(가상)를 만난다.</t>
  </si>
  <si>
    <t xml:space="preserve">총회·발언·동의, 항의 표현</t>
  </si>
  <si>
    <r>
      <rPr>
        <sz val="10"/>
        <rFont val="Arial"/>
        <family val="0"/>
        <charset val="1"/>
      </rPr>
      <t xml:space="preserve">Rafael, Edson, Camila, Dona Conceição(</t>
    </r>
    <r>
      <rPr>
        <sz val="10"/>
        <rFont val="WenQuanYi Zen Hei"/>
        <family val="2"/>
      </rPr>
      <t xml:space="preserve">가상</t>
    </r>
    <r>
      <rPr>
        <sz val="10"/>
        <rFont val="Arial"/>
        <family val="0"/>
        <charset val="1"/>
      </rPr>
      <t xml:space="preserve">)</t>
    </r>
  </si>
  <si>
    <t xml:space="preserve">O julgamento</t>
  </si>
  <si>
    <t xml:space="preserve">재판</t>
  </si>
  <si>
    <t xml:space="preserve">심리(audiência)와 판결. Rafael이 승소한다. 취재하던 Dumont이 «O senhor está orgulhoso?»라고 묻는다. 감사인 Bruno는 고객의 장부를 보고 고개를 젓는다.</t>
  </si>
  <si>
    <t xml:space="preserve">소송 어휘: petição inicial, audiência, sentença, custas</t>
  </si>
  <si>
    <r>
      <rPr>
        <sz val="10"/>
        <rFont val="Arial"/>
        <family val="0"/>
        <charset val="1"/>
      </rPr>
      <t xml:space="preserve">Rafael, Dumont, Bruno, </t>
    </r>
    <r>
      <rPr>
        <sz val="10"/>
        <rFont val="WenQuanYi Zen Hei"/>
        <family val="2"/>
      </rPr>
      <t xml:space="preserve">판사</t>
    </r>
    <r>
      <rPr>
        <sz val="10"/>
        <rFont val="Arial"/>
        <family val="0"/>
        <charset val="1"/>
      </rPr>
      <t xml:space="preserve">(</t>
    </r>
    <r>
      <rPr>
        <sz val="10"/>
        <rFont val="WenQuanYi Zen Hei"/>
        <family val="2"/>
      </rPr>
      <t xml:space="preserve">가상</t>
    </r>
    <r>
      <rPr>
        <sz val="10"/>
        <rFont val="Arial"/>
        <family val="0"/>
        <charset val="1"/>
      </rPr>
      <t xml:space="preserve">)</t>
    </r>
  </si>
  <si>
    <t xml:space="preserve">E1·P3</t>
  </si>
  <si>
    <t xml:space="preserve">Sexta: continua</t>
  </si>
  <si>
    <t xml:space="preserve">금요일: 계속해</t>
  </si>
  <si>
    <r>
      <rPr>
        <sz val="10"/>
        <rFont val="Arial"/>
        <family val="0"/>
        <charset val="1"/>
      </rPr>
      <t xml:space="preserve">(</t>
    </r>
    <r>
      <rPr>
        <sz val="10"/>
        <rFont val="WenQuanYi Zen Hei"/>
        <family val="2"/>
      </rPr>
      <t xml:space="preserve">프레임</t>
    </r>
    <r>
      <rPr>
        <sz val="10"/>
        <rFont val="Arial"/>
        <family val="0"/>
        <charset val="1"/>
      </rPr>
      <t xml:space="preserve">) Rafael</t>
    </r>
    <r>
      <rPr>
        <sz val="10"/>
        <rFont val="WenQuanYi Zen Hei"/>
        <family val="2"/>
      </rPr>
      <t xml:space="preserve">이 말을 잇지 못하자 </t>
    </r>
    <r>
      <rPr>
        <sz val="10"/>
        <rFont val="Arial"/>
        <family val="0"/>
        <charset val="1"/>
      </rPr>
      <t xml:space="preserve">Dom Pedro</t>
    </r>
    <r>
      <rPr>
        <sz val="10"/>
        <rFont val="WenQuanYi Zen Hei"/>
        <family val="2"/>
      </rPr>
      <t xml:space="preserve">가 </t>
    </r>
    <r>
      <rPr>
        <sz val="10"/>
        <rFont val="Arial"/>
        <family val="0"/>
        <charset val="1"/>
      </rPr>
      <t xml:space="preserve">«Quando eu reinava…»</t>
    </r>
    <r>
      <rPr>
        <sz val="10"/>
        <rFont val="WenQuanYi Zen Hei"/>
        <family val="2"/>
      </rPr>
      <t xml:space="preserve">로 시간을 벌어 주고 </t>
    </r>
    <r>
      <rPr>
        <sz val="10"/>
        <rFont val="Arial"/>
        <family val="0"/>
        <charset val="1"/>
      </rPr>
      <t xml:space="preserve">Marta</t>
    </r>
    <r>
      <rPr>
        <sz val="10"/>
        <rFont val="WenQuanYi Zen Hei"/>
        <family val="2"/>
      </rPr>
      <t xml:space="preserve">가 </t>
    </r>
    <r>
      <rPr>
        <sz val="10"/>
        <rFont val="Arial"/>
        <family val="0"/>
        <charset val="1"/>
      </rPr>
      <t xml:space="preserve">«Continua.»</t>
    </r>
    <r>
      <rPr>
        <sz val="10"/>
        <rFont val="WenQuanYi Zen Hei"/>
        <family val="2"/>
      </rPr>
      <t xml:space="preserve">라고 한다</t>
    </r>
    <r>
      <rPr>
        <sz val="10"/>
        <rFont val="Arial"/>
        <family val="0"/>
        <charset val="1"/>
      </rPr>
      <t xml:space="preserve">. Larissa</t>
    </r>
    <r>
      <rPr>
        <sz val="10"/>
        <rFont val="WenQuanYi Zen Hei"/>
        <family val="2"/>
      </rPr>
      <t xml:space="preserve">는 </t>
    </r>
    <r>
      <rPr>
        <sz val="10"/>
        <rFont val="Arial"/>
        <family val="0"/>
        <charset val="1"/>
      </rPr>
      <t xml:space="preserve">«E ela?»</t>
    </r>
    <r>
      <rPr>
        <sz val="10"/>
        <rFont val="WenQuanYi Zen Hei"/>
        <family val="2"/>
      </rPr>
      <t xml:space="preserve">라고 묻는다</t>
    </r>
    <r>
      <rPr>
        <sz val="10"/>
        <rFont val="Arial"/>
        <family val="0"/>
        <charset val="1"/>
      </rPr>
      <t xml:space="preserve">.</t>
    </r>
  </si>
  <si>
    <t xml:space="preserve">위로·재촉 표현</t>
  </si>
  <si>
    <t xml:space="preserve">Rafael, Dom Pedro, Marta, Larissa</t>
  </si>
  <si>
    <t xml:space="preserve">절정</t>
  </si>
  <si>
    <t xml:space="preserve">Um jantar nos Jardins</t>
  </si>
  <si>
    <t xml:space="preserve">자르딘스의 저녁</t>
  </si>
  <si>
    <t xml:space="preserve">승소 축하 만찬. 파트너들이 건배하는 동안 Quintela가 다음 포트폴리오를 건넨다. Rafael의 휴대전화가 울린다.</t>
  </si>
  <si>
    <t xml:space="preserve">고급 식당 표현, 건배·축하</t>
  </si>
  <si>
    <r>
      <rPr>
        <sz val="10"/>
        <rFont val="Arial"/>
        <family val="0"/>
        <charset val="1"/>
      </rPr>
      <t xml:space="preserve">Rafael, Salgado(</t>
    </r>
    <r>
      <rPr>
        <sz val="10"/>
        <rFont val="WenQuanYi Zen Hei"/>
        <family val="2"/>
      </rPr>
      <t xml:space="preserve">가상</t>
    </r>
    <r>
      <rPr>
        <sz val="10"/>
        <rFont val="Arial"/>
        <family val="0"/>
        <charset val="1"/>
      </rPr>
      <t xml:space="preserve">), Quintela(</t>
    </r>
    <r>
      <rPr>
        <sz val="10"/>
        <rFont val="WenQuanYi Zen Hei"/>
        <family val="2"/>
      </rPr>
      <t xml:space="preserve">가상</t>
    </r>
    <r>
      <rPr>
        <sz val="10"/>
        <rFont val="Arial"/>
        <family val="0"/>
        <charset val="1"/>
      </rPr>
      <t xml:space="preserve">), Bruno</t>
    </r>
  </si>
  <si>
    <t xml:space="preserve">A neta de Dona Conceição</t>
  </si>
  <si>
    <r>
      <rPr>
        <sz val="10"/>
        <rFont val="Arial"/>
        <family val="0"/>
        <charset val="1"/>
      </rPr>
      <t xml:space="preserve">Dona Conceição</t>
    </r>
    <r>
      <rPr>
        <sz val="10"/>
        <rFont val="WenQuanYi Zen Hei"/>
        <family val="2"/>
      </rPr>
      <t xml:space="preserve">의 손녀</t>
    </r>
  </si>
  <si>
    <r>
      <rPr>
        <sz val="10"/>
        <rFont val="Arial"/>
        <family val="0"/>
        <charset val="1"/>
      </rPr>
      <t xml:space="preserve">Dona Conceição</t>
    </r>
    <r>
      <rPr>
        <sz val="10"/>
        <rFont val="WenQuanYi Zen Hei"/>
        <family val="2"/>
      </rPr>
      <t xml:space="preserve">가 퇴거 석 달 뒤 세상을 떠났다는 소식</t>
    </r>
    <r>
      <rPr>
        <sz val="10"/>
        <rFont val="Arial"/>
        <family val="0"/>
        <charset val="1"/>
      </rPr>
      <t xml:space="preserve">. </t>
    </r>
    <r>
      <rPr>
        <sz val="10"/>
        <rFont val="WenQuanYi Zen Hei"/>
        <family val="2"/>
      </rPr>
      <t xml:space="preserve">손녀 </t>
    </r>
    <r>
      <rPr>
        <sz val="10"/>
        <rFont val="Arial"/>
        <family val="0"/>
        <charset val="1"/>
      </rPr>
      <t xml:space="preserve">Marina(</t>
    </r>
    <r>
      <rPr>
        <sz val="10"/>
        <rFont val="WenQuanYi Zen Hei"/>
        <family val="2"/>
      </rPr>
      <t xml:space="preserve">가상</t>
    </r>
    <r>
      <rPr>
        <sz val="10"/>
        <rFont val="Arial"/>
        <family val="0"/>
        <charset val="1"/>
      </rPr>
      <t xml:space="preserve">)</t>
    </r>
    <r>
      <rPr>
        <sz val="10"/>
        <rFont val="WenQuanYi Zen Hei"/>
        <family val="2"/>
      </rPr>
      <t xml:space="preserve">가 사무실로 찾아와 조용히 묻는다</t>
    </r>
    <r>
      <rPr>
        <sz val="10"/>
        <rFont val="Arial"/>
        <family val="0"/>
        <charset val="1"/>
      </rPr>
      <t xml:space="preserve">: «O senhor ganhou?»</t>
    </r>
  </si>
  <si>
    <t xml:space="preserve">조의·항의, 문서 vs 사람</t>
  </si>
  <si>
    <r>
      <rPr>
        <sz val="10"/>
        <rFont val="Arial"/>
        <family val="0"/>
        <charset val="1"/>
      </rPr>
      <t xml:space="preserve">Rafael, Marina(</t>
    </r>
    <r>
      <rPr>
        <sz val="10"/>
        <rFont val="WenQuanYi Zen Hei"/>
        <family val="2"/>
      </rPr>
      <t xml:space="preserve">가상</t>
    </r>
    <r>
      <rPr>
        <sz val="10"/>
        <rFont val="Arial"/>
        <family val="0"/>
        <charset val="1"/>
      </rPr>
      <t xml:space="preserve">)</t>
    </r>
  </si>
  <si>
    <t xml:space="preserve">결말·훅</t>
  </si>
  <si>
    <t xml:space="preserve">Sexta: a demissão</t>
  </si>
  <si>
    <t xml:space="preserve">금요일: 사직</t>
  </si>
  <si>
    <r>
      <rPr>
        <sz val="10"/>
        <rFont val="Arial"/>
        <family val="0"/>
        <charset val="1"/>
      </rPr>
      <t xml:space="preserve">(</t>
    </r>
    <r>
      <rPr>
        <sz val="10"/>
        <rFont val="WenQuanYi Zen Hei"/>
        <family val="2"/>
      </rPr>
      <t xml:space="preserve">프레임</t>
    </r>
    <r>
      <rPr>
        <sz val="10"/>
        <rFont val="Arial"/>
        <family val="0"/>
        <charset val="1"/>
      </rPr>
      <t xml:space="preserve">+</t>
    </r>
    <r>
      <rPr>
        <sz val="10"/>
        <rFont val="WenQuanYi Zen Hei"/>
        <family val="2"/>
      </rPr>
      <t xml:space="preserve">과거</t>
    </r>
    <r>
      <rPr>
        <sz val="10"/>
        <rFont val="Arial"/>
        <family val="0"/>
        <charset val="1"/>
      </rPr>
      <t xml:space="preserve">) Rafael</t>
    </r>
    <r>
      <rPr>
        <sz val="10"/>
        <rFont val="WenQuanYi Zen Hei"/>
        <family val="2"/>
      </rPr>
      <t xml:space="preserve">이 다음 포트폴리오 서명을 거부하고 사직서를 낸다</t>
    </r>
    <r>
      <rPr>
        <sz val="10"/>
        <rFont val="Arial"/>
        <family val="0"/>
        <charset val="1"/>
      </rPr>
      <t xml:space="preserve">. </t>
    </r>
    <r>
      <rPr>
        <sz val="10"/>
        <rFont val="WenQuanYi Zen Hei"/>
        <family val="2"/>
      </rPr>
      <t xml:space="preserve">짐 상자를 든 채 응급실 대기실에서 쓰러지고 </t>
    </r>
    <r>
      <rPr>
        <sz val="10"/>
        <rFont val="Arial"/>
        <family val="0"/>
        <charset val="1"/>
      </rPr>
      <t xml:space="preserve">Camila</t>
    </r>
    <r>
      <rPr>
        <sz val="10"/>
        <rFont val="WenQuanYi Zen Hei"/>
        <family val="2"/>
      </rPr>
      <t xml:space="preserve">가 그를 진료한다</t>
    </r>
    <r>
      <rPr>
        <sz val="10"/>
        <rFont val="Arial"/>
        <family val="0"/>
        <charset val="1"/>
      </rPr>
      <t xml:space="preserve">. Larissa</t>
    </r>
    <r>
      <rPr>
        <sz val="10"/>
        <rFont val="WenQuanYi Zen Hei"/>
        <family val="2"/>
      </rPr>
      <t xml:space="preserve">는 여전히 </t>
    </r>
    <r>
      <rPr>
        <sz val="10"/>
        <rFont val="Arial"/>
        <family val="0"/>
        <charset val="1"/>
      </rPr>
      <t xml:space="preserve">'o senhor'</t>
    </r>
    <r>
      <rPr>
        <sz val="10"/>
        <rFont val="WenQuanYi Zen Hei"/>
        <family val="2"/>
      </rPr>
      <t xml:space="preserve">를 쓴다</t>
    </r>
    <r>
      <rPr>
        <sz val="10"/>
        <rFont val="Arial"/>
        <family val="0"/>
        <charset val="1"/>
      </rPr>
      <t xml:space="preserve">.</t>
    </r>
  </si>
  <si>
    <t xml:space="preserve">사직·거절 표현, 접속법</t>
  </si>
  <si>
    <t xml:space="preserve">Rafael, Camila, Larissa, Marta</t>
  </si>
  <si>
    <t xml:space="preserve">Sexta: os nomes</t>
  </si>
  <si>
    <t xml:space="preserve">금요일: 이름들</t>
  </si>
  <si>
    <r>
      <rPr>
        <sz val="10"/>
        <rFont val="Arial"/>
        <family val="0"/>
        <charset val="1"/>
      </rPr>
      <t xml:space="preserve">(</t>
    </r>
    <r>
      <rPr>
        <sz val="10"/>
        <rFont val="WenQuanYi Zen Hei"/>
        <family val="2"/>
      </rPr>
      <t xml:space="preserve">프레임</t>
    </r>
    <r>
      <rPr>
        <sz val="10"/>
        <rFont val="Arial"/>
        <family val="0"/>
        <charset val="1"/>
      </rPr>
      <t xml:space="preserve">) Camila</t>
    </r>
    <r>
      <rPr>
        <sz val="10"/>
        <rFont val="WenQuanYi Zen Hei"/>
        <family val="2"/>
      </rPr>
      <t xml:space="preserve">가 </t>
    </r>
    <r>
      <rPr>
        <sz val="10"/>
        <rFont val="Arial"/>
        <family val="0"/>
        <charset val="1"/>
      </rPr>
      <t xml:space="preserve">«Isso não é estatística, é uma pessoa.»</t>
    </r>
    <r>
      <rPr>
        <sz val="10"/>
        <rFont val="WenQuanYi Zen Hei"/>
        <family val="2"/>
      </rPr>
      <t xml:space="preserve">라며 이야기를 시작한다</t>
    </r>
    <r>
      <rPr>
        <sz val="10"/>
        <rFont val="Arial"/>
        <family val="0"/>
        <charset val="1"/>
      </rPr>
      <t xml:space="preserve">. Dom Pedro</t>
    </r>
    <r>
      <rPr>
        <sz val="10"/>
        <rFont val="WenQuanYi Zen Hei"/>
        <family val="2"/>
      </rPr>
      <t xml:space="preserve">가 계단을 오르내리다 숨을 고르는 것을 </t>
    </r>
    <r>
      <rPr>
        <sz val="10"/>
        <rFont val="Arial"/>
        <family val="0"/>
        <charset val="1"/>
      </rPr>
      <t xml:space="preserve">Camila</t>
    </r>
    <r>
      <rPr>
        <sz val="10"/>
        <rFont val="WenQuanYi Zen Hei"/>
        <family val="2"/>
      </rPr>
      <t xml:space="preserve">가 흘끗 본다</t>
    </r>
    <r>
      <rPr>
        <sz val="10"/>
        <rFont val="Arial"/>
        <family val="0"/>
        <charset val="1"/>
      </rPr>
      <t xml:space="preserve">.</t>
    </r>
  </si>
  <si>
    <t xml:space="preserve">의학 어휘 도입</t>
  </si>
  <si>
    <t xml:space="preserve">Camila, Larissa, Dom Pedro, Marta</t>
  </si>
  <si>
    <t xml:space="preserve">Plantão noturno</t>
  </si>
  <si>
    <t xml:space="preserve">야간 당직</t>
  </si>
  <si>
    <r>
      <rPr>
        <sz val="10"/>
        <rFont val="Arial"/>
        <family val="0"/>
        <charset val="1"/>
      </rPr>
      <t xml:space="preserve">(</t>
    </r>
    <r>
      <rPr>
        <sz val="10"/>
        <rFont val="WenQuanYi Zen Hei"/>
        <family val="2"/>
      </rPr>
      <t xml:space="preserve">과거</t>
    </r>
    <r>
      <rPr>
        <sz val="10"/>
        <rFont val="Arial"/>
        <family val="0"/>
        <charset val="1"/>
      </rPr>
      <t xml:space="preserve">) São Bartolomeu </t>
    </r>
    <r>
      <rPr>
        <sz val="10"/>
        <rFont val="WenQuanYi Zen Hei"/>
        <family val="2"/>
      </rPr>
      <t xml:space="preserve">응급실</t>
    </r>
    <r>
      <rPr>
        <sz val="10"/>
        <rFont val="Arial"/>
        <family val="0"/>
        <charset val="1"/>
      </rPr>
      <t xml:space="preserve">(pronto-socorro)</t>
    </r>
    <r>
      <rPr>
        <sz val="10"/>
        <rFont val="WenQuanYi Zen Hei"/>
        <family val="2"/>
      </rPr>
      <t xml:space="preserve">의 야간 당직</t>
    </r>
    <r>
      <rPr>
        <sz val="10"/>
        <rFont val="Arial"/>
        <family val="0"/>
        <charset val="1"/>
      </rPr>
      <t xml:space="preserve">. </t>
    </r>
    <r>
      <rPr>
        <sz val="10"/>
        <rFont val="WenQuanYi Zen Hei"/>
        <family val="2"/>
      </rPr>
      <t xml:space="preserve">위험도 분류</t>
    </r>
    <r>
      <rPr>
        <sz val="10"/>
        <rFont val="Arial"/>
        <family val="0"/>
        <charset val="1"/>
      </rPr>
      <t xml:space="preserve">(</t>
    </r>
    <r>
      <rPr>
        <sz val="10"/>
        <rFont val="WenQuanYi Zen Hei"/>
        <family val="2"/>
      </rPr>
      <t xml:space="preserve">맨체스터 프로토콜</t>
    </r>
    <r>
      <rPr>
        <sz val="10"/>
        <rFont val="Arial"/>
        <family val="0"/>
        <charset val="1"/>
      </rPr>
      <t xml:space="preserve">), </t>
    </r>
    <r>
      <rPr>
        <sz val="10"/>
        <rFont val="WenQuanYi Zen Hei"/>
        <family val="2"/>
      </rPr>
      <t xml:space="preserve">병상</t>
    </r>
    <r>
      <rPr>
        <sz val="10"/>
        <rFont val="Arial"/>
        <family val="0"/>
        <charset val="1"/>
      </rPr>
      <t xml:space="preserve">, </t>
    </r>
    <r>
      <rPr>
        <sz val="10"/>
        <rFont val="WenQuanYi Zen Hei"/>
        <family val="2"/>
      </rPr>
      <t xml:space="preserve">간호사 </t>
    </r>
    <r>
      <rPr>
        <sz val="10"/>
        <rFont val="Arial"/>
        <family val="0"/>
        <charset val="1"/>
      </rPr>
      <t xml:space="preserve">Rosângela(</t>
    </r>
    <r>
      <rPr>
        <sz val="10"/>
        <rFont val="WenQuanYi Zen Hei"/>
        <family val="2"/>
      </rPr>
      <t xml:space="preserve">가상</t>
    </r>
    <r>
      <rPr>
        <sz val="10"/>
        <rFont val="Arial"/>
        <family val="0"/>
        <charset val="1"/>
      </rPr>
      <t xml:space="preserve">)</t>
    </r>
    <r>
      <rPr>
        <sz val="10"/>
        <rFont val="WenQuanYi Zen Hei"/>
        <family val="2"/>
      </rPr>
      <t xml:space="preserve">와의 호흡</t>
    </r>
    <r>
      <rPr>
        <sz val="10"/>
        <rFont val="Arial"/>
        <family val="0"/>
        <charset val="1"/>
      </rPr>
      <t xml:space="preserve">. </t>
    </r>
    <r>
      <rPr>
        <sz val="10"/>
        <rFont val="WenQuanYi Zen Hei"/>
        <family val="2"/>
      </rPr>
      <t xml:space="preserve">가슴 통증으로 실려 온 </t>
    </r>
    <r>
      <rPr>
        <sz val="10"/>
        <rFont val="Arial"/>
        <family val="0"/>
        <charset val="1"/>
      </rPr>
      <t xml:space="preserve">Rafael</t>
    </r>
    <r>
      <rPr>
        <sz val="10"/>
        <rFont val="WenQuanYi Zen Hei"/>
        <family val="2"/>
      </rPr>
      <t xml:space="preserve">을 진료한다</t>
    </r>
    <r>
      <rPr>
        <sz val="10"/>
        <rFont val="Arial"/>
        <family val="0"/>
        <charset val="1"/>
      </rPr>
      <t xml:space="preserve">.</t>
    </r>
  </si>
  <si>
    <t xml:space="preserve">classificação de risco, sinais vitais, maca, box</t>
  </si>
  <si>
    <r>
      <rPr>
        <sz val="10"/>
        <rFont val="Arial"/>
        <family val="0"/>
        <charset val="1"/>
      </rPr>
      <t xml:space="preserve">Camila, Rosângela(</t>
    </r>
    <r>
      <rPr>
        <sz val="10"/>
        <rFont val="WenQuanYi Zen Hei"/>
        <family val="2"/>
      </rPr>
      <t xml:space="preserve">가상</t>
    </r>
    <r>
      <rPr>
        <sz val="10"/>
        <rFont val="Arial"/>
        <family val="0"/>
        <charset val="1"/>
      </rPr>
      <t xml:space="preserve">), Rafael</t>
    </r>
  </si>
  <si>
    <t xml:space="preserve">A onda de calor</t>
  </si>
  <si>
    <t xml:space="preserve">폭염</t>
  </si>
  <si>
    <t xml:space="preserve">기록적 폭염에 고령 환자가 몰려 응급실이 넘친다. 산소·수액·얼음. Camila는 밤새 환자 이름을 외운다.</t>
  </si>
  <si>
    <t xml:space="preserve">열사병(insolação), 탈수, 고령 환자</t>
  </si>
  <si>
    <r>
      <rPr>
        <sz val="10"/>
        <rFont val="Arial"/>
        <family val="0"/>
        <charset val="1"/>
      </rPr>
      <t xml:space="preserve">Camila, Rosângela(</t>
    </r>
    <r>
      <rPr>
        <sz val="10"/>
        <rFont val="WenQuanYi Zen Hei"/>
        <family val="2"/>
      </rPr>
      <t xml:space="preserve">가상</t>
    </r>
    <r>
      <rPr>
        <sz val="10"/>
        <rFont val="Arial"/>
        <family val="0"/>
        <charset val="1"/>
      </rPr>
      <t xml:space="preserve">)</t>
    </r>
  </si>
  <si>
    <t xml:space="preserve">S4·S3</t>
  </si>
  <si>
    <t xml:space="preserve">Um contrato que ninguém lê</t>
  </si>
  <si>
    <t xml:space="preserve">아무도 읽지 않는 계약</t>
  </si>
  <si>
    <t xml:space="preserve">시가 병원 운영을 사회조직(OSS) Meridiano Saúde에 위탁한다고 발표한다. 원장 회의에서 컨설턴트 Juliana가 '효율' 발표를 한다.</t>
  </si>
  <si>
    <t xml:space="preserve">사회조직 위탁 운영(OSS, Lei 9.637/1998), 관리계약(contrato de gestão), 예산</t>
  </si>
  <si>
    <r>
      <rPr>
        <sz val="10"/>
        <rFont val="Arial"/>
        <family val="0"/>
        <charset val="1"/>
      </rPr>
      <t xml:space="preserve">Camila, </t>
    </r>
    <r>
      <rPr>
        <sz val="10"/>
        <rFont val="WenQuanYi Zen Hei"/>
        <family val="2"/>
      </rPr>
      <t xml:space="preserve">원장</t>
    </r>
    <r>
      <rPr>
        <sz val="10"/>
        <rFont val="Arial"/>
        <family val="0"/>
        <charset val="1"/>
      </rPr>
      <t xml:space="preserve">(</t>
    </r>
    <r>
      <rPr>
        <sz val="10"/>
        <rFont val="WenQuanYi Zen Hei"/>
        <family val="2"/>
      </rPr>
      <t xml:space="preserve">가상</t>
    </r>
    <r>
      <rPr>
        <sz val="10"/>
        <rFont val="Arial"/>
        <family val="0"/>
        <charset val="1"/>
      </rPr>
      <t xml:space="preserve">), Juliana</t>
    </r>
  </si>
  <si>
    <t xml:space="preserve">S3</t>
  </si>
  <si>
    <t xml:space="preserve">Sexta: a lista</t>
  </si>
  <si>
    <t xml:space="preserve">금요일: 명단</t>
  </si>
  <si>
    <r>
      <rPr>
        <sz val="10"/>
        <rFont val="Arial"/>
        <family val="0"/>
        <charset val="1"/>
      </rPr>
      <t xml:space="preserve">(</t>
    </r>
    <r>
      <rPr>
        <sz val="10"/>
        <rFont val="WenQuanYi Zen Hei"/>
        <family val="2"/>
      </rPr>
      <t xml:space="preserve">프레임</t>
    </r>
    <r>
      <rPr>
        <sz val="10"/>
        <rFont val="Arial"/>
        <family val="0"/>
        <charset val="1"/>
      </rPr>
      <t xml:space="preserve">) Larissa</t>
    </r>
    <r>
      <rPr>
        <sz val="10"/>
        <rFont val="WenQuanYi Zen Hei"/>
        <family val="2"/>
      </rPr>
      <t xml:space="preserve">가 </t>
    </r>
    <r>
      <rPr>
        <sz val="10"/>
        <rFont val="Arial"/>
        <family val="0"/>
        <charset val="1"/>
      </rPr>
      <t xml:space="preserve">Camila</t>
    </r>
    <r>
      <rPr>
        <sz val="10"/>
        <rFont val="WenQuanYi Zen Hei"/>
        <family val="2"/>
      </rPr>
      <t xml:space="preserve">의 수첩 명단을 본다</t>
    </r>
    <r>
      <rPr>
        <sz val="10"/>
        <rFont val="Arial"/>
        <family val="0"/>
        <charset val="1"/>
      </rPr>
      <t xml:space="preserve">. Camila</t>
    </r>
    <r>
      <rPr>
        <sz val="10"/>
        <rFont val="WenQuanYi Zen Hei"/>
        <family val="2"/>
      </rPr>
      <t xml:space="preserve">는 </t>
    </r>
    <r>
      <rPr>
        <sz val="10"/>
        <rFont val="Arial"/>
        <family val="0"/>
        <charset val="1"/>
      </rPr>
      <t xml:space="preserve">«Já vi coisa pior numa terça qualquer.»</t>
    </r>
    <r>
      <rPr>
        <sz val="10"/>
        <rFont val="WenQuanYi Zen Hei"/>
        <family val="2"/>
      </rPr>
      <t xml:space="preserve">로 넘긴다</t>
    </r>
    <r>
      <rPr>
        <sz val="10"/>
        <rFont val="Arial"/>
        <family val="0"/>
        <charset val="1"/>
      </rPr>
      <t xml:space="preserve">. Dom Pedro</t>
    </r>
    <r>
      <rPr>
        <sz val="10"/>
        <rFont val="WenQuanYi Zen Hei"/>
        <family val="2"/>
      </rPr>
      <t xml:space="preserve">는 발목이 부었냐는 물음에 </t>
    </r>
    <r>
      <rPr>
        <sz val="10"/>
        <rFont val="Arial"/>
        <family val="0"/>
        <charset val="1"/>
      </rPr>
      <t xml:space="preserve">«É o sapato.»</t>
    </r>
  </si>
  <si>
    <t xml:space="preserve">명단·숫자 읽기</t>
  </si>
  <si>
    <t xml:space="preserve">Camila, Larissa, Dom Pedro</t>
  </si>
  <si>
    <t xml:space="preserve">A primeira da lista</t>
  </si>
  <si>
    <t xml:space="preserve">명단의 첫 번째</t>
  </si>
  <si>
    <t xml:space="preserve">서류 없는 20대 볼리비아 출신 봉제 노동자가 패혈증으로 실려 오지만 병상 배정(regulação)이 아홉 시간 지연되어 숨진다. 위탁 업체가 '비용 검토' 중이었다. Camila가 수첩에 첫 이름을 쓴다.</t>
  </si>
  <si>
    <t xml:space="preserve">패혈증(sepse), 병상 배정 규제(regulação de vagas), SUS는 서류와 무관한 보편 접근권</t>
  </si>
  <si>
    <r>
      <rPr>
        <sz val="10"/>
        <rFont val="Arial"/>
        <family val="0"/>
        <charset val="1"/>
      </rPr>
      <t xml:space="preserve">Camila, Rosângela(</t>
    </r>
    <r>
      <rPr>
        <sz val="10"/>
        <rFont val="WenQuanYi Zen Hei"/>
        <family val="2"/>
      </rPr>
      <t xml:space="preserve">가상</t>
    </r>
    <r>
      <rPr>
        <sz val="10"/>
        <rFont val="Arial"/>
        <family val="0"/>
        <charset val="1"/>
      </rPr>
      <t xml:space="preserve">), </t>
    </r>
    <r>
      <rPr>
        <sz val="10"/>
        <rFont val="WenQuanYi Zen Hei"/>
        <family val="2"/>
      </rPr>
      <t xml:space="preserve">원장</t>
    </r>
    <r>
      <rPr>
        <sz val="10"/>
        <rFont val="Arial"/>
        <family val="0"/>
        <charset val="1"/>
      </rPr>
      <t xml:space="preserve">(</t>
    </r>
    <r>
      <rPr>
        <sz val="10"/>
        <rFont val="WenQuanYi Zen Hei"/>
        <family val="2"/>
      </rPr>
      <t xml:space="preserve">가상</t>
    </r>
    <r>
      <rPr>
        <sz val="10"/>
        <rFont val="Arial"/>
        <family val="0"/>
        <charset val="1"/>
      </rPr>
      <t xml:space="preserve">)</t>
    </r>
  </si>
  <si>
    <t xml:space="preserve">S2·S3</t>
  </si>
  <si>
    <t xml:space="preserve">Os números do diretor</t>
  </si>
  <si>
    <t xml:space="preserve">원장의 숫자</t>
  </si>
  <si>
    <t xml:space="preserve">원장이 '대기 시간 개선' 통계를 발표한다. 위탁 업체의 재무를 자문하는 Bruno가 배석한다. Camila가 내부 사망 사례 보고서를 제출한다.</t>
  </si>
  <si>
    <t xml:space="preserve">통계 읽기, 보고서 어휘</t>
  </si>
  <si>
    <r>
      <rPr>
        <sz val="10"/>
        <rFont val="Arial"/>
        <family val="0"/>
        <charset val="1"/>
      </rPr>
      <t xml:space="preserve">Camila, </t>
    </r>
    <r>
      <rPr>
        <sz val="10"/>
        <rFont val="WenQuanYi Zen Hei"/>
        <family val="2"/>
      </rPr>
      <t xml:space="preserve">원장</t>
    </r>
    <r>
      <rPr>
        <sz val="10"/>
        <rFont val="Arial"/>
        <family val="0"/>
        <charset val="1"/>
      </rPr>
      <t xml:space="preserve">(</t>
    </r>
    <r>
      <rPr>
        <sz val="10"/>
        <rFont val="WenQuanYi Zen Hei"/>
        <family val="2"/>
      </rPr>
      <t xml:space="preserve">가상</t>
    </r>
    <r>
      <rPr>
        <sz val="10"/>
        <rFont val="Arial"/>
        <family val="0"/>
        <charset val="1"/>
      </rPr>
      <t xml:space="preserve">), Bruno</t>
    </r>
  </si>
  <si>
    <t xml:space="preserve">P3</t>
  </si>
  <si>
    <t xml:space="preserve">A sindicância</t>
  </si>
  <si>
    <t xml:space="preserve">징계 조사</t>
  </si>
  <si>
    <t xml:space="preserve">보고서 유출 의혹으로 징계 조사(sindicância)가 시작된다. 취재하는 Dumont에게 Camila가 «Isso não sai daqui.»라는 말을 듣는다.</t>
  </si>
  <si>
    <t xml:space="preserve">징계 조사·행정 징계 절차(PAD), 의료윤리(CRM), 비밀유지</t>
  </si>
  <si>
    <r>
      <rPr>
        <sz val="10"/>
        <rFont val="Arial"/>
        <family val="0"/>
        <charset val="1"/>
      </rPr>
      <t xml:space="preserve">Camila, Dumont, </t>
    </r>
    <r>
      <rPr>
        <sz val="10"/>
        <rFont val="WenQuanYi Zen Hei"/>
        <family val="2"/>
      </rPr>
      <t xml:space="preserve">원장</t>
    </r>
    <r>
      <rPr>
        <sz val="10"/>
        <rFont val="Arial"/>
        <family val="0"/>
        <charset val="1"/>
      </rPr>
      <t xml:space="preserve">(</t>
    </r>
    <r>
      <rPr>
        <sz val="10"/>
        <rFont val="WenQuanYi Zen Hei"/>
        <family val="2"/>
      </rPr>
      <t xml:space="preserve">가상</t>
    </r>
    <r>
      <rPr>
        <sz val="10"/>
        <rFont val="Arial"/>
        <family val="0"/>
        <charset val="1"/>
      </rPr>
      <t xml:space="preserve">)</t>
    </r>
  </si>
  <si>
    <t xml:space="preserve">Sexta: e como isso faz você se sentir?</t>
  </si>
  <si>
    <t xml:space="preserve">금요일: 기분이 어때요?</t>
  </si>
  <si>
    <r>
      <rPr>
        <sz val="10"/>
        <rFont val="Arial"/>
        <family val="0"/>
        <charset val="1"/>
      </rPr>
      <t xml:space="preserve">(</t>
    </r>
    <r>
      <rPr>
        <sz val="10"/>
        <rFont val="WenQuanYi Zen Hei"/>
        <family val="2"/>
      </rPr>
      <t xml:space="preserve">프레임</t>
    </r>
    <r>
      <rPr>
        <sz val="10"/>
        <rFont val="Arial"/>
        <family val="0"/>
        <charset val="1"/>
      </rPr>
      <t xml:space="preserve">) Isabel</t>
    </r>
    <r>
      <rPr>
        <sz val="10"/>
        <rFont val="WenQuanYi Zen Hei"/>
        <family val="2"/>
      </rPr>
      <t xml:space="preserve">이 </t>
    </r>
    <r>
      <rPr>
        <sz val="10"/>
        <rFont val="Arial"/>
        <family val="0"/>
        <charset val="1"/>
      </rPr>
      <t xml:space="preserve">Camila</t>
    </r>
    <r>
      <rPr>
        <sz val="10"/>
        <rFont val="WenQuanYi Zen Hei"/>
        <family val="2"/>
      </rPr>
      <t xml:space="preserve">에게 감정을 되묻는다</t>
    </r>
    <r>
      <rPr>
        <sz val="10"/>
        <rFont val="Arial"/>
        <family val="0"/>
        <charset val="1"/>
      </rPr>
      <t xml:space="preserve">. Camila</t>
    </r>
    <r>
      <rPr>
        <sz val="10"/>
        <rFont val="WenQuanYi Zen Hei"/>
        <family val="2"/>
      </rPr>
      <t xml:space="preserve">는 </t>
    </r>
    <r>
      <rPr>
        <sz val="10"/>
        <rFont val="Arial"/>
        <family val="0"/>
        <charset val="1"/>
      </rPr>
      <t xml:space="preserve">«Primeiro, respira.»</t>
    </r>
    <r>
      <rPr>
        <sz val="10"/>
        <rFont val="WenQuanYi Zen Hei"/>
        <family val="2"/>
      </rPr>
      <t xml:space="preserve">로 받아친다</t>
    </r>
    <r>
      <rPr>
        <sz val="10"/>
        <rFont val="Arial"/>
        <family val="0"/>
        <charset val="1"/>
      </rPr>
      <t xml:space="preserve">. Larissa</t>
    </r>
    <r>
      <rPr>
        <sz val="10"/>
        <rFont val="WenQuanYi Zen Hei"/>
        <family val="2"/>
      </rPr>
      <t xml:space="preserve">가 </t>
    </r>
    <r>
      <rPr>
        <sz val="10"/>
        <rFont val="Arial"/>
        <family val="0"/>
        <charset val="1"/>
      </rPr>
      <t xml:space="preserve">Isabel</t>
    </r>
    <r>
      <rPr>
        <sz val="10"/>
        <rFont val="WenQuanYi Zen Hei"/>
        <family val="2"/>
      </rPr>
      <t xml:space="preserve">의 화법을 흉내 낸다</t>
    </r>
    <r>
      <rPr>
        <sz val="10"/>
        <rFont val="Arial"/>
        <family val="0"/>
        <charset val="1"/>
      </rPr>
      <t xml:space="preserve">.</t>
    </r>
  </si>
  <si>
    <t xml:space="preserve">감정 표현, 되받기 화법</t>
  </si>
  <si>
    <t xml:space="preserve">Camila, Isabel, Larissa</t>
  </si>
  <si>
    <t xml:space="preserve">Uma noite sem leitos</t>
  </si>
  <si>
    <t xml:space="preserve">병상 없는 밤</t>
  </si>
  <si>
    <t xml:space="preserve">버스 사고와 폭염이 겹친 밤. 병상이 없어 복도까지 환자가 찬다. Camila가 즉흥으로 일곱 명을 살리고 한 명을 잃는다.</t>
  </si>
  <si>
    <t xml:space="preserve">다수 사상자(múltiplas vítimas), 우선순위, 명령형</t>
  </si>
  <si>
    <t xml:space="preserve">S4</t>
  </si>
  <si>
    <t xml:space="preserve">A demissão da doutora</t>
  </si>
  <si>
    <t xml:space="preserve">의사의 사직</t>
  </si>
  <si>
    <t xml:space="preserve">징계 통보와 마지막 근무. 수첩을 덮고 사직서를 낸다. Rosângela가 «Doutora, não vai embora.»</t>
  </si>
  <si>
    <t xml:space="preserve">사직서, 작별</t>
  </si>
  <si>
    <t xml:space="preserve">Sexta: uma assinatura</t>
  </si>
  <si>
    <t xml:space="preserve">금요일: 한 사람의 서명</t>
  </si>
  <si>
    <r>
      <rPr>
        <sz val="10"/>
        <rFont val="Arial"/>
        <family val="0"/>
        <charset val="1"/>
      </rPr>
      <t xml:space="preserve">(</t>
    </r>
    <r>
      <rPr>
        <sz val="10"/>
        <rFont val="WenQuanYi Zen Hei"/>
        <family val="2"/>
      </rPr>
      <t xml:space="preserve">프레임</t>
    </r>
    <r>
      <rPr>
        <sz val="10"/>
        <rFont val="Arial"/>
        <family val="0"/>
        <charset val="1"/>
      </rPr>
      <t xml:space="preserve">) Camila</t>
    </r>
    <r>
      <rPr>
        <sz val="10"/>
        <rFont val="WenQuanYi Zen Hei"/>
        <family val="2"/>
      </rPr>
      <t xml:space="preserve">가 </t>
    </r>
    <r>
      <rPr>
        <sz val="10"/>
        <rFont val="Arial"/>
        <family val="0"/>
        <charset val="1"/>
      </rPr>
      <t xml:space="preserve">«O parecer da auditoria do contrato tinha uma assinatura.»</t>
    </r>
    <r>
      <rPr>
        <sz val="10"/>
        <rFont val="WenQuanYi Zen Hei"/>
        <family val="2"/>
      </rPr>
      <t xml:space="preserve">라고 말한다</t>
    </r>
    <r>
      <rPr>
        <sz val="10"/>
        <rFont val="Arial"/>
        <family val="0"/>
        <charset val="1"/>
      </rPr>
      <t xml:space="preserve">. Bruno</t>
    </r>
    <r>
      <rPr>
        <sz val="10"/>
        <rFont val="WenQuanYi Zen Hei"/>
        <family val="2"/>
      </rPr>
      <t xml:space="preserve">가 조용히 </t>
    </r>
    <r>
      <rPr>
        <sz val="10"/>
        <rFont val="Arial"/>
        <family val="0"/>
        <charset val="1"/>
      </rPr>
      <t xml:space="preserve">«Minha vez.»</t>
    </r>
  </si>
  <si>
    <t xml:space="preserve">서명·책임 표현</t>
  </si>
  <si>
    <t xml:space="preserve">Camila, Bruno, Larissa, Dom Pedro</t>
  </si>
  <si>
    <t xml:space="preserve">Sexta: eu assinei</t>
  </si>
  <si>
    <t xml:space="preserve">금요일: 내가 서명했다</t>
  </si>
  <si>
    <r>
      <rPr>
        <sz val="10"/>
        <rFont val="Arial"/>
        <family val="0"/>
        <charset val="1"/>
      </rPr>
      <t xml:space="preserve">(</t>
    </r>
    <r>
      <rPr>
        <sz val="10"/>
        <rFont val="WenQuanYi Zen Hei"/>
        <family val="2"/>
      </rPr>
      <t xml:space="preserve">프레임</t>
    </r>
    <r>
      <rPr>
        <sz val="10"/>
        <rFont val="Arial"/>
        <family val="0"/>
        <charset val="1"/>
      </rPr>
      <t xml:space="preserve">) Bruno</t>
    </r>
    <r>
      <rPr>
        <sz val="10"/>
        <rFont val="WenQuanYi Zen Hei"/>
        <family val="2"/>
      </rPr>
      <t xml:space="preserve">가 </t>
    </r>
    <r>
      <rPr>
        <sz val="10"/>
        <rFont val="Arial"/>
        <family val="0"/>
        <charset val="1"/>
      </rPr>
      <t xml:space="preserve">«Deixa eu ver os papéis.»</t>
    </r>
    <r>
      <rPr>
        <sz val="10"/>
        <rFont val="WenQuanYi Zen Hei"/>
        <family val="2"/>
      </rPr>
      <t xml:space="preserve">를 습관처럼 하다가 </t>
    </r>
    <r>
      <rPr>
        <sz val="10"/>
        <rFont val="Arial"/>
        <family val="0"/>
        <charset val="1"/>
      </rPr>
      <t xml:space="preserve">«Eu assinei.»</t>
    </r>
    <r>
      <rPr>
        <sz val="10"/>
        <rFont val="WenQuanYi Zen Hei"/>
        <family val="2"/>
      </rPr>
      <t xml:space="preserve">라고 시작한다</t>
    </r>
    <r>
      <rPr>
        <sz val="10"/>
        <rFont val="Arial"/>
        <family val="0"/>
        <charset val="1"/>
      </rPr>
      <t xml:space="preserve">. Larissa</t>
    </r>
    <r>
      <rPr>
        <sz val="10"/>
        <rFont val="WenQuanYi Zen Hei"/>
        <family val="2"/>
      </rPr>
      <t xml:space="preserve">가 숫자를 못 읽어 질문한다</t>
    </r>
    <r>
      <rPr>
        <sz val="10"/>
        <rFont val="Arial"/>
        <family val="0"/>
        <charset val="1"/>
      </rPr>
      <t xml:space="preserve">.</t>
    </r>
  </si>
  <si>
    <t xml:space="preserve">회계 어휘 도입</t>
  </si>
  <si>
    <t xml:space="preserve">Bruno, Larissa, Camila, Dom Pedro</t>
  </si>
  <si>
    <t xml:space="preserve">Fechamento do exercício</t>
  </si>
  <si>
    <t xml:space="preserve">결산 마감</t>
  </si>
  <si>
    <r>
      <rPr>
        <sz val="10"/>
        <rFont val="Arial"/>
        <family val="0"/>
        <charset val="1"/>
      </rPr>
      <t xml:space="preserve">(</t>
    </r>
    <r>
      <rPr>
        <sz val="10"/>
        <rFont val="WenQuanYi Zen Hei"/>
        <family val="2"/>
      </rPr>
      <t xml:space="preserve">과거</t>
    </r>
    <r>
      <rPr>
        <sz val="10"/>
        <rFont val="Arial"/>
        <family val="0"/>
        <charset val="1"/>
      </rPr>
      <t xml:space="preserve">) Barros &amp; Teixeira</t>
    </r>
    <r>
      <rPr>
        <sz val="10"/>
        <rFont val="WenQuanYi Zen Hei"/>
        <family val="2"/>
      </rPr>
      <t xml:space="preserve">의 결산 감사 마감 주간</t>
    </r>
    <r>
      <rPr>
        <sz val="10"/>
        <rFont val="Arial"/>
        <family val="0"/>
        <charset val="1"/>
      </rPr>
      <t xml:space="preserve">. </t>
    </r>
    <r>
      <rPr>
        <sz val="10"/>
        <rFont val="WenQuanYi Zen Hei"/>
        <family val="2"/>
      </rPr>
      <t xml:space="preserve">표본추출</t>
    </r>
    <r>
      <rPr>
        <sz val="10"/>
        <rFont val="Arial"/>
        <family val="0"/>
        <charset val="1"/>
      </rPr>
      <t xml:space="preserve">(amostragem)</t>
    </r>
    <r>
      <rPr>
        <sz val="10"/>
        <rFont val="WenQuanYi Zen Hei"/>
        <family val="2"/>
      </rPr>
      <t xml:space="preserve">과 중요성</t>
    </r>
    <r>
      <rPr>
        <sz val="10"/>
        <rFont val="Arial"/>
        <family val="0"/>
        <charset val="1"/>
      </rPr>
      <t xml:space="preserve">(materialidade). Bruno</t>
    </r>
    <r>
      <rPr>
        <sz val="10"/>
        <rFont val="WenQuanYi Zen Hei"/>
        <family val="2"/>
      </rPr>
      <t xml:space="preserve">의 정확성과 냉소</t>
    </r>
    <r>
      <rPr>
        <sz val="10"/>
        <rFont val="Arial"/>
        <family val="0"/>
        <charset val="1"/>
      </rPr>
      <t xml:space="preserve">.</t>
    </r>
  </si>
  <si>
    <t xml:space="preserve">감사 절차 어휘</t>
  </si>
  <si>
    <r>
      <rPr>
        <sz val="10"/>
        <rFont val="Arial"/>
        <family val="0"/>
        <charset val="1"/>
      </rPr>
      <t xml:space="preserve">Bruno, Barros(</t>
    </r>
    <r>
      <rPr>
        <sz val="10"/>
        <rFont val="WenQuanYi Zen Hei"/>
        <family val="2"/>
      </rPr>
      <t xml:space="preserve">가상</t>
    </r>
    <r>
      <rPr>
        <sz val="10"/>
        <rFont val="Arial"/>
        <family val="0"/>
        <charset val="1"/>
      </rPr>
      <t xml:space="preserve">), </t>
    </r>
    <r>
      <rPr>
        <sz val="10"/>
        <rFont val="WenQuanYi Zen Hei"/>
        <family val="2"/>
      </rPr>
      <t xml:space="preserve">후배 감사인</t>
    </r>
    <r>
      <rPr>
        <sz val="10"/>
        <rFont val="Arial"/>
        <family val="0"/>
        <charset val="1"/>
      </rPr>
      <t xml:space="preserve">(</t>
    </r>
    <r>
      <rPr>
        <sz val="10"/>
        <rFont val="WenQuanYi Zen Hei"/>
        <family val="2"/>
      </rPr>
      <t xml:space="preserve">가상</t>
    </r>
    <r>
      <rPr>
        <sz val="10"/>
        <rFont val="Arial"/>
        <family val="0"/>
        <charset val="1"/>
      </rPr>
      <t xml:space="preserve">)</t>
    </r>
  </si>
  <si>
    <t xml:space="preserve">O cliente que paga bem</t>
  </si>
  <si>
    <t xml:space="preserve">돈 잘 주는 고객</t>
  </si>
  <si>
    <r>
      <rPr>
        <sz val="10"/>
        <rFont val="Arial"/>
        <family val="0"/>
        <charset val="1"/>
      </rPr>
      <t xml:space="preserve">Grupo Meridiano</t>
    </r>
    <r>
      <rPr>
        <sz val="10"/>
        <rFont val="WenQuanYi Zen Hei"/>
        <family val="2"/>
      </rPr>
      <t xml:space="preserve">가 회사 수임료의 </t>
    </r>
    <r>
      <rPr>
        <sz val="10"/>
        <rFont val="Arial"/>
        <family val="0"/>
        <charset val="1"/>
      </rPr>
      <t xml:space="preserve">15%</t>
    </r>
    <r>
      <rPr>
        <sz val="10"/>
        <rFont val="WenQuanYi Zen Hei"/>
        <family val="2"/>
      </rPr>
      <t xml:space="preserve">를 차지한다</t>
    </r>
    <r>
      <rPr>
        <sz val="10"/>
        <rFont val="Arial"/>
        <family val="0"/>
        <charset val="1"/>
      </rPr>
      <t xml:space="preserve">. </t>
    </r>
    <r>
      <rPr>
        <sz val="10"/>
        <rFont val="WenQuanYi Zen Hei"/>
        <family val="2"/>
      </rPr>
      <t xml:space="preserve">독립성과 감사인 순환 규정이 문제가 된다</t>
    </r>
    <r>
      <rPr>
        <sz val="10"/>
        <rFont val="Arial"/>
        <family val="0"/>
        <charset val="1"/>
      </rPr>
      <t xml:space="preserve">. Barros</t>
    </r>
    <r>
      <rPr>
        <sz val="10"/>
        <rFont val="WenQuanYi Zen Hei"/>
        <family val="2"/>
      </rPr>
      <t xml:space="preserve">는 </t>
    </r>
    <r>
      <rPr>
        <sz val="10"/>
        <rFont val="Arial"/>
        <family val="0"/>
        <charset val="1"/>
      </rPr>
      <t xml:space="preserve">'</t>
    </r>
    <r>
      <rPr>
        <sz val="10"/>
        <rFont val="WenQuanYi Zen Hei"/>
        <family val="2"/>
      </rPr>
      <t xml:space="preserve">관계</t>
    </r>
    <r>
      <rPr>
        <sz val="10"/>
        <rFont val="Arial"/>
        <family val="0"/>
        <charset val="1"/>
      </rPr>
      <t xml:space="preserve">'</t>
    </r>
    <r>
      <rPr>
        <sz val="10"/>
        <rFont val="WenQuanYi Zen Hei"/>
        <family val="2"/>
      </rPr>
      <t xml:space="preserve">를 강조한다</t>
    </r>
    <r>
      <rPr>
        <sz val="10"/>
        <rFont val="Arial"/>
        <family val="0"/>
        <charset val="1"/>
      </rPr>
      <t xml:space="preserve">.</t>
    </r>
  </si>
  <si>
    <t xml:space="preserve">독립성, 수임료 집중, 감사인 순환(CVM 규정)</t>
  </si>
  <si>
    <r>
      <rPr>
        <sz val="10"/>
        <rFont val="Arial"/>
        <family val="0"/>
        <charset val="1"/>
      </rPr>
      <t xml:space="preserve">Bruno, Barros(</t>
    </r>
    <r>
      <rPr>
        <sz val="10"/>
        <rFont val="WenQuanYi Zen Hei"/>
        <family val="2"/>
      </rPr>
      <t xml:space="preserve">가상</t>
    </r>
    <r>
      <rPr>
        <sz val="10"/>
        <rFont val="Arial"/>
        <family val="0"/>
        <charset val="1"/>
      </rPr>
      <t xml:space="preserve">)</t>
    </r>
  </si>
  <si>
    <t xml:space="preserve">Isso não fecha</t>
  </si>
  <si>
    <t xml:space="preserve">이건 안 맞아</t>
  </si>
  <si>
    <t xml:space="preserve">특수관계자 대출이 케이맨 제도의 펀드로 흘러간 흔적. 은행 자료를 보내 준 Sérgio가 «Siga o dinheiro.»</t>
  </si>
  <si>
    <t xml:space="preserve">특수관계자 거래, 조세 회피처, 역외 펀드</t>
  </si>
  <si>
    <t xml:space="preserve">Bruno, Sérgio</t>
  </si>
  <si>
    <t xml:space="preserve">Sexta: o pai do Bruno</t>
  </si>
  <si>
    <t xml:space="preserve">금요일: Bruno의 아버지</t>
  </si>
  <si>
    <r>
      <rPr>
        <sz val="10"/>
        <rFont val="Arial"/>
        <family val="0"/>
        <charset val="1"/>
      </rPr>
      <t xml:space="preserve">(</t>
    </r>
    <r>
      <rPr>
        <sz val="10"/>
        <rFont val="WenQuanYi Zen Hei"/>
        <family val="2"/>
      </rPr>
      <t xml:space="preserve">프레임</t>
    </r>
    <r>
      <rPr>
        <sz val="10"/>
        <rFont val="Arial"/>
        <family val="0"/>
        <charset val="1"/>
      </rPr>
      <t xml:space="preserve">) </t>
    </r>
    <r>
      <rPr>
        <sz val="10"/>
        <rFont val="WenQuanYi Zen Hei"/>
        <family val="2"/>
      </rPr>
      <t xml:space="preserve">정직한 장부를 지키다 해고된 아버지 이야기</t>
    </r>
    <r>
      <rPr>
        <sz val="10"/>
        <rFont val="Arial"/>
        <family val="0"/>
        <charset val="1"/>
      </rPr>
      <t xml:space="preserve">. «Mostra os números e eu digo quem você é.»</t>
    </r>
    <r>
      <rPr>
        <sz val="10"/>
        <rFont val="WenQuanYi Zen Hei"/>
        <family val="2"/>
      </rPr>
      <t xml:space="preserve">의 기원</t>
    </r>
    <r>
      <rPr>
        <sz val="10"/>
        <rFont val="Arial"/>
        <family val="0"/>
        <charset val="1"/>
      </rPr>
      <t xml:space="preserve">.</t>
    </r>
  </si>
  <si>
    <t xml:space="preserve">가족 이야기, 과거</t>
  </si>
  <si>
    <t xml:space="preserve">Bruno, Larissa, Marta</t>
  </si>
  <si>
    <t xml:space="preserve">A reunião de sócios</t>
  </si>
  <si>
    <t xml:space="preserve">파트너 회의</t>
  </si>
  <si>
    <r>
      <rPr>
        <sz val="10"/>
        <rFont val="Arial"/>
        <family val="0"/>
        <charset val="1"/>
      </rPr>
      <t xml:space="preserve">Bruno</t>
    </r>
    <r>
      <rPr>
        <sz val="10"/>
        <rFont val="WenQuanYi Zen Hei"/>
        <family val="2"/>
      </rPr>
      <t xml:space="preserve">가 </t>
    </r>
    <r>
      <rPr>
        <sz val="10"/>
        <rFont val="Arial"/>
        <family val="0"/>
        <charset val="1"/>
      </rPr>
      <t xml:space="preserve">'</t>
    </r>
    <r>
      <rPr>
        <sz val="10"/>
        <rFont val="WenQuanYi Zen Hei"/>
        <family val="2"/>
      </rPr>
      <t xml:space="preserve">한정 의견</t>
    </r>
    <r>
      <rPr>
        <sz val="10"/>
        <rFont val="Arial"/>
        <family val="0"/>
        <charset val="1"/>
      </rPr>
      <t xml:space="preserve">(com ressalva)'</t>
    </r>
    <r>
      <rPr>
        <sz val="10"/>
        <rFont val="WenQuanYi Zen Hei"/>
        <family val="2"/>
      </rPr>
      <t xml:space="preserve">을 주장하자 파트너들이 승진과 고객 유지를 들어 설득한다</t>
    </r>
    <r>
      <rPr>
        <sz val="10"/>
        <rFont val="Arial"/>
        <family val="0"/>
        <charset val="1"/>
      </rPr>
      <t xml:space="preserve">. Bruno</t>
    </r>
    <r>
      <rPr>
        <sz val="10"/>
        <rFont val="WenQuanYi Zen Hei"/>
        <family val="2"/>
      </rPr>
      <t xml:space="preserve">는 리스크 위원회로 사안을 올린다</t>
    </r>
    <r>
      <rPr>
        <sz val="10"/>
        <rFont val="Arial"/>
        <family val="0"/>
        <charset val="1"/>
      </rPr>
      <t xml:space="preserve">.</t>
    </r>
  </si>
  <si>
    <t xml:space="preserve">의견 종류: sem ressalva, com ressalva, adversa, abstenção de opinião</t>
  </si>
  <si>
    <r>
      <rPr>
        <sz val="10"/>
        <rFont val="Arial"/>
        <family val="0"/>
        <charset val="1"/>
      </rPr>
      <t xml:space="preserve">Bruno, Barros(</t>
    </r>
    <r>
      <rPr>
        <sz val="10"/>
        <rFont val="WenQuanYi Zen Hei"/>
        <family val="2"/>
      </rPr>
      <t xml:space="preserve">가상</t>
    </r>
    <r>
      <rPr>
        <sz val="10"/>
        <rFont val="Arial"/>
        <family val="0"/>
        <charset val="1"/>
      </rPr>
      <t xml:space="preserve">), </t>
    </r>
    <r>
      <rPr>
        <sz val="10"/>
        <rFont val="WenQuanYi Zen Hei"/>
        <family val="2"/>
      </rPr>
      <t xml:space="preserve">파트너들</t>
    </r>
  </si>
  <si>
    <t xml:space="preserve">O comitê de riscos</t>
  </si>
  <si>
    <t xml:space="preserve">리스크 위원회</t>
  </si>
  <si>
    <r>
      <rPr>
        <sz val="10"/>
        <rFont val="Arial"/>
        <family val="0"/>
        <charset val="1"/>
      </rPr>
      <t xml:space="preserve">GM </t>
    </r>
    <r>
      <rPr>
        <sz val="10"/>
        <rFont val="WenQuanYi Zen Hei"/>
        <family val="2"/>
      </rPr>
      <t xml:space="preserve">측 변호사 서한이 도착한다</t>
    </r>
    <r>
      <rPr>
        <sz val="10"/>
        <rFont val="Arial"/>
        <family val="0"/>
        <charset val="1"/>
      </rPr>
      <t xml:space="preserve">(</t>
    </r>
    <r>
      <rPr>
        <sz val="10"/>
        <rFont val="WenQuanYi Zen Hei"/>
        <family val="2"/>
      </rPr>
      <t xml:space="preserve">고객 측 변호사는 </t>
    </r>
    <r>
      <rPr>
        <sz val="10"/>
        <rFont val="Arial"/>
        <family val="0"/>
        <charset val="1"/>
      </rPr>
      <t xml:space="preserve">Rafael</t>
    </r>
    <r>
      <rPr>
        <sz val="10"/>
        <rFont val="WenQuanYi Zen Hei"/>
        <family val="2"/>
      </rPr>
      <t xml:space="preserve">의 옛 동료</t>
    </r>
    <r>
      <rPr>
        <sz val="10"/>
        <rFont val="Arial"/>
        <family val="0"/>
        <charset val="1"/>
      </rPr>
      <t xml:space="preserve">). </t>
    </r>
    <r>
      <rPr>
        <sz val="10"/>
        <rFont val="WenQuanYi Zen Hei"/>
        <family val="2"/>
      </rPr>
      <t xml:space="preserve">위원회는 </t>
    </r>
    <r>
      <rPr>
        <sz val="10"/>
        <rFont val="Arial"/>
        <family val="0"/>
        <charset val="1"/>
      </rPr>
      <t xml:space="preserve">'</t>
    </r>
    <r>
      <rPr>
        <sz val="10"/>
        <rFont val="WenQuanYi Zen Hei"/>
        <family val="2"/>
      </rPr>
      <t xml:space="preserve">증거 불충분</t>
    </r>
    <r>
      <rPr>
        <sz val="10"/>
        <rFont val="Arial"/>
        <family val="0"/>
        <charset val="1"/>
      </rPr>
      <t xml:space="preserve">'</t>
    </r>
    <r>
      <rPr>
        <sz val="10"/>
        <rFont val="WenQuanYi Zen Hei"/>
        <family val="2"/>
      </rPr>
      <t xml:space="preserve">으로 결정한다</t>
    </r>
    <r>
      <rPr>
        <sz val="10"/>
        <rFont val="Arial"/>
        <family val="0"/>
        <charset val="1"/>
      </rPr>
      <t xml:space="preserve">.</t>
    </r>
  </si>
  <si>
    <t xml:space="preserve">변호사 서한(notificação extrajudicial), 충분한 증거</t>
  </si>
  <si>
    <r>
      <rPr>
        <sz val="10"/>
        <rFont val="Arial"/>
        <family val="0"/>
        <charset val="1"/>
      </rPr>
      <t xml:space="preserve">Bruno, </t>
    </r>
    <r>
      <rPr>
        <sz val="10"/>
        <rFont val="WenQuanYi Zen Hei"/>
        <family val="2"/>
      </rPr>
      <t xml:space="preserve">위원회</t>
    </r>
    <r>
      <rPr>
        <sz val="10"/>
        <rFont val="Arial"/>
        <family val="0"/>
        <charset val="1"/>
      </rPr>
      <t xml:space="preserve">(</t>
    </r>
    <r>
      <rPr>
        <sz val="10"/>
        <rFont val="WenQuanYi Zen Hei"/>
        <family val="2"/>
      </rPr>
      <t xml:space="preserve">가상</t>
    </r>
    <r>
      <rPr>
        <sz val="10"/>
        <rFont val="Arial"/>
        <family val="0"/>
        <charset val="1"/>
      </rPr>
      <t xml:space="preserve">)</t>
    </r>
  </si>
  <si>
    <t xml:space="preserve">Um almoço nos Jardins</t>
  </si>
  <si>
    <t xml:space="preserve">자르딘스의 점심</t>
  </si>
  <si>
    <r>
      <rPr>
        <sz val="10"/>
        <rFont val="Arial"/>
        <family val="0"/>
        <charset val="1"/>
      </rPr>
      <t xml:space="preserve">Quintela</t>
    </r>
    <r>
      <rPr>
        <sz val="10"/>
        <rFont val="WenQuanYi Zen Hei"/>
        <family val="2"/>
      </rPr>
      <t xml:space="preserve">가 </t>
    </r>
    <r>
      <rPr>
        <sz val="10"/>
        <rFont val="Arial"/>
        <family val="0"/>
        <charset val="1"/>
      </rPr>
      <t xml:space="preserve">Bruno</t>
    </r>
    <r>
      <rPr>
        <sz val="10"/>
        <rFont val="WenQuanYi Zen Hei"/>
        <family val="2"/>
      </rPr>
      <t xml:space="preserve">에게 점심을 산다</t>
    </r>
    <r>
      <rPr>
        <sz val="10"/>
        <rFont val="Arial"/>
        <family val="0"/>
        <charset val="1"/>
      </rPr>
      <t xml:space="preserve">. </t>
    </r>
    <r>
      <rPr>
        <sz val="10"/>
        <rFont val="WenQuanYi Zen Hei"/>
        <family val="2"/>
      </rPr>
      <t xml:space="preserve">정중한 위협과 제안</t>
    </r>
    <r>
      <rPr>
        <sz val="10"/>
        <rFont val="Arial"/>
        <family val="0"/>
        <charset val="1"/>
      </rPr>
      <t xml:space="preserve">: </t>
    </r>
    <r>
      <rPr>
        <sz val="10"/>
        <rFont val="WenQuanYi Zen Hei"/>
        <family val="2"/>
      </rPr>
      <t xml:space="preserve">파트너 승진과 개인 컨설팅</t>
    </r>
    <r>
      <rPr>
        <sz val="10"/>
        <rFont val="Arial"/>
        <family val="0"/>
        <charset val="1"/>
      </rPr>
      <t xml:space="preserve">. </t>
    </r>
    <r>
      <rPr>
        <sz val="10"/>
        <rFont val="WenQuanYi Zen Hei"/>
        <family val="2"/>
      </rPr>
      <t xml:space="preserve">팟캐스트를 준비하던 </t>
    </r>
    <r>
      <rPr>
        <sz val="10"/>
        <rFont val="Arial"/>
        <family val="0"/>
        <charset val="1"/>
      </rPr>
      <t xml:space="preserve">Dumont</t>
    </r>
    <r>
      <rPr>
        <sz val="10"/>
        <rFont val="WenQuanYi Zen Hei"/>
        <family val="2"/>
      </rPr>
      <t xml:space="preserve">의 전화가 온다</t>
    </r>
    <r>
      <rPr>
        <sz val="10"/>
        <rFont val="Arial"/>
        <family val="0"/>
        <charset val="1"/>
      </rPr>
      <t xml:space="preserve">.</t>
    </r>
  </si>
  <si>
    <t xml:space="preserve">완곡한 압박, 접속법 조건</t>
  </si>
  <si>
    <r>
      <rPr>
        <sz val="10"/>
        <rFont val="Arial"/>
        <family val="0"/>
        <charset val="1"/>
      </rPr>
      <t xml:space="preserve">Bruno, Quintela(</t>
    </r>
    <r>
      <rPr>
        <sz val="10"/>
        <rFont val="WenQuanYi Zen Hei"/>
        <family val="2"/>
      </rPr>
      <t xml:space="preserve">가상</t>
    </r>
    <r>
      <rPr>
        <sz val="10"/>
        <rFont val="Arial"/>
        <family val="0"/>
        <charset val="1"/>
      </rPr>
      <t xml:space="preserve">), Dumont</t>
    </r>
  </si>
  <si>
    <t xml:space="preserve">Sexta: e assinou?</t>
  </si>
  <si>
    <t xml:space="preserve">금요일: 서명했어요?</t>
  </si>
  <si>
    <r>
      <rPr>
        <sz val="10"/>
        <rFont val="Arial"/>
        <family val="0"/>
        <charset val="1"/>
      </rPr>
      <t xml:space="preserve">(</t>
    </r>
    <r>
      <rPr>
        <sz val="10"/>
        <rFont val="WenQuanYi Zen Hei"/>
        <family val="2"/>
      </rPr>
      <t xml:space="preserve">프레임</t>
    </r>
    <r>
      <rPr>
        <sz val="10"/>
        <rFont val="Arial"/>
        <family val="0"/>
        <charset val="1"/>
      </rPr>
      <t xml:space="preserve">) Larissa</t>
    </r>
    <r>
      <rPr>
        <sz val="10"/>
        <rFont val="WenQuanYi Zen Hei"/>
        <family val="2"/>
      </rPr>
      <t xml:space="preserve">가 묻고 </t>
    </r>
    <r>
      <rPr>
        <sz val="10"/>
        <rFont val="Arial"/>
        <family val="0"/>
        <charset val="1"/>
      </rPr>
      <t xml:space="preserve">Bruno</t>
    </r>
    <r>
      <rPr>
        <sz val="10"/>
        <rFont val="WenQuanYi Zen Hei"/>
        <family val="2"/>
      </rPr>
      <t xml:space="preserve">는 </t>
    </r>
    <r>
      <rPr>
        <sz val="10"/>
        <rFont val="Arial"/>
        <family val="0"/>
        <charset val="1"/>
      </rPr>
      <t xml:space="preserve">«Espera.»</t>
    </r>
    <r>
      <rPr>
        <sz val="10"/>
        <rFont val="WenQuanYi Zen Hei"/>
        <family val="2"/>
      </rPr>
      <t xml:space="preserve">라고 한다</t>
    </r>
    <r>
      <rPr>
        <sz val="10"/>
        <rFont val="Arial"/>
        <family val="0"/>
        <charset val="1"/>
      </rPr>
      <t xml:space="preserve">. Dom Pedro</t>
    </r>
    <r>
      <rPr>
        <sz val="10"/>
        <rFont val="WenQuanYi Zen Hei"/>
        <family val="2"/>
      </rPr>
      <t xml:space="preserve">가 </t>
    </r>
    <r>
      <rPr>
        <sz val="10"/>
        <rFont val="Arial"/>
        <family val="0"/>
        <charset val="1"/>
      </rPr>
      <t xml:space="preserve">«Todos nós já assinamos alguma coisa.»</t>
    </r>
    <r>
      <rPr>
        <sz val="10"/>
        <rFont val="WenQuanYi Zen Hei"/>
        <family val="2"/>
      </rPr>
      <t xml:space="preserve">라고 말하고 </t>
    </r>
    <r>
      <rPr>
        <sz val="10"/>
        <rFont val="Arial"/>
        <family val="0"/>
        <charset val="1"/>
      </rPr>
      <t xml:space="preserve">Camila</t>
    </r>
    <r>
      <rPr>
        <sz val="10"/>
        <rFont val="WenQuanYi Zen Hei"/>
        <family val="2"/>
      </rPr>
      <t xml:space="preserve">가 눈을 감는다</t>
    </r>
    <r>
      <rPr>
        <sz val="10"/>
        <rFont val="Arial"/>
        <family val="0"/>
        <charset val="1"/>
      </rPr>
      <t xml:space="preserve">.</t>
    </r>
  </si>
  <si>
    <t xml:space="preserve">재촉·회피</t>
  </si>
  <si>
    <t xml:space="preserve">Bruno, Larissa, Dom Pedro, Camila</t>
  </si>
  <si>
    <r>
      <rPr>
        <sz val="10"/>
        <rFont val="Arial"/>
        <family val="0"/>
        <charset val="1"/>
      </rPr>
      <t xml:space="preserve">Bruno</t>
    </r>
    <r>
      <rPr>
        <sz val="10"/>
        <rFont val="WenQuanYi Zen Hei"/>
        <family val="2"/>
      </rPr>
      <t xml:space="preserve">가 </t>
    </r>
    <r>
      <rPr>
        <sz val="10"/>
        <rFont val="Arial"/>
        <family val="0"/>
        <charset val="1"/>
      </rPr>
      <t xml:space="preserve">'</t>
    </r>
    <r>
      <rPr>
        <sz val="10"/>
        <rFont val="WenQuanYi Zen Hei"/>
        <family val="2"/>
      </rPr>
      <t xml:space="preserve">적정</t>
    </r>
    <r>
      <rPr>
        <sz val="10"/>
        <rFont val="Arial"/>
        <family val="0"/>
        <charset val="1"/>
      </rPr>
      <t xml:space="preserve">(sem ressalva)' </t>
    </r>
    <r>
      <rPr>
        <sz val="10"/>
        <rFont val="WenQuanYi Zen Hei"/>
        <family val="2"/>
      </rPr>
      <t xml:space="preserve">의견서에 서명한다</t>
    </r>
    <r>
      <rPr>
        <sz val="10"/>
        <rFont val="Arial"/>
        <family val="0"/>
        <charset val="1"/>
      </rPr>
      <t xml:space="preserve">. </t>
    </r>
    <r>
      <rPr>
        <sz val="10"/>
        <rFont val="WenQuanYi Zen Hei"/>
        <family val="2"/>
      </rPr>
      <t xml:space="preserve">서명 후 그는 복사본 </t>
    </r>
    <r>
      <rPr>
        <sz val="10"/>
        <rFont val="Arial"/>
        <family val="0"/>
        <charset val="1"/>
      </rPr>
      <t xml:space="preserve">USB</t>
    </r>
    <r>
      <rPr>
        <sz val="10"/>
        <rFont val="WenQuanYi Zen Hei"/>
        <family val="2"/>
      </rPr>
      <t xml:space="preserve">를 챙긴다</t>
    </r>
    <r>
      <rPr>
        <sz val="10"/>
        <rFont val="Arial"/>
        <family val="0"/>
        <charset val="1"/>
      </rPr>
      <t xml:space="preserve">.</t>
    </r>
  </si>
  <si>
    <t xml:space="preserve">서명, 감사 의견서, 책임</t>
  </si>
  <si>
    <t xml:space="preserve">Depois da assinatura</t>
  </si>
  <si>
    <t xml:space="preserve">서명 이후</t>
  </si>
  <si>
    <t xml:space="preserve">그 의견서로 병원 위탁 계약이 확정되고(3부의 계약) 구조조정 컨설팅이 시작된다는 통보를 받는다. Bruno는 사직하고 다시는 서명하지 않겠다고 다짐한다.</t>
  </si>
  <si>
    <t xml:space="preserve">결과·책임, 사직</t>
  </si>
  <si>
    <r>
      <rPr>
        <sz val="10"/>
        <rFont val="Arial"/>
        <family val="0"/>
        <charset val="1"/>
      </rPr>
      <t xml:space="preserve">Bruno, Barros(</t>
    </r>
    <r>
      <rPr>
        <sz val="10"/>
        <rFont val="WenQuanYi Zen Hei"/>
        <family val="2"/>
      </rPr>
      <t xml:space="preserve">가상</t>
    </r>
    <r>
      <rPr>
        <sz val="10"/>
        <rFont val="Arial"/>
        <family val="0"/>
        <charset val="1"/>
      </rPr>
      <t xml:space="preserve">), Juliana</t>
    </r>
  </si>
  <si>
    <t xml:space="preserve">Sexta: a lista da Juliana</t>
  </si>
  <si>
    <t xml:space="preserve">금요일: Juliana의 명단</t>
  </si>
  <si>
    <r>
      <rPr>
        <sz val="10"/>
        <rFont val="Arial"/>
        <family val="0"/>
        <charset val="1"/>
      </rPr>
      <t xml:space="preserve">(</t>
    </r>
    <r>
      <rPr>
        <sz val="10"/>
        <rFont val="WenQuanYi Zen Hei"/>
        <family val="2"/>
      </rPr>
      <t xml:space="preserve">프레임</t>
    </r>
    <r>
      <rPr>
        <sz val="10"/>
        <rFont val="Arial"/>
        <family val="0"/>
        <charset val="1"/>
      </rPr>
      <t xml:space="preserve">) Bruno</t>
    </r>
    <r>
      <rPr>
        <sz val="10"/>
        <rFont val="WenQuanYi Zen Hei"/>
        <family val="2"/>
      </rPr>
      <t xml:space="preserve">가 </t>
    </r>
    <r>
      <rPr>
        <sz val="10"/>
        <rFont val="Arial"/>
        <family val="0"/>
        <charset val="1"/>
      </rPr>
      <t xml:space="preserve">USB</t>
    </r>
    <r>
      <rPr>
        <sz val="10"/>
        <rFont val="WenQuanYi Zen Hei"/>
        <family val="2"/>
      </rPr>
      <t xml:space="preserve">를 꺼내지 않은 채 식탁에 놓고</t>
    </r>
    <r>
      <rPr>
        <sz val="10"/>
        <rFont val="Arial"/>
        <family val="0"/>
        <charset val="1"/>
      </rPr>
      <t xml:space="preserve">, Juliana</t>
    </r>
    <r>
      <rPr>
        <sz val="10"/>
        <rFont val="WenQuanYi Zen Hei"/>
        <family val="2"/>
      </rPr>
      <t xml:space="preserve">가 </t>
    </r>
    <r>
      <rPr>
        <sz val="10"/>
        <rFont val="Arial"/>
        <family val="0"/>
        <charset val="1"/>
      </rPr>
      <t xml:space="preserve">«Era eu que fazia a lista.»</t>
    </r>
    <r>
      <rPr>
        <sz val="10"/>
        <rFont val="WenQuanYi Zen Hei"/>
        <family val="2"/>
      </rPr>
      <t xml:space="preserve">라고 말한다</t>
    </r>
    <r>
      <rPr>
        <sz val="10"/>
        <rFont val="Arial"/>
        <family val="0"/>
        <charset val="1"/>
      </rPr>
      <t xml:space="preserve">.</t>
    </r>
  </si>
  <si>
    <t xml:space="preserve">고백</t>
  </si>
  <si>
    <t xml:space="preserve">Bruno, Juliana, Larissa, Marta</t>
  </si>
  <si>
    <t xml:space="preserve">Sexta: numa matriz</t>
  </si>
  <si>
    <t xml:space="preserve">금요일: 매트릭스로</t>
  </si>
  <si>
    <r>
      <rPr>
        <sz val="10"/>
        <rFont val="Arial"/>
        <family val="0"/>
        <charset val="1"/>
      </rPr>
      <t xml:space="preserve">(</t>
    </r>
    <r>
      <rPr>
        <sz val="10"/>
        <rFont val="WenQuanYi Zen Hei"/>
        <family val="2"/>
      </rPr>
      <t xml:space="preserve">프레임</t>
    </r>
    <r>
      <rPr>
        <sz val="10"/>
        <rFont val="Arial"/>
        <family val="0"/>
        <charset val="1"/>
      </rPr>
      <t xml:space="preserve">) Juliana</t>
    </r>
    <r>
      <rPr>
        <sz val="10"/>
        <rFont val="WenQuanYi Zen Hei"/>
        <family val="2"/>
      </rPr>
      <t xml:space="preserve">가 </t>
    </r>
    <r>
      <rPr>
        <sz val="10"/>
        <rFont val="Arial"/>
        <family val="0"/>
        <charset val="1"/>
      </rPr>
      <t xml:space="preserve">«Vamos colocar isso numa matriz.»</t>
    </r>
    <r>
      <rPr>
        <sz val="10"/>
        <rFont val="WenQuanYi Zen Hei"/>
        <family val="2"/>
      </rPr>
      <t xml:space="preserve">로 시작하다 </t>
    </r>
    <r>
      <rPr>
        <sz val="10"/>
        <rFont val="Arial"/>
        <family val="0"/>
        <charset val="1"/>
      </rPr>
      <t xml:space="preserve">Larissa</t>
    </r>
    <r>
      <rPr>
        <sz val="10"/>
        <rFont val="WenQuanYi Zen Hei"/>
        <family val="2"/>
      </rPr>
      <t xml:space="preserve">에게 제지당한다</t>
    </r>
    <r>
      <rPr>
        <sz val="10"/>
        <rFont val="Arial"/>
        <family val="0"/>
        <charset val="1"/>
      </rPr>
      <t xml:space="preserve">.</t>
    </r>
  </si>
  <si>
    <t xml:space="preserve">경영 어휘 도입, 쉬운 말로 바꾸기</t>
  </si>
  <si>
    <t xml:space="preserve">Juliana, Larissa, Dom Pedro</t>
  </si>
  <si>
    <t xml:space="preserve">Zênite, 32º andar</t>
  </si>
  <si>
    <r>
      <rPr>
        <sz val="10"/>
        <rFont val="Arial"/>
        <family val="0"/>
        <charset val="1"/>
      </rPr>
      <t xml:space="preserve">Zênite, 32</t>
    </r>
    <r>
      <rPr>
        <sz val="10"/>
        <rFont val="WenQuanYi Zen Hei"/>
        <family val="2"/>
      </rPr>
      <t xml:space="preserve">층</t>
    </r>
  </si>
  <si>
    <r>
      <rPr>
        <sz val="10"/>
        <rFont val="Arial"/>
        <family val="0"/>
        <charset val="1"/>
      </rPr>
      <t xml:space="preserve">(</t>
    </r>
    <r>
      <rPr>
        <sz val="10"/>
        <rFont val="WenQuanYi Zen Hei"/>
        <family val="2"/>
      </rPr>
      <t xml:space="preserve">과거</t>
    </r>
    <r>
      <rPr>
        <sz val="10"/>
        <rFont val="Arial"/>
        <family val="0"/>
        <charset val="1"/>
      </rPr>
      <t xml:space="preserve">) Faria Lima</t>
    </r>
    <r>
      <rPr>
        <sz val="10"/>
        <rFont val="WenQuanYi Zen Hei"/>
        <family val="2"/>
      </rPr>
      <t xml:space="preserve">의 컨설팅 회사 문화</t>
    </r>
    <r>
      <rPr>
        <sz val="10"/>
        <rFont val="Arial"/>
        <family val="0"/>
        <charset val="1"/>
      </rPr>
      <t xml:space="preserve">: up-or-out, </t>
    </r>
    <r>
      <rPr>
        <sz val="10"/>
        <rFont val="WenQuanYi Zen Hei"/>
        <family val="2"/>
      </rPr>
      <t xml:space="preserve">야근</t>
    </r>
    <r>
      <rPr>
        <sz val="10"/>
        <rFont val="Arial"/>
        <family val="0"/>
        <charset val="1"/>
      </rPr>
      <t xml:space="preserve">, </t>
    </r>
    <r>
      <rPr>
        <sz val="10"/>
        <rFont val="WenQuanYi Zen Hei"/>
        <family val="2"/>
      </rPr>
      <t xml:space="preserve">영어가 반쯤 섞인 포르투갈어</t>
    </r>
    <r>
      <rPr>
        <sz val="10"/>
        <rFont val="Arial"/>
        <family val="0"/>
        <charset val="1"/>
      </rPr>
      <t xml:space="preserve">. Juliana</t>
    </r>
    <r>
      <rPr>
        <sz val="10"/>
        <rFont val="WenQuanYi Zen Hei"/>
        <family val="2"/>
      </rPr>
      <t xml:space="preserve">의 초고속 승진</t>
    </r>
    <r>
      <rPr>
        <sz val="10"/>
        <rFont val="Arial"/>
        <family val="0"/>
        <charset val="1"/>
      </rPr>
      <t xml:space="preserve">.</t>
    </r>
  </si>
  <si>
    <t xml:space="preserve">alinhar, escalar, impacto, stakeholders, deadline</t>
  </si>
  <si>
    <r>
      <rPr>
        <sz val="10"/>
        <rFont val="Arial"/>
        <family val="0"/>
        <charset val="1"/>
      </rPr>
      <t xml:space="preserve">Juliana, </t>
    </r>
    <r>
      <rPr>
        <sz val="10"/>
        <rFont val="WenQuanYi Zen Hei"/>
        <family val="2"/>
      </rPr>
      <t xml:space="preserve">파트너</t>
    </r>
    <r>
      <rPr>
        <sz val="10"/>
        <rFont val="Arial"/>
        <family val="0"/>
        <charset val="1"/>
      </rPr>
      <t xml:space="preserve">(</t>
    </r>
    <r>
      <rPr>
        <sz val="10"/>
        <rFont val="WenQuanYi Zen Hei"/>
        <family val="2"/>
      </rPr>
      <t xml:space="preserve">가상</t>
    </r>
    <r>
      <rPr>
        <sz val="10"/>
        <rFont val="Arial"/>
        <family val="0"/>
        <charset val="1"/>
      </rPr>
      <t xml:space="preserve">)</t>
    </r>
  </si>
  <si>
    <t xml:space="preserve">A oficina dos Tavares</t>
  </si>
  <si>
    <r>
      <rPr>
        <sz val="10"/>
        <rFont val="Arial"/>
        <family val="0"/>
        <charset val="1"/>
      </rPr>
      <t xml:space="preserve">Tavares </t>
    </r>
    <r>
      <rPr>
        <sz val="10"/>
        <rFont val="WenQuanYi Zen Hei"/>
        <family val="2"/>
      </rPr>
      <t xml:space="preserve">가족의 공방</t>
    </r>
  </si>
  <si>
    <t xml:space="preserve">영세 제조업체 컨설팅. Juliana의 '규모 키우기' 권고가 현실과 맞지 않아 실패한다. 생산성은 조언이 아니라 구조(비공식 고용·신용 접근)의 문제임을 처음 본다.</t>
  </si>
  <si>
    <t xml:space="preserve">영세 사업자(MEI·microempresa), 비공식 경제, 생산성</t>
  </si>
  <si>
    <r>
      <rPr>
        <sz val="10"/>
        <rFont val="Arial"/>
        <family val="0"/>
        <charset val="1"/>
      </rPr>
      <t xml:space="preserve">Juliana, Tavares(</t>
    </r>
    <r>
      <rPr>
        <sz val="10"/>
        <rFont val="WenQuanYi Zen Hei"/>
        <family val="2"/>
      </rPr>
      <t xml:space="preserve">가상</t>
    </r>
    <r>
      <rPr>
        <sz val="10"/>
        <rFont val="Arial"/>
        <family val="0"/>
        <charset val="1"/>
      </rPr>
      <t xml:space="preserve">)</t>
    </r>
  </si>
  <si>
    <t xml:space="preserve">E2</t>
  </si>
  <si>
    <t xml:space="preserve">Projeto Ícaro</t>
  </si>
  <si>
    <t xml:space="preserve">이카루스 프로젝트</t>
  </si>
  <si>
    <r>
      <rPr>
        <sz val="10"/>
        <rFont val="Arial"/>
        <family val="0"/>
        <charset val="1"/>
      </rPr>
      <t xml:space="preserve">GM</t>
    </r>
    <r>
      <rPr>
        <sz val="10"/>
        <rFont val="WenQuanYi Zen Hei"/>
        <family val="2"/>
      </rPr>
      <t xml:space="preserve">이 </t>
    </r>
    <r>
      <rPr>
        <sz val="10"/>
        <rFont val="Arial"/>
        <family val="0"/>
        <charset val="1"/>
      </rPr>
      <t xml:space="preserve">Zênite</t>
    </r>
    <r>
      <rPr>
        <sz val="10"/>
        <rFont val="WenQuanYi Zen Hei"/>
        <family val="2"/>
      </rPr>
      <t xml:space="preserve">에 </t>
    </r>
    <r>
      <rPr>
        <sz val="10"/>
        <rFont val="Arial"/>
        <family val="0"/>
        <charset val="1"/>
      </rPr>
      <t xml:space="preserve">'</t>
    </r>
    <r>
      <rPr>
        <sz val="10"/>
        <rFont val="WenQuanYi Zen Hei"/>
        <family val="2"/>
      </rPr>
      <t xml:space="preserve">비용 </t>
    </r>
    <r>
      <rPr>
        <sz val="10"/>
        <rFont val="Arial"/>
        <family val="0"/>
        <charset val="1"/>
      </rPr>
      <t xml:space="preserve">18% </t>
    </r>
    <r>
      <rPr>
        <sz val="10"/>
        <rFont val="WenQuanYi Zen Hei"/>
        <family val="2"/>
      </rPr>
      <t xml:space="preserve">절감</t>
    </r>
    <r>
      <rPr>
        <sz val="10"/>
        <rFont val="Arial"/>
        <family val="0"/>
        <charset val="1"/>
      </rPr>
      <t xml:space="preserve">'</t>
    </r>
    <r>
      <rPr>
        <sz val="10"/>
        <rFont val="WenQuanYi Zen Hei"/>
        <family val="2"/>
      </rPr>
      <t xml:space="preserve">을 의뢰한다</t>
    </r>
    <r>
      <rPr>
        <sz val="10"/>
        <rFont val="Arial"/>
        <family val="0"/>
        <charset val="1"/>
      </rPr>
      <t xml:space="preserve">. </t>
    </r>
    <r>
      <rPr>
        <sz val="10"/>
        <rFont val="WenQuanYi Zen Hei"/>
        <family val="2"/>
      </rPr>
      <t xml:space="preserve">킥오프 회의</t>
    </r>
    <r>
      <rPr>
        <sz val="10"/>
        <rFont val="Arial"/>
        <family val="0"/>
        <charset val="1"/>
      </rPr>
      <t xml:space="preserve">.</t>
    </r>
  </si>
  <si>
    <t xml:space="preserve">프로젝트 관리, 목표, 절감</t>
  </si>
  <si>
    <r>
      <rPr>
        <sz val="10"/>
        <rFont val="Arial"/>
        <family val="0"/>
        <charset val="1"/>
      </rPr>
      <t xml:space="preserve">Juliana, </t>
    </r>
    <r>
      <rPr>
        <sz val="10"/>
        <rFont val="WenQuanYi Zen Hei"/>
        <family val="2"/>
      </rPr>
      <t xml:space="preserve">파트너</t>
    </r>
    <r>
      <rPr>
        <sz val="10"/>
        <rFont val="Arial"/>
        <family val="0"/>
        <charset val="1"/>
      </rPr>
      <t xml:space="preserve">(</t>
    </r>
    <r>
      <rPr>
        <sz val="10"/>
        <rFont val="WenQuanYi Zen Hei"/>
        <family val="2"/>
      </rPr>
      <t xml:space="preserve">가상</t>
    </r>
    <r>
      <rPr>
        <sz val="10"/>
        <rFont val="Arial"/>
        <family val="0"/>
        <charset val="1"/>
      </rPr>
      <t xml:space="preserve">), GM </t>
    </r>
    <r>
      <rPr>
        <sz val="10"/>
        <rFont val="WenQuanYi Zen Hei"/>
        <family val="2"/>
      </rPr>
      <t xml:space="preserve">임원</t>
    </r>
    <r>
      <rPr>
        <sz val="10"/>
        <rFont val="Arial"/>
        <family val="0"/>
        <charset val="1"/>
      </rPr>
      <t xml:space="preserve">(</t>
    </r>
    <r>
      <rPr>
        <sz val="10"/>
        <rFont val="WenQuanYi Zen Hei"/>
        <family val="2"/>
      </rPr>
      <t xml:space="preserve">가상</t>
    </r>
    <r>
      <rPr>
        <sz val="10"/>
        <rFont val="Arial"/>
        <family val="0"/>
        <charset val="1"/>
      </rPr>
      <t xml:space="preserve">)</t>
    </r>
  </si>
  <si>
    <t xml:space="preserve">Sexta: uma planilha</t>
  </si>
  <si>
    <t xml:space="preserve">금요일: 스프레드시트 한 장</t>
  </si>
  <si>
    <r>
      <rPr>
        <sz val="10"/>
        <rFont val="Arial"/>
        <family val="0"/>
        <charset val="1"/>
      </rPr>
      <t xml:space="preserve">(</t>
    </r>
    <r>
      <rPr>
        <sz val="10"/>
        <rFont val="WenQuanYi Zen Hei"/>
        <family val="2"/>
      </rPr>
      <t xml:space="preserve">프레임</t>
    </r>
    <r>
      <rPr>
        <sz val="10"/>
        <rFont val="Arial"/>
        <family val="0"/>
        <charset val="1"/>
      </rPr>
      <t xml:space="preserve">) Juliana</t>
    </r>
    <r>
      <rPr>
        <sz val="10"/>
        <rFont val="WenQuanYi Zen Hei"/>
        <family val="2"/>
      </rPr>
      <t xml:space="preserve">가 </t>
    </r>
    <r>
      <rPr>
        <sz val="10"/>
        <rFont val="Arial"/>
        <family val="0"/>
        <charset val="1"/>
      </rPr>
      <t xml:space="preserve">«Eu não demitia gente; eu mexia em células.»</t>
    </r>
    <r>
      <rPr>
        <sz val="10"/>
        <rFont val="WenQuanYi Zen Hei"/>
        <family val="2"/>
      </rPr>
      <t xml:space="preserve">라고 말한다</t>
    </r>
    <r>
      <rPr>
        <sz val="10"/>
        <rFont val="Arial"/>
        <family val="0"/>
        <charset val="1"/>
      </rPr>
      <t xml:space="preserve">. Larissa</t>
    </r>
    <r>
      <rPr>
        <sz val="10"/>
        <rFont val="WenQuanYi Zen Hei"/>
        <family val="2"/>
      </rPr>
      <t xml:space="preserve">가 </t>
    </r>
    <r>
      <rPr>
        <sz val="10"/>
        <rFont val="Arial"/>
        <family val="0"/>
        <charset val="1"/>
      </rPr>
      <t xml:space="preserve">«E quantas células?»</t>
    </r>
  </si>
  <si>
    <t xml:space="preserve">질문·죄책 표현</t>
  </si>
  <si>
    <t xml:space="preserve">Juliana, Larissa, Bruno</t>
  </si>
  <si>
    <t xml:space="preserve">A célula C47</t>
  </si>
  <si>
    <r>
      <rPr>
        <sz val="10"/>
        <rFont val="Arial"/>
        <family val="0"/>
        <charset val="1"/>
      </rPr>
      <t xml:space="preserve">C47 </t>
    </r>
    <r>
      <rPr>
        <sz val="10"/>
        <rFont val="WenQuanYi Zen Hei"/>
        <family val="2"/>
      </rPr>
      <t xml:space="preserve">셀</t>
    </r>
  </si>
  <si>
    <t xml:space="preserve">모델이 완성되고 승인이 난다. 셀 하나가 412개 일자리다. 팀은 샴페인을 딴다.</t>
  </si>
  <si>
    <t xml:space="preserve">모델, 시나리오, 인원 감축</t>
  </si>
  <si>
    <r>
      <rPr>
        <sz val="10"/>
        <rFont val="Arial"/>
        <family val="0"/>
        <charset val="1"/>
      </rPr>
      <t xml:space="preserve">Juliana, </t>
    </r>
    <r>
      <rPr>
        <sz val="10"/>
        <rFont val="WenQuanYi Zen Hei"/>
        <family val="2"/>
      </rPr>
      <t xml:space="preserve">팀</t>
    </r>
    <r>
      <rPr>
        <sz val="10"/>
        <rFont val="Arial"/>
        <family val="0"/>
        <charset val="1"/>
      </rPr>
      <t xml:space="preserve">(</t>
    </r>
    <r>
      <rPr>
        <sz val="10"/>
        <rFont val="WenQuanYi Zen Hei"/>
        <family val="2"/>
      </rPr>
      <t xml:space="preserve">가상</t>
    </r>
    <r>
      <rPr>
        <sz val="10"/>
        <rFont val="Arial"/>
        <family val="0"/>
        <charset val="1"/>
      </rPr>
      <t xml:space="preserve">)</t>
    </r>
  </si>
  <si>
    <t xml:space="preserve">A mesa de negociação</t>
  </si>
  <si>
    <t xml:space="preserve">협상 테이블</t>
  </si>
  <si>
    <t xml:space="preserve">대량 해고 전 노조와의 사전 협상. 노조 대표 Edson이 «Atrás de cada célula tem uma pessoa.»</t>
  </si>
  <si>
    <t xml:space="preserve">대량 해고(dispensa em massa), 사전 노조 협상(STF 2022 판결), CLT 제477-A조와의 충돌</t>
  </si>
  <si>
    <r>
      <rPr>
        <sz val="10"/>
        <rFont val="Arial"/>
        <family val="0"/>
        <charset val="1"/>
      </rPr>
      <t xml:space="preserve">Juliana, Edson, </t>
    </r>
    <r>
      <rPr>
        <sz val="10"/>
        <rFont val="WenQuanYi Zen Hei"/>
        <family val="2"/>
      </rPr>
      <t xml:space="preserve">노무 담당</t>
    </r>
    <r>
      <rPr>
        <sz val="10"/>
        <rFont val="Arial"/>
        <family val="0"/>
        <charset val="1"/>
      </rPr>
      <t xml:space="preserve">(</t>
    </r>
    <r>
      <rPr>
        <sz val="10"/>
        <rFont val="WenQuanYi Zen Hei"/>
        <family val="2"/>
      </rPr>
      <t xml:space="preserve">가상</t>
    </r>
    <r>
      <rPr>
        <sz val="10"/>
        <rFont val="Arial"/>
        <family val="0"/>
        <charset val="1"/>
      </rPr>
      <t xml:space="preserve">)</t>
    </r>
  </si>
  <si>
    <t xml:space="preserve">O e-mail errado</t>
  </si>
  <si>
    <t xml:space="preserve">잘못 보낸 이메일</t>
  </si>
  <si>
    <r>
      <rPr>
        <sz val="10"/>
        <rFont val="Arial"/>
        <family val="0"/>
        <charset val="1"/>
      </rPr>
      <t xml:space="preserve">Juliana</t>
    </r>
    <r>
      <rPr>
        <sz val="10"/>
        <rFont val="WenQuanYi Zen Hei"/>
        <family val="2"/>
      </rPr>
      <t xml:space="preserve">가 이름이 든 파일을 잘못 보낸다</t>
    </r>
    <r>
      <rPr>
        <sz val="10"/>
        <rFont val="Arial"/>
        <family val="0"/>
        <charset val="1"/>
      </rPr>
      <t xml:space="preserve">. </t>
    </r>
    <r>
      <rPr>
        <sz val="10"/>
        <rFont val="WenQuanYi Zen Hei"/>
        <family val="2"/>
      </rPr>
      <t xml:space="preserve">외주</t>
    </r>
    <r>
      <rPr>
        <sz val="10"/>
        <rFont val="Arial"/>
        <family val="0"/>
        <charset val="1"/>
      </rPr>
      <t xml:space="preserve">·PJ </t>
    </r>
    <r>
      <rPr>
        <sz val="10"/>
        <rFont val="WenQuanYi Zen Hei"/>
        <family val="2"/>
      </rPr>
      <t xml:space="preserve">계약자와 청년이 먼저 잘려 있다</t>
    </r>
    <r>
      <rPr>
        <sz val="10"/>
        <rFont val="Arial"/>
        <family val="0"/>
        <charset val="1"/>
      </rPr>
      <t xml:space="preserve">. </t>
    </r>
    <r>
      <rPr>
        <sz val="10"/>
        <rFont val="WenQuanYi Zen Hei"/>
        <family val="2"/>
      </rPr>
      <t xml:space="preserve">번아웃 상담에서 </t>
    </r>
    <r>
      <rPr>
        <sz val="10"/>
        <rFont val="Arial"/>
        <family val="0"/>
        <charset val="1"/>
      </rPr>
      <t xml:space="preserve">Isabel</t>
    </r>
    <r>
      <rPr>
        <sz val="10"/>
        <rFont val="WenQuanYi Zen Hei"/>
        <family val="2"/>
      </rPr>
      <t xml:space="preserve">을 만난다</t>
    </r>
    <r>
      <rPr>
        <sz val="10"/>
        <rFont val="Arial"/>
        <family val="0"/>
        <charset val="1"/>
      </rPr>
      <t xml:space="preserve">(</t>
    </r>
    <r>
      <rPr>
        <sz val="10"/>
        <rFont val="WenQuanYi Zen Hei"/>
        <family val="2"/>
      </rPr>
      <t xml:space="preserve">그녀는 생명존중 상담 전화 자원봉사자다</t>
    </r>
    <r>
      <rPr>
        <sz val="10"/>
        <rFont val="Arial"/>
        <family val="0"/>
        <charset val="1"/>
      </rPr>
      <t xml:space="preserve">).</t>
    </r>
  </si>
  <si>
    <t xml:space="preserve">외주(terceirização)·PJ 계약, 청년 우선 해고, 번아웃, 죄책감</t>
  </si>
  <si>
    <t xml:space="preserve">Juliana, Isabel</t>
  </si>
  <si>
    <t xml:space="preserve">Sexta: quatrocentos e doze</t>
  </si>
  <si>
    <t xml:space="preserve">금요일: 412</t>
  </si>
  <si>
    <r>
      <rPr>
        <sz val="10"/>
        <rFont val="Arial"/>
        <family val="0"/>
        <charset val="1"/>
      </rPr>
      <t xml:space="preserve">(</t>
    </r>
    <r>
      <rPr>
        <sz val="10"/>
        <rFont val="WenQuanYi Zen Hei"/>
        <family val="2"/>
      </rPr>
      <t xml:space="preserve">프레임</t>
    </r>
    <r>
      <rPr>
        <sz val="10"/>
        <rFont val="Arial"/>
        <family val="0"/>
        <charset val="1"/>
      </rPr>
      <t xml:space="preserve">) «Quatrocentos e doze.» Larissa</t>
    </r>
    <r>
      <rPr>
        <sz val="10"/>
        <rFont val="WenQuanYi Zen Hei"/>
        <family val="2"/>
      </rPr>
      <t xml:space="preserve">가 말을 잃고 </t>
    </r>
    <r>
      <rPr>
        <sz val="10"/>
        <rFont val="Arial"/>
        <family val="0"/>
        <charset val="1"/>
      </rPr>
      <t xml:space="preserve">Dom Pedro</t>
    </r>
    <r>
      <rPr>
        <sz val="10"/>
        <rFont val="WenQuanYi Zen Hei"/>
        <family val="2"/>
      </rPr>
      <t xml:space="preserve">가 </t>
    </r>
    <r>
      <rPr>
        <sz val="10"/>
        <rFont val="Arial"/>
        <family val="0"/>
        <charset val="1"/>
      </rPr>
      <t xml:space="preserve">«Pelo menos disse sem slides.»</t>
    </r>
  </si>
  <si>
    <t xml:space="preserve">숫자 낭독</t>
  </si>
  <si>
    <t xml:space="preserve">A greve</t>
  </si>
  <si>
    <t xml:space="preserve">파업</t>
  </si>
  <si>
    <t xml:space="preserve">파업이 벌어지고 Edson이 해고되어 블랙리스트(불법)에 오른다. Juliana는 유리창 너머로 그것을 본다.</t>
  </si>
  <si>
    <t xml:space="preserve">파업권(Lei 7.783/1989), 해고, 블랙리스트</t>
  </si>
  <si>
    <t xml:space="preserve">Juliana, Edson</t>
  </si>
  <si>
    <t xml:space="preserve">A última reunião</t>
  </si>
  <si>
    <t xml:space="preserve">마지막 회의</t>
  </si>
  <si>
    <t xml:space="preserve">성과급(PLR) 지급 회의. Juliana가 '이카루스 2'를 거절하고 사직한다.</t>
  </si>
  <si>
    <t xml:space="preserve">성과급, 거절, 사직</t>
  </si>
  <si>
    <t xml:space="preserve">Sexta: uma terça no Brás</t>
  </si>
  <si>
    <t xml:space="preserve">금요일: 브라스의 화요일</t>
  </si>
  <si>
    <r>
      <rPr>
        <sz val="10"/>
        <rFont val="Arial"/>
        <family val="0"/>
        <charset val="1"/>
      </rPr>
      <t xml:space="preserve">(</t>
    </r>
    <r>
      <rPr>
        <sz val="10"/>
        <rFont val="WenQuanYi Zen Hei"/>
        <family val="2"/>
      </rPr>
      <t xml:space="preserve">프레임</t>
    </r>
    <r>
      <rPr>
        <sz val="10"/>
        <rFont val="Arial"/>
        <family val="0"/>
        <charset val="1"/>
      </rPr>
      <t xml:space="preserve">) </t>
    </r>
    <r>
      <rPr>
        <sz val="10"/>
        <rFont val="WenQuanYi Zen Hei"/>
        <family val="2"/>
      </rPr>
      <t xml:space="preserve">네 명이 같은 강당에 모이게 된 화요일을 </t>
    </r>
    <r>
      <rPr>
        <sz val="10"/>
        <rFont val="Arial"/>
        <family val="0"/>
        <charset val="1"/>
      </rPr>
      <t xml:space="preserve">Marta</t>
    </r>
    <r>
      <rPr>
        <sz val="10"/>
        <rFont val="WenQuanYi Zen Hei"/>
        <family val="2"/>
      </rPr>
      <t xml:space="preserve">가 설명하며 </t>
    </r>
    <r>
      <rPr>
        <sz val="10"/>
        <rFont val="Arial"/>
        <family val="0"/>
        <charset val="1"/>
      </rPr>
      <t xml:space="preserve">6</t>
    </r>
    <r>
      <rPr>
        <sz val="10"/>
        <rFont val="WenQuanYi Zen Hei"/>
        <family val="2"/>
      </rPr>
      <t xml:space="preserve">부를 예고한다</t>
    </r>
    <r>
      <rPr>
        <sz val="10"/>
        <rFont val="Arial"/>
        <family val="0"/>
        <charset val="1"/>
      </rPr>
      <t xml:space="preserve">.</t>
    </r>
  </si>
  <si>
    <t xml:space="preserve">다음 이야기 예고</t>
  </si>
  <si>
    <t xml:space="preserve">Juliana, Marta, Rafael, Camila, Bruno</t>
  </si>
  <si>
    <t xml:space="preserve">Uma terça no Brás</t>
  </si>
  <si>
    <t xml:space="preserve">브라스의 화요일</t>
  </si>
  <si>
    <t xml:space="preserve">네 사람이 각자 다른 이유로 Brás의 같은 세입자 총회에 도착한다. 손녀 Marina(가상)와 23세 세입자 Larissa가 맞이한다.</t>
  </si>
  <si>
    <t xml:space="preserve">총회 공고, 자기소개</t>
  </si>
  <si>
    <r>
      <rPr>
        <sz val="10"/>
        <rFont val="Arial"/>
        <family val="0"/>
        <charset val="1"/>
      </rPr>
      <t xml:space="preserve">Rafael, Camila, Bruno, Juliana, Marina(</t>
    </r>
    <r>
      <rPr>
        <sz val="10"/>
        <rFont val="WenQuanYi Zen Hei"/>
        <family val="2"/>
      </rPr>
      <t xml:space="preserve">가상</t>
    </r>
    <r>
      <rPr>
        <sz val="10"/>
        <rFont val="Arial"/>
        <family val="0"/>
        <charset val="1"/>
      </rPr>
      <t xml:space="preserve">), Larissa</t>
    </r>
  </si>
  <si>
    <t xml:space="preserve">Quatro desconhecidos</t>
  </si>
  <si>
    <t xml:space="preserve">네 명의 낯선 사람</t>
  </si>
  <si>
    <t xml:space="preserve">서로 아는 척하지 않는다. Rafael과 Bruno는 서로의 이름 «Aguiar &amp; Salgado», «Barros &amp; Teixeira»에서 흠칫한다.</t>
  </si>
  <si>
    <t xml:space="preserve">긴장 대화, o senhor / a senhora</t>
  </si>
  <si>
    <t xml:space="preserve">Rafael, Camila, Bruno, Juliana, Larissa</t>
  </si>
  <si>
    <t xml:space="preserve">O Bloco 14</t>
  </si>
  <si>
    <r>
      <rPr>
        <sz val="10"/>
        <rFont val="Arial"/>
        <family val="0"/>
        <charset val="1"/>
      </rPr>
      <t xml:space="preserve">14</t>
    </r>
    <r>
      <rPr>
        <sz val="10"/>
        <rFont val="WenQuanYi Zen Hei"/>
        <family val="2"/>
      </rPr>
      <t xml:space="preserve">번 블록</t>
    </r>
  </si>
  <si>
    <t xml:space="preserve">건물을 돌아본다. 22가구, 물이 새는 벽, 동네 보건소 폐쇄. 이웃 Edson과 '계단 반장' Zumbi가 안내한다.</t>
  </si>
  <si>
    <t xml:space="preserve">건물·거주 표현</t>
  </si>
  <si>
    <t xml:space="preserve">Rafael, Camila, Bruno, Juliana, Edson, Zumbi, Larissa</t>
  </si>
  <si>
    <t xml:space="preserve">A noite da escada</t>
  </si>
  <si>
    <t xml:space="preserve">계단의 밤</t>
  </si>
  <si>
    <t xml:space="preserve">야간 퇴거 통지 소문에 함께 밤샘한다. Marta의 음식과 Dom Pedro의 커피 불평. 처음으로 조금씩 속내를 꺼낸다.</t>
  </si>
  <si>
    <t xml:space="preserve">밤샘 대화, 위로</t>
  </si>
  <si>
    <t xml:space="preserve">Rafael, Camila, Bruno, Juliana, Marta, Dom Pedro, Zumbi</t>
  </si>
  <si>
    <t xml:space="preserve">Os papéis do Bruno</t>
  </si>
  <si>
    <r>
      <rPr>
        <sz val="10"/>
        <rFont val="Arial"/>
        <family val="0"/>
        <charset val="1"/>
      </rPr>
      <t xml:space="preserve">Bruno</t>
    </r>
    <r>
      <rPr>
        <sz val="10"/>
        <rFont val="WenQuanYi Zen Hei"/>
        <family val="2"/>
      </rPr>
      <t xml:space="preserve">의 서류</t>
    </r>
  </si>
  <si>
    <r>
      <rPr>
        <sz val="10"/>
        <rFont val="Arial"/>
        <family val="0"/>
        <charset val="1"/>
      </rPr>
      <t xml:space="preserve">Bruno</t>
    </r>
    <r>
      <rPr>
        <sz val="10"/>
        <rFont val="WenQuanYi Zen Hei"/>
        <family val="2"/>
      </rPr>
      <t xml:space="preserve">가 </t>
    </r>
    <r>
      <rPr>
        <sz val="10"/>
        <rFont val="Arial"/>
        <family val="0"/>
        <charset val="1"/>
      </rPr>
      <t xml:space="preserve">USB</t>
    </r>
    <r>
      <rPr>
        <sz val="10"/>
        <rFont val="WenQuanYi Zen Hei"/>
        <family val="2"/>
      </rPr>
      <t xml:space="preserve">를 꺼내 </t>
    </r>
    <r>
      <rPr>
        <sz val="10"/>
        <rFont val="Arial"/>
        <family val="0"/>
        <charset val="1"/>
      </rPr>
      <t xml:space="preserve">Fundo Cardeal(</t>
    </r>
    <r>
      <rPr>
        <sz val="10"/>
        <rFont val="WenQuanYi Zen Hei"/>
        <family val="2"/>
      </rPr>
      <t xml:space="preserve">부동산 펀드</t>
    </r>
    <r>
      <rPr>
        <sz val="10"/>
        <rFont val="Arial"/>
        <family val="0"/>
        <charset val="1"/>
      </rPr>
      <t xml:space="preserve">) – Grupo Meridiano – Meridiano Saúde</t>
    </r>
    <r>
      <rPr>
        <sz val="10"/>
        <rFont val="WenQuanYi Zen Hei"/>
        <family val="2"/>
      </rPr>
      <t xml:space="preserve">의 연결을 보여 준다</t>
    </r>
    <r>
      <rPr>
        <sz val="10"/>
        <rFont val="Arial"/>
        <family val="0"/>
        <charset val="1"/>
      </rPr>
      <t xml:space="preserve">. </t>
    </r>
    <r>
      <rPr>
        <sz val="10"/>
        <rFont val="WenQuanYi Zen Hei"/>
        <family val="2"/>
      </rPr>
      <t xml:space="preserve">변호사가 필요하다</t>
    </r>
    <r>
      <rPr>
        <sz val="10"/>
        <rFont val="Arial"/>
        <family val="0"/>
        <charset val="1"/>
      </rPr>
      <t xml:space="preserve">.</t>
    </r>
  </si>
  <si>
    <t xml:space="preserve">서류 브리핑, 지분 구조</t>
  </si>
  <si>
    <t xml:space="preserve">Bruno, Rafael, Larissa</t>
  </si>
  <si>
    <t xml:space="preserve">Um mesmo nome</t>
  </si>
  <si>
    <t xml:space="preserve">같은 이름</t>
  </si>
  <si>
    <r>
      <rPr>
        <sz val="10"/>
        <rFont val="Arial"/>
        <family val="0"/>
        <charset val="1"/>
      </rPr>
      <t xml:space="preserve">Rafael</t>
    </r>
    <r>
      <rPr>
        <sz val="10"/>
        <rFont val="WenQuanYi Zen Hei"/>
        <family val="2"/>
      </rPr>
      <t xml:space="preserve">의 퇴거</t>
    </r>
    <r>
      <rPr>
        <sz val="10"/>
        <rFont val="Arial"/>
        <family val="0"/>
        <charset val="1"/>
      </rPr>
      <t xml:space="preserve">, Camila</t>
    </r>
    <r>
      <rPr>
        <sz val="10"/>
        <rFont val="WenQuanYi Zen Hei"/>
        <family val="2"/>
      </rPr>
      <t xml:space="preserve">의 위탁</t>
    </r>
    <r>
      <rPr>
        <sz val="10"/>
        <rFont val="Arial"/>
        <family val="0"/>
        <charset val="1"/>
      </rPr>
      <t xml:space="preserve">, Bruno</t>
    </r>
    <r>
      <rPr>
        <sz val="10"/>
        <rFont val="WenQuanYi Zen Hei"/>
        <family val="2"/>
      </rPr>
      <t xml:space="preserve">의 감사</t>
    </r>
    <r>
      <rPr>
        <sz val="10"/>
        <rFont val="Arial"/>
        <family val="0"/>
        <charset val="1"/>
      </rPr>
      <t xml:space="preserve">, Juliana</t>
    </r>
    <r>
      <rPr>
        <sz val="10"/>
        <rFont val="WenQuanYi Zen Hei"/>
        <family val="2"/>
      </rPr>
      <t xml:space="preserve">의 구조조정이 모두 </t>
    </r>
    <r>
      <rPr>
        <sz val="10"/>
        <rFont val="Arial"/>
        <family val="0"/>
        <charset val="1"/>
      </rPr>
      <t xml:space="preserve">Grupo Meridiano</t>
    </r>
    <r>
      <rPr>
        <sz val="10"/>
        <rFont val="WenQuanYi Zen Hei"/>
        <family val="2"/>
      </rPr>
      <t xml:space="preserve">였다</t>
    </r>
    <r>
      <rPr>
        <sz val="10"/>
        <rFont val="Arial"/>
        <family val="0"/>
        <charset val="1"/>
      </rPr>
      <t xml:space="preserve">. </t>
    </r>
    <r>
      <rPr>
        <sz val="10"/>
        <rFont val="WenQuanYi Zen Hei"/>
        <family val="2"/>
      </rPr>
      <t xml:space="preserve">각자 </t>
    </r>
    <r>
      <rPr>
        <sz val="10"/>
        <rFont val="Arial"/>
        <family val="0"/>
        <charset val="1"/>
      </rPr>
      <t xml:space="preserve">«meu cliente / meu contrato / meu parecer / meu plano.»</t>
    </r>
  </si>
  <si>
    <t xml:space="preserve">책임 표현, 접속법</t>
  </si>
  <si>
    <t xml:space="preserve">Rafael, Camila, Bruno, Juliana</t>
  </si>
  <si>
    <t xml:space="preserve">Acusações</t>
  </si>
  <si>
    <t xml:space="preserve">서로에 대한 비난</t>
  </si>
  <si>
    <t xml:space="preserve">공모라고 서로를 몰아세운다. Rafael이 나가 버리고 Camila가 막아선다.</t>
  </si>
  <si>
    <t xml:space="preserve">다툼, 비난·사과</t>
  </si>
  <si>
    <t xml:space="preserve">Hora zero</t>
  </si>
  <si>
    <t xml:space="preserve">영시</t>
  </si>
  <si>
    <t xml:space="preserve">퇴거 집행 날 새벽. 서로의 전문성을 처음 합친다: Rafael은 가처분 신청, Bruno는 서류, Juliana는 동선, Camila는 취약계층 진단서. Dumont이 휴대전화로 생중계하고 Freire가 서류 위치를 알려 준다.</t>
  </si>
  <si>
    <t xml:space="preserve">긴급 가처분(tutela de urgência), 진단서, 생중계</t>
  </si>
  <si>
    <t xml:space="preserve">Rafael, Camila, Bruno, Juliana, Dumont, Freire, Zumbi</t>
  </si>
  <si>
    <t xml:space="preserve">E1·S2</t>
  </si>
  <si>
    <t xml:space="preserve">A primeira suspensão</t>
  </si>
  <si>
    <t xml:space="preserve">첫 정지</t>
  </si>
  <si>
    <t xml:space="preserve">법원이 집행을 정지한다. Machado의 서툰 첫 연설이 군중을 울리고 Isabel이 아이들을 달랜다. Fátima 가족이 인사한다.</t>
  </si>
  <si>
    <t xml:space="preserve">안도·감사 표현</t>
  </si>
  <si>
    <r>
      <rPr>
        <sz val="10"/>
        <rFont val="Arial"/>
        <family val="0"/>
        <charset val="1"/>
      </rPr>
      <t xml:space="preserve">Rafael, Camila, Bruno, Juliana, Machado, Isabel, Larissa, Fátima(</t>
    </r>
    <r>
      <rPr>
        <sz val="10"/>
        <rFont val="WenQuanYi Zen Hei"/>
        <family val="2"/>
      </rPr>
      <t xml:space="preserve">가상</t>
    </r>
    <r>
      <rPr>
        <sz val="10"/>
        <rFont val="Arial"/>
        <family val="0"/>
        <charset val="1"/>
      </rPr>
      <t xml:space="preserve">)</t>
    </r>
  </si>
  <si>
    <t xml:space="preserve">S2·E1</t>
  </si>
  <si>
    <t xml:space="preserve">Um ponto no Bixiga</t>
  </si>
  <si>
    <t xml:space="preserve">비시가의 가게</t>
  </si>
  <si>
    <t xml:space="preserve">사무실 자리를 찾는다. 소규모 집주인이 월세를 낮춰 주고 Marta의 새 바가 1층에 들어선다. Sérgio가 계좌 도움을 자청한다.</t>
  </si>
  <si>
    <t xml:space="preserve">임대 협상, 소규모 임대인</t>
  </si>
  <si>
    <t xml:space="preserve">Rafael, Camila, Bruno, Juliana, Marta, Sérgio</t>
  </si>
  <si>
    <t xml:space="preserve">As regras da mesa</t>
  </si>
  <si>
    <t xml:space="preserve">식탁의 규칙</t>
  </si>
  <si>
    <t xml:space="preserve">규칙을 정한다: 가난한 사람에게는 수임료 없음, 금요일마다 한 명씩 과거를 이야기함. Larissa가 «Posso ficar?» Dom Pedro는 '청하지 않은 고문'을 자처한다.</t>
  </si>
  <si>
    <t xml:space="preserve">규칙, 약속 표현</t>
  </si>
  <si>
    <t xml:space="preserve">전원</t>
  </si>
  <si>
    <t xml:space="preserve">A placa</t>
  </si>
  <si>
    <t xml:space="preserve">간판</t>
  </si>
  <si>
    <t xml:space="preserve">간판이 걸린다. Marta가 «Amanhã, às cinco.» 원이 닫히며 1부 1화로 이어진다.</t>
  </si>
  <si>
    <t xml:space="preserve">시간 표현, 마무리</t>
  </si>
  <si>
    <t xml:space="preserve">Um ano depois</t>
  </si>
  <si>
    <r>
      <rPr>
        <sz val="10"/>
        <rFont val="Arial"/>
        <family val="0"/>
        <charset val="1"/>
      </rPr>
      <t xml:space="preserve">1</t>
    </r>
    <r>
      <rPr>
        <sz val="10"/>
        <rFont val="WenQuanYi Zen Hei"/>
        <family val="2"/>
      </rPr>
      <t xml:space="preserve">년 후</t>
    </r>
  </si>
  <si>
    <t xml:space="preserve">사무소가 커졌다. Marta가 팀 이름을 호명하며 역할을 소개한다: Zumbi 현장·로지스틱스, Freire 출처, Dumont 공론화(팟캐스트 «Diário de Bordo»), Isabel 상담, Edson 노동 현장, Machado 글, Sérgio 자금.</t>
  </si>
  <si>
    <t xml:space="preserve">역할·업무 분담</t>
  </si>
  <si>
    <t xml:space="preserve">A fila na escada</t>
  </si>
  <si>
    <t xml:space="preserve">계단 위의 줄</t>
  </si>
  <si>
    <t xml:space="preserve">의뢰인 줄이 계단까지 이어진다. 접수·분류 체계(triagem)를 세우고 Juliana의 매트릭스가 처음으로 쓸모 있어진다.</t>
  </si>
  <si>
    <t xml:space="preserve">접수·분류, 순서</t>
  </si>
  <si>
    <t xml:space="preserve">Juliana, Larissa, Zumbi, Marta</t>
  </si>
  <si>
    <t xml:space="preserve">S1·E1</t>
  </si>
  <si>
    <t xml:space="preserve">A lei que castigou a vítima</t>
  </si>
  <si>
    <t xml:space="preserve">피해자를 벌한 법</t>
  </si>
  <si>
    <t xml:space="preserve">딸의 학대를 신고한 어머니가 '부모 소외(alienação parental)'를 이유로 오히려 양육권을 잃는다. Rafael과 Isabel이 어머니를 돕는다. 법을 폐지하자는 쪽과 고치자는 쪽이 사무실 안에서도 갈린다.</t>
  </si>
  <si>
    <t xml:space="preserve">부모소외법(Lei 12.318/2010, 2022년 개정 Lei 14.340), 가정폭력법(Lei Maria da Penha)</t>
  </si>
  <si>
    <t xml:space="preserve">Rafael, Isabel, Bruno, Dumont</t>
  </si>
  <si>
    <t xml:space="preserve">N4</t>
  </si>
  <si>
    <t xml:space="preserve">Sem documentos</t>
  </si>
  <si>
    <t xml:space="preserve">서류 없는 사람들</t>
  </si>
  <si>
    <r>
      <rPr>
        <sz val="10"/>
        <rFont val="Arial"/>
        <family val="0"/>
        <charset val="1"/>
      </rPr>
      <t xml:space="preserve">Fátima</t>
    </r>
    <r>
      <rPr>
        <sz val="10"/>
        <rFont val="WenQuanYi Zen Hei"/>
        <family val="2"/>
      </rPr>
      <t xml:space="preserve">의 남편이 봉제 공장에서 일하는 볼리비아 출신 이웃들의 체류 허가와 노동 착취 문제를 들고 온다</t>
    </r>
    <r>
      <rPr>
        <sz val="10"/>
        <rFont val="Arial"/>
        <family val="0"/>
        <charset val="1"/>
      </rPr>
      <t xml:space="preserve">. Edson</t>
    </r>
    <r>
      <rPr>
        <sz val="10"/>
        <rFont val="WenQuanYi Zen Hei"/>
        <family val="2"/>
      </rPr>
      <t xml:space="preserve">은 노동</t>
    </r>
    <r>
      <rPr>
        <sz val="10"/>
        <rFont val="Arial"/>
        <family val="0"/>
        <charset val="1"/>
      </rPr>
      <t xml:space="preserve">(</t>
    </r>
    <r>
      <rPr>
        <sz val="10"/>
        <rFont val="WenQuanYi Zen Hei"/>
        <family val="2"/>
      </rPr>
      <t xml:space="preserve">노예 노동 유사 조건</t>
    </r>
    <r>
      <rPr>
        <sz val="10"/>
        <rFont val="Arial"/>
        <family val="0"/>
        <charset val="1"/>
      </rPr>
      <t xml:space="preserve">), Camila</t>
    </r>
    <r>
      <rPr>
        <sz val="10"/>
        <rFont val="WenQuanYi Zen Hei"/>
        <family val="2"/>
      </rPr>
      <t xml:space="preserve">는 의료 접근을 이야기하고 수용의 한계를 두고 의견이 갈린다</t>
    </r>
    <r>
      <rPr>
        <sz val="10"/>
        <rFont val="Arial"/>
        <family val="0"/>
        <charset val="1"/>
      </rPr>
      <t xml:space="preserve">.</t>
    </r>
  </si>
  <si>
    <t xml:space="preserve">이민법(Lei 13.445/2017) 체류 허가, 노예 노동 유사 조건(형법 제149조)</t>
  </si>
  <si>
    <r>
      <rPr>
        <sz val="10"/>
        <rFont val="Arial"/>
        <family val="0"/>
        <charset val="1"/>
      </rPr>
      <t xml:space="preserve">Rafael, Edson, Camila, Fátima(</t>
    </r>
    <r>
      <rPr>
        <sz val="10"/>
        <rFont val="WenQuanYi Zen Hei"/>
        <family val="2"/>
      </rPr>
      <t xml:space="preserve">가상</t>
    </r>
    <r>
      <rPr>
        <sz val="10"/>
        <rFont val="Arial"/>
        <family val="0"/>
        <charset val="1"/>
      </rPr>
      <t xml:space="preserve">)</t>
    </r>
  </si>
  <si>
    <t xml:space="preserve">A denúncia do Sérgio</t>
  </si>
  <si>
    <r>
      <rPr>
        <sz val="10"/>
        <rFont val="Arial"/>
        <family val="0"/>
        <charset val="1"/>
      </rPr>
      <t xml:space="preserve">Sérgio</t>
    </r>
    <r>
      <rPr>
        <sz val="10"/>
        <rFont val="WenQuanYi Zen Hei"/>
        <family val="2"/>
      </rPr>
      <t xml:space="preserve">의 제보</t>
    </r>
  </si>
  <si>
    <t xml:space="preserve">전 은행 지점장이 내부 자료를 들고 나온다. 내부고발자 보호 규정과 신고 채널을 검토한다.</t>
  </si>
  <si>
    <t xml:space="preserve">내부고발자 보호(Lei 13.608/2018), 신고 채널(canal de denúncias)</t>
  </si>
  <si>
    <t xml:space="preserve">Sérgio, Rafael, Bruno, Dumont</t>
  </si>
  <si>
    <t xml:space="preserve">O dossiê</t>
  </si>
  <si>
    <t xml:space="preserve">사건 파일</t>
  </si>
  <si>
    <r>
      <rPr>
        <sz val="10"/>
        <rFont val="Arial"/>
        <family val="0"/>
        <charset val="1"/>
      </rPr>
      <t xml:space="preserve">Bruno·Sérgio</t>
    </r>
    <r>
      <rPr>
        <sz val="10"/>
        <rFont val="WenQuanYi Zen Hei"/>
        <family val="2"/>
      </rPr>
      <t xml:space="preserve">의 자금 경로 </t>
    </r>
    <r>
      <rPr>
        <sz val="10"/>
        <rFont val="Arial"/>
        <family val="0"/>
        <charset val="1"/>
      </rPr>
      <t xml:space="preserve">+ Freire</t>
    </r>
    <r>
      <rPr>
        <sz val="10"/>
        <rFont val="WenQuanYi Zen Hei"/>
        <family val="2"/>
      </rPr>
      <t xml:space="preserve">의 공개 출처 </t>
    </r>
    <r>
      <rPr>
        <sz val="10"/>
        <rFont val="Arial"/>
        <family val="0"/>
        <charset val="1"/>
      </rPr>
      <t xml:space="preserve">+ Camila</t>
    </r>
    <r>
      <rPr>
        <sz val="10"/>
        <rFont val="WenQuanYi Zen Hei"/>
        <family val="2"/>
      </rPr>
      <t xml:space="preserve">의 사망 사례</t>
    </r>
    <r>
      <rPr>
        <sz val="10"/>
        <rFont val="Arial"/>
        <family val="0"/>
        <charset val="1"/>
      </rPr>
      <t xml:space="preserve">. Rafael</t>
    </r>
    <r>
      <rPr>
        <sz val="10"/>
        <rFont val="WenQuanYi Zen Hei"/>
        <family val="2"/>
      </rPr>
      <t xml:space="preserve">이 주민 협회 명의의 공익소송</t>
    </r>
    <r>
      <rPr>
        <sz val="10"/>
        <rFont val="Arial"/>
        <family val="0"/>
        <charset val="1"/>
      </rPr>
      <t xml:space="preserve">(ação civil pública)</t>
    </r>
    <r>
      <rPr>
        <sz val="10"/>
        <rFont val="WenQuanYi Zen Hei"/>
        <family val="2"/>
      </rPr>
      <t xml:space="preserve">을 쓰고 연방검찰</t>
    </r>
    <r>
      <rPr>
        <sz val="10"/>
        <rFont val="Arial"/>
        <family val="0"/>
        <charset val="1"/>
      </rPr>
      <t xml:space="preserve">(MPF)</t>
    </r>
    <r>
      <rPr>
        <sz val="10"/>
        <rFont val="WenQuanYi Zen Hei"/>
        <family val="2"/>
      </rPr>
      <t xml:space="preserve">에 고발장</t>
    </r>
    <r>
      <rPr>
        <sz val="10"/>
        <rFont val="Arial"/>
        <family val="0"/>
        <charset val="1"/>
      </rPr>
      <t xml:space="preserve">(representação)</t>
    </r>
    <r>
      <rPr>
        <sz val="10"/>
        <rFont val="WenQuanYi Zen Hei"/>
        <family val="2"/>
      </rPr>
      <t xml:space="preserve">을 낸다</t>
    </r>
    <r>
      <rPr>
        <sz val="10"/>
        <rFont val="Arial"/>
        <family val="0"/>
        <charset val="1"/>
      </rPr>
      <t xml:space="preserve">.</t>
    </r>
  </si>
  <si>
    <r>
      <rPr>
        <sz val="10"/>
        <rFont val="Arial"/>
        <family val="0"/>
        <charset val="1"/>
      </rPr>
      <t xml:space="preserve">ação civil pública(Lei 7.347/1985), </t>
    </r>
    <r>
      <rPr>
        <sz val="10"/>
        <rFont val="WenQuanYi Zen Hei"/>
        <family val="2"/>
      </rPr>
      <t xml:space="preserve">고발</t>
    </r>
    <r>
      <rPr>
        <sz val="10"/>
        <rFont val="Arial"/>
        <family val="0"/>
        <charset val="1"/>
      </rPr>
      <t xml:space="preserve">(representação), </t>
    </r>
    <r>
      <rPr>
        <sz val="10"/>
        <rFont val="WenQuanYi Zen Hei"/>
        <family val="2"/>
      </rPr>
      <t xml:space="preserve">연방검찰</t>
    </r>
    <r>
      <rPr>
        <sz val="10"/>
        <rFont val="Arial"/>
        <family val="0"/>
        <charset val="1"/>
      </rPr>
      <t xml:space="preserve">(MPF)</t>
    </r>
  </si>
  <si>
    <t xml:space="preserve">Rafael, Bruno, Sérgio, Freire, Camila</t>
  </si>
  <si>
    <t xml:space="preserve">Represálias</t>
  </si>
  <si>
    <t xml:space="preserve">보복</t>
  </si>
  <si>
    <t xml:space="preserve">명예훼손 소송 수십 건이 Dumont에게 한꺼번에(사법적 괴롭힘), 위생 점검이 Marta의 바에 날아온다. 익명의 협박이 이어진다.</t>
  </si>
  <si>
    <t xml:space="preserve">명예훼손, 사법적 괴롭힘(assédio judicial), 보복</t>
  </si>
  <si>
    <t xml:space="preserve">Dumont, Marta, Rafael, Zumbi</t>
  </si>
  <si>
    <t xml:space="preserve">O microfone na luminária</t>
  </si>
  <si>
    <t xml:space="preserve">전등 속 마이크</t>
  </si>
  <si>
    <r>
      <rPr>
        <sz val="10"/>
        <rFont val="Arial"/>
        <family val="0"/>
        <charset val="1"/>
      </rPr>
      <t xml:space="preserve">Freire</t>
    </r>
    <r>
      <rPr>
        <sz val="10"/>
        <rFont val="WenQuanYi Zen Hei"/>
        <family val="2"/>
      </rPr>
      <t xml:space="preserve">가 도청기를 찾아낸다</t>
    </r>
    <r>
      <rPr>
        <sz val="10"/>
        <rFont val="Arial"/>
        <family val="0"/>
        <charset val="1"/>
      </rPr>
      <t xml:space="preserve">. </t>
    </r>
    <r>
      <rPr>
        <sz val="10"/>
        <rFont val="WenQuanYi Zen Hei"/>
        <family val="2"/>
      </rPr>
      <t xml:space="preserve">도청기를 그대로 두고 거짓 정보를 흘리자는 </t>
    </r>
    <r>
      <rPr>
        <sz val="10"/>
        <rFont val="Arial"/>
        <family val="0"/>
        <charset val="1"/>
      </rPr>
      <t xml:space="preserve">Freire</t>
    </r>
    <r>
      <rPr>
        <sz val="10"/>
        <rFont val="WenQuanYi Zen Hei"/>
        <family val="2"/>
      </rPr>
      <t xml:space="preserve">와 합법 경로만 쓰자는 </t>
    </r>
    <r>
      <rPr>
        <sz val="10"/>
        <rFont val="Arial"/>
        <family val="0"/>
        <charset val="1"/>
      </rPr>
      <t xml:space="preserve">Rafael</t>
    </r>
    <r>
      <rPr>
        <sz val="10"/>
        <rFont val="WenQuanYi Zen Hei"/>
        <family val="2"/>
      </rPr>
      <t xml:space="preserve">이 충돌한다</t>
    </r>
    <r>
      <rPr>
        <sz val="10"/>
        <rFont val="Arial"/>
        <family val="0"/>
        <charset val="1"/>
      </rPr>
      <t xml:space="preserve">.</t>
    </r>
  </si>
  <si>
    <t xml:space="preserve">위법 수집 증거(헌법 제5조 LVI), 통신 비밀</t>
  </si>
  <si>
    <t xml:space="preserve">Freire, Rafael, Zumbi, Isabel</t>
  </si>
  <si>
    <t xml:space="preserve">A guarda do bairro</t>
  </si>
  <si>
    <t xml:space="preserve">동네의 보초</t>
  </si>
  <si>
    <t xml:space="preserve">사무소 앞에 이웃들이 교대로 서서 지킨다. Edson이 조직하고 Machado가 벽에 문구를 붙인다.</t>
  </si>
  <si>
    <t xml:space="preserve">연대·조직 표현</t>
  </si>
  <si>
    <t xml:space="preserve">Edson, Machado, Marta, Zumbi</t>
  </si>
  <si>
    <t xml:space="preserve">A decisão</t>
  </si>
  <si>
    <t xml:space="preserve">법원 결정</t>
  </si>
  <si>
    <t xml:space="preserve">연방법원 판사가 기소를 받아들이고 연방경찰의 압수수색 작전이 시작된다. GM 임원 세 명이 피고인이 된다. 사무실이 환호한다.</t>
  </si>
  <si>
    <t xml:space="preserve">기소 수리(recebimento da denúncia), 압수수색(busca e apreensão), 피고인(réu)</t>
  </si>
  <si>
    <t xml:space="preserve">Rafael, Bruno, Dumont, Sérgio</t>
  </si>
  <si>
    <t xml:space="preserve">A lei que vem</t>
  </si>
  <si>
    <t xml:space="preserve">다가오는 법</t>
  </si>
  <si>
    <r>
      <rPr>
        <sz val="10"/>
        <rFont val="Arial"/>
        <family val="0"/>
        <charset val="1"/>
      </rPr>
      <t xml:space="preserve">GM</t>
    </r>
    <r>
      <rPr>
        <sz val="10"/>
        <rFont val="WenQuanYi Zen Hei"/>
        <family val="2"/>
      </rPr>
      <t xml:space="preserve">과 가까운 의원들이 시민단체의 공익소송 제기 자격을 제한하는 법안</t>
    </r>
    <r>
      <rPr>
        <sz val="10"/>
        <rFont val="Arial"/>
        <family val="0"/>
        <charset val="1"/>
      </rPr>
      <t xml:space="preserve">(</t>
    </r>
    <r>
      <rPr>
        <sz val="10"/>
        <rFont val="WenQuanYi Zen Hei"/>
        <family val="2"/>
      </rPr>
      <t xml:space="preserve">가상</t>
    </r>
    <r>
      <rPr>
        <sz val="10"/>
        <rFont val="Arial"/>
        <family val="0"/>
        <charset val="1"/>
      </rPr>
      <t xml:space="preserve">)</t>
    </r>
    <r>
      <rPr>
        <sz val="10"/>
        <rFont val="WenQuanYi Zen Hei"/>
        <family val="2"/>
      </rPr>
      <t xml:space="preserve">을 낸다</t>
    </r>
    <r>
      <rPr>
        <sz val="10"/>
        <rFont val="Arial"/>
        <family val="0"/>
        <charset val="1"/>
      </rPr>
      <t xml:space="preserve">. Dom Pedro: «Sentenças se ganham; leis se escrevem.»</t>
    </r>
  </si>
  <si>
    <t xml:space="preserve">법안 발의, 소송 자격 제한</t>
  </si>
  <si>
    <t xml:space="preserve">Dom Pedro, Rafael, Juliana, Edson</t>
  </si>
  <si>
    <t xml:space="preserve">P1·P3</t>
  </si>
  <si>
    <t xml:space="preserve">Uma cadeira na Paulista</t>
  </si>
  <si>
    <t xml:space="preserve">파울리스타의 의자</t>
  </si>
  <si>
    <r>
      <rPr>
        <sz val="10"/>
        <rFont val="Arial"/>
        <family val="0"/>
        <charset val="1"/>
      </rPr>
      <t xml:space="preserve">Edson</t>
    </r>
    <r>
      <rPr>
        <sz val="10"/>
        <rFont val="WenQuanYi Zen Hei"/>
        <family val="2"/>
      </rPr>
      <t xml:space="preserve">이 </t>
    </r>
    <r>
      <rPr>
        <sz val="10"/>
        <rFont val="Arial"/>
        <family val="0"/>
        <charset val="1"/>
      </rPr>
      <t xml:space="preserve">Paulista </t>
    </r>
    <r>
      <rPr>
        <sz val="10"/>
        <rFont val="WenQuanYi Zen Hei"/>
        <family val="2"/>
      </rPr>
      <t xml:space="preserve">대로에서 모이자고 제안한다</t>
    </r>
    <r>
      <rPr>
        <sz val="10"/>
        <rFont val="Arial"/>
        <family val="0"/>
        <charset val="1"/>
      </rPr>
      <t xml:space="preserve">. Marta</t>
    </r>
    <r>
      <rPr>
        <sz val="10"/>
        <rFont val="WenQuanYi Zen Hei"/>
        <family val="2"/>
      </rPr>
      <t xml:space="preserve">가 식탁의 의자를 든다</t>
    </r>
    <r>
      <rPr>
        <sz val="10"/>
        <rFont val="Arial"/>
        <family val="0"/>
        <charset val="1"/>
      </rPr>
      <t xml:space="preserve">. Rafael</t>
    </r>
    <r>
      <rPr>
        <sz val="10"/>
        <rFont val="WenQuanYi Zen Hei"/>
        <family val="2"/>
      </rPr>
      <t xml:space="preserve">이 </t>
    </r>
    <r>
      <rPr>
        <sz val="10"/>
        <rFont val="Arial"/>
        <family val="0"/>
        <charset val="1"/>
      </rPr>
      <t xml:space="preserve">«A gente tem que mudar a lei.»</t>
    </r>
  </si>
  <si>
    <t xml:space="preserve">결단, 제안</t>
  </si>
  <si>
    <t xml:space="preserve">P1</t>
  </si>
  <si>
    <t xml:space="preserve">A assembleia na Paulista</t>
  </si>
  <si>
    <t xml:space="preserve">파울리스타 대로의 집회</t>
  </si>
  <si>
    <t xml:space="preserve">사무소를 거쳐 간 의뢰인 수백 명이 MASP 앞 광장(vão livre)에 모인다. Edson과 Zumbi가 조직하고, 집회 사전 통지를 두고 Rafael과 Zumbi가 실랑이.</t>
  </si>
  <si>
    <t xml:space="preserve">집회는 사전 통지만(헌법 제5조 XVI). 교통 통제는 시 교통공사(CET)와 협의</t>
  </si>
  <si>
    <t xml:space="preserve">Edson, Zumbi, Rafael</t>
  </si>
  <si>
    <t xml:space="preserve">Do caso à lei</t>
  </si>
  <si>
    <t xml:space="preserve">사건에서 법으로</t>
  </si>
  <si>
    <r>
      <rPr>
        <sz val="10"/>
        <rFont val="Arial"/>
        <family val="0"/>
        <charset val="1"/>
      </rPr>
      <t xml:space="preserve">Rafael</t>
    </r>
    <r>
      <rPr>
        <sz val="10"/>
        <rFont val="WenQuanYi Zen Hei"/>
        <family val="2"/>
      </rPr>
      <t xml:space="preserve">이 수십 건의 사건에서 같은 조항이 반복되는 것을 짚는다</t>
    </r>
    <r>
      <rPr>
        <sz val="10"/>
        <rFont val="Arial"/>
        <family val="0"/>
        <charset val="1"/>
      </rPr>
      <t xml:space="preserve">. </t>
    </r>
    <r>
      <rPr>
        <sz val="10"/>
        <rFont val="WenQuanYi Zen Hei"/>
        <family val="2"/>
      </rPr>
      <t xml:space="preserve">법을 바꿔야 한다</t>
    </r>
    <r>
      <rPr>
        <sz val="10"/>
        <rFont val="Arial"/>
        <family val="0"/>
        <charset val="1"/>
      </rPr>
      <t xml:space="preserve">.</t>
    </r>
  </si>
  <si>
    <t xml:space="preserve">법을 바꾸는 세 길: 정부 법안, 의원 법안, 국민발안(iniciativa popular)</t>
  </si>
  <si>
    <t xml:space="preserve">Rafael, Larissa</t>
  </si>
  <si>
    <t xml:space="preserve">Um milhão e meio de assinaturas</t>
  </si>
  <si>
    <r>
      <rPr>
        <sz val="10"/>
        <rFont val="Arial"/>
        <family val="0"/>
        <charset val="1"/>
      </rPr>
      <t xml:space="preserve">150</t>
    </r>
    <r>
      <rPr>
        <sz val="10"/>
        <rFont val="WenQuanYi Zen Hei"/>
        <family val="2"/>
      </rPr>
      <t xml:space="preserve">만 서명</t>
    </r>
  </si>
  <si>
    <t xml:space="preserve">국민발안 서명 운동. Marta의 바가 서명 접수처가 된다. 5개 주 이상에서 모아야 한다는 조건에 전국 순회가 시작된다.</t>
  </si>
  <si>
    <t xml:space="preserve">국민발안: 전국 유권자 1%, 5개 주 이상·각 주 0.3% 이상(헌법 제61조 2항). 선례: 클린기록법(Ficha Limpa)</t>
  </si>
  <si>
    <t xml:space="preserve">Marta, Edson, Larissa</t>
  </si>
  <si>
    <t xml:space="preserve">S1·S2</t>
  </si>
  <si>
    <t xml:space="preserve">전환점</t>
  </si>
  <si>
    <t xml:space="preserve">A gaveta</t>
  </si>
  <si>
    <t xml:space="preserve">서랍 속 법안</t>
  </si>
  <si>
    <t xml:space="preserve">서명 제출 후 서명 검증이 불가능하다는 이유로 법안은 한 의원이 '대신 발의'하는 형식이 되고, 그 의원이 핵심 조항을 빼 버린다. 하원의장은 표결 일정조차 잡지 않는다. 방청석의 시민들.</t>
  </si>
  <si>
    <t xml:space="preserve">국민발안의 현실: 의원 대리 발의 관행, 의장의 의사일정 권한, 서랍 행(engavetar)</t>
  </si>
  <si>
    <t xml:space="preserve">Rafael, Dumont</t>
  </si>
  <si>
    <t xml:space="preserve">Nasce um partido</t>
  </si>
  <si>
    <t xml:space="preserve">정당의 탄생</t>
  </si>
  <si>
    <t xml:space="preserve">이름을 정한다: «Casa Comum» — Marta의 식탁에서 나온 이름. 창립 문서에 서명하고 브라질리아 등기소에 등록한다. 이제 2년 안에 정당 가입자가 아닌 유권자 약 55만 명의 지지 서명을 9개 주 이상에서 모아야 선거법원(TSE)에 등록된다.</t>
  </si>
  <si>
    <t xml:space="preserve">정당법(Lei 9.096/1995): 등기 → 지지 서명(직전 하원선거 유효표 0.5%, 9개 주 이상, 2년 내) → TSE 등록</t>
  </si>
  <si>
    <t xml:space="preserve">Marta, Machado, Rafael</t>
  </si>
  <si>
    <t xml:space="preserve">O estatuto</t>
  </si>
  <si>
    <t xml:space="preserve">정관</t>
  </si>
  <si>
    <t xml:space="preserve">당원 자격, 윤리 강령, 후보 선출 방식을 둘러싼 토론. Juliana의 조직도 vs Edson의 총회.</t>
  </si>
  <si>
    <t xml:space="preserve">정당 자율과 내부 운영(헌법 제17조 1항), 정관</t>
  </si>
  <si>
    <t xml:space="preserve">Dinheiro limpo</t>
  </si>
  <si>
    <t xml:space="preserve">깨끗한 돈</t>
  </si>
  <si>
    <t xml:space="preserve">기업 후원 금지, 소액 후원과 온라인 모금(vaquinha), 회계 공개. 은행이 계좌 개설을 미룬다. Sérgio의 노하우.</t>
  </si>
  <si>
    <t xml:space="preserve">기업 후원 금지(STF 2015), 정당기금·선거기금 배분, 온라인 모금(Lei 9.504 제23조), 회계 보고</t>
  </si>
  <si>
    <t xml:space="preserve">As candidaturas</t>
  </si>
  <si>
    <t xml:space="preserve">후보 등록</t>
  </si>
  <si>
    <r>
      <rPr>
        <sz val="10"/>
        <rFont val="Arial"/>
        <family val="0"/>
        <charset val="1"/>
      </rPr>
      <t xml:space="preserve">Rafael</t>
    </r>
    <r>
      <rPr>
        <sz val="10"/>
        <rFont val="WenQuanYi Zen Hei"/>
        <family val="2"/>
      </rPr>
      <t xml:space="preserve">은 시장 후보</t>
    </r>
    <r>
      <rPr>
        <sz val="10"/>
        <rFont val="Arial"/>
        <family val="0"/>
        <charset val="1"/>
      </rPr>
      <t xml:space="preserve">, Bruno·Camila</t>
    </r>
    <r>
      <rPr>
        <sz val="10"/>
        <rFont val="WenQuanYi Zen Hei"/>
        <family val="2"/>
      </rPr>
      <t xml:space="preserve">는 시의원 후보</t>
    </r>
    <r>
      <rPr>
        <sz val="10"/>
        <rFont val="Arial"/>
        <family val="0"/>
        <charset val="1"/>
      </rPr>
      <t xml:space="preserve">. </t>
    </r>
    <r>
      <rPr>
        <sz val="10"/>
        <rFont val="WenQuanYi Zen Hei"/>
        <family val="2"/>
      </rPr>
      <t xml:space="preserve">개방형 명부라 후보끼리도 표를 다툰다</t>
    </r>
    <r>
      <rPr>
        <sz val="10"/>
        <rFont val="Arial"/>
        <family val="0"/>
        <charset val="1"/>
      </rPr>
      <t xml:space="preserve">. </t>
    </r>
    <r>
      <rPr>
        <sz val="10"/>
        <rFont val="WenQuanYi Zen Hei"/>
        <family val="2"/>
      </rPr>
      <t xml:space="preserve">여성 후보 </t>
    </r>
    <r>
      <rPr>
        <sz val="10"/>
        <rFont val="Arial"/>
        <family val="0"/>
        <charset val="1"/>
      </rPr>
      <t xml:space="preserve">30% </t>
    </r>
    <r>
      <rPr>
        <sz val="10"/>
        <rFont val="WenQuanYi Zen Hei"/>
        <family val="2"/>
      </rPr>
      <t xml:space="preserve">할당을 </t>
    </r>
    <r>
      <rPr>
        <sz val="10"/>
        <rFont val="Arial"/>
        <family val="0"/>
        <charset val="1"/>
      </rPr>
      <t xml:space="preserve">'</t>
    </r>
    <r>
      <rPr>
        <sz val="10"/>
        <rFont val="WenQuanYi Zen Hei"/>
        <family val="2"/>
      </rPr>
      <t xml:space="preserve">유령 후보</t>
    </r>
    <r>
      <rPr>
        <sz val="10"/>
        <rFont val="Arial"/>
        <family val="0"/>
        <charset val="1"/>
      </rPr>
      <t xml:space="preserve">(laranja)'</t>
    </r>
    <r>
      <rPr>
        <sz val="10"/>
        <rFont val="WenQuanYi Zen Hei"/>
        <family val="2"/>
      </rPr>
      <t xml:space="preserve">로 채우자는 유혹을 </t>
    </r>
    <r>
      <rPr>
        <sz val="10"/>
        <rFont val="Arial"/>
        <family val="0"/>
        <charset val="1"/>
      </rPr>
      <t xml:space="preserve">Larissa</t>
    </r>
    <r>
      <rPr>
        <sz val="10"/>
        <rFont val="WenQuanYi Zen Hei"/>
        <family val="2"/>
      </rPr>
      <t xml:space="preserve">가 거부한다</t>
    </r>
    <r>
      <rPr>
        <sz val="10"/>
        <rFont val="Arial"/>
        <family val="0"/>
        <charset val="1"/>
      </rPr>
      <t xml:space="preserve">.</t>
    </r>
  </si>
  <si>
    <t xml:space="preserve">개방형 비례대표 명부, 성별 할당 30%(Lei 9.504 제10조 3항), 유령 후보 금지</t>
  </si>
  <si>
    <t xml:space="preserve">Bruno, Camila, Rafael, Larissa</t>
  </si>
  <si>
    <t xml:space="preserve">N4·S1</t>
  </si>
  <si>
    <t xml:space="preserve">Campanha nos bairros</t>
  </si>
  <si>
    <t xml:space="preserve">골목길 캠페인</t>
  </si>
  <si>
    <r>
      <rPr>
        <sz val="10"/>
        <rFont val="Arial"/>
        <family val="0"/>
        <charset val="1"/>
      </rPr>
      <t xml:space="preserve">Marta</t>
    </r>
    <r>
      <rPr>
        <sz val="10"/>
        <rFont val="WenQuanYi Zen Hei"/>
        <family val="2"/>
      </rPr>
      <t xml:space="preserve">의 바에서 시작해 동부</t>
    </r>
    <r>
      <rPr>
        <sz val="10"/>
        <rFont val="Arial"/>
        <family val="0"/>
        <charset val="1"/>
      </rPr>
      <t xml:space="preserve">(Zona Leste) </t>
    </r>
    <r>
      <rPr>
        <sz val="10"/>
        <rFont val="WenQuanYi Zen Hei"/>
        <family val="2"/>
      </rPr>
      <t xml:space="preserve">골목을 도는 유세</t>
    </r>
    <r>
      <rPr>
        <sz val="10"/>
        <rFont val="Arial"/>
        <family val="0"/>
        <charset val="1"/>
      </rPr>
      <t xml:space="preserve">. Machado</t>
    </r>
    <r>
      <rPr>
        <sz val="10"/>
        <rFont val="WenQuanYi Zen Hei"/>
        <family val="2"/>
      </rPr>
      <t xml:space="preserve">의 첫 선거 문구</t>
    </r>
    <r>
      <rPr>
        <sz val="10"/>
        <rFont val="Arial"/>
        <family val="0"/>
        <charset val="1"/>
      </rPr>
      <t xml:space="preserve">.</t>
    </r>
  </si>
  <si>
    <t xml:space="preserve">공식 선거운동(8월 16일부터), 지역선거법원(TRE-SP) 감독</t>
  </si>
  <si>
    <t xml:space="preserve">Machado, Marta, Zumbi</t>
  </si>
  <si>
    <t xml:space="preserve">E1·E2·S2</t>
  </si>
  <si>
    <t xml:space="preserve">O ataque da imprensa</t>
  </si>
  <si>
    <t xml:space="preserve">언론의 공격</t>
  </si>
  <si>
    <t xml:space="preserve">왜곡 기사와 가짜뉴스 영상이 퍼진다. Dumont이 반박하고 선거법원에 반론권을 청구한다.</t>
  </si>
  <si>
    <t xml:space="preserve">선거 중 반론권(Lei 9.504 제58조), 반론권법(Lei 13.188/2015)</t>
  </si>
  <si>
    <t xml:space="preserve">Dumont, Rafael</t>
  </si>
  <si>
    <t xml:space="preserve">A véspera</t>
  </si>
  <si>
    <t xml:space="preserve">선거 전날</t>
  </si>
  <si>
    <t xml:space="preserve">선거 전날, 마지막 유세의 유혹과 투표일 투표소 앞 선거운동(boca de urna) 금지 규칙. Isabel의 되받기가 처음으로 위로가 된다.</t>
  </si>
  <si>
    <t xml:space="preserve">선거일 투표소 선거운동 금지(Lei 9.504 제39조 5항), 전날까지 허용되는 선전</t>
  </si>
  <si>
    <t xml:space="preserve">Isabel, Juliana</t>
  </si>
  <si>
    <t xml:space="preserve">A noite da apuração</t>
  </si>
  <si>
    <t xml:space="preserve">개표의 밤</t>
  </si>
  <si>
    <t xml:space="preserve">전자투표라 개표는 몇 시간 만에 끝난다. 시의회 55석 중 7석, 시장 선거는 Rafael 3위(가상 수치). 결선은 UCN과 PPS의 몫.</t>
  </si>
  <si>
    <t xml:space="preserve">선거지수(quociente eleitoral), 시장 결선(유권자 20만 명 이상 도시), 전자투표기(urna eletrônica)</t>
  </si>
  <si>
    <t xml:space="preserve">A posse na Câmara</t>
  </si>
  <si>
    <t xml:space="preserve">시의회 취임</t>
  </si>
  <si>
    <r>
      <rPr>
        <sz val="10"/>
        <rFont val="Arial"/>
        <family val="0"/>
        <charset val="1"/>
      </rPr>
      <t xml:space="preserve">1</t>
    </r>
    <r>
      <rPr>
        <sz val="10"/>
        <rFont val="WenQuanYi Zen Hei"/>
        <family val="2"/>
      </rPr>
      <t xml:space="preserve">월 </t>
    </r>
    <r>
      <rPr>
        <sz val="10"/>
        <rFont val="Arial"/>
        <family val="0"/>
        <charset val="1"/>
      </rPr>
      <t xml:space="preserve">1</t>
    </r>
    <r>
      <rPr>
        <sz val="10"/>
        <rFont val="WenQuanYi Zen Hei"/>
        <family val="2"/>
      </rPr>
      <t xml:space="preserve">일</t>
    </r>
    <r>
      <rPr>
        <sz val="10"/>
        <rFont val="Arial"/>
        <family val="0"/>
        <charset val="1"/>
      </rPr>
      <t xml:space="preserve">, </t>
    </r>
    <r>
      <rPr>
        <sz val="10"/>
        <rFont val="WenQuanYi Zen Hei"/>
        <family val="2"/>
      </rPr>
      <t xml:space="preserve">시의원 취임과 의장단</t>
    </r>
    <r>
      <rPr>
        <sz val="10"/>
        <rFont val="Arial"/>
        <family val="0"/>
        <charset val="1"/>
      </rPr>
      <t xml:space="preserve">(Mesa) </t>
    </r>
    <r>
      <rPr>
        <sz val="10"/>
        <rFont val="WenQuanYi Zen Hei"/>
        <family val="2"/>
      </rPr>
      <t xml:space="preserve">선출</t>
    </r>
    <r>
      <rPr>
        <sz val="10"/>
        <rFont val="Arial"/>
        <family val="0"/>
        <charset val="1"/>
      </rPr>
      <t xml:space="preserve">. </t>
    </r>
    <r>
      <rPr>
        <sz val="10"/>
        <rFont val="WenQuanYi Zen Hei"/>
        <family val="2"/>
      </rPr>
      <t xml:space="preserve">결선에서 이긴 </t>
    </r>
    <r>
      <rPr>
        <sz val="10"/>
        <rFont val="Arial"/>
        <family val="0"/>
        <charset val="1"/>
      </rPr>
      <t xml:space="preserve">UCN </t>
    </r>
    <r>
      <rPr>
        <sz val="10"/>
        <rFont val="WenQuanYi Zen Hei"/>
        <family val="2"/>
      </rPr>
      <t xml:space="preserve">시장이 취임한다</t>
    </r>
    <r>
      <rPr>
        <sz val="10"/>
        <rFont val="Arial"/>
        <family val="0"/>
        <charset val="1"/>
      </rPr>
      <t xml:space="preserve">. Casa Comum</t>
    </r>
    <r>
      <rPr>
        <sz val="10"/>
        <rFont val="WenQuanYi Zen Hei"/>
        <family val="2"/>
      </rPr>
      <t xml:space="preserve">은 소수 야당이 된다</t>
    </r>
    <r>
      <rPr>
        <sz val="10"/>
        <rFont val="Arial"/>
        <family val="0"/>
        <charset val="1"/>
      </rPr>
      <t xml:space="preserve">.</t>
    </r>
  </si>
  <si>
    <t xml:space="preserve">시의원 취임(1월 1일), 의장단 선출, 시 조직법(Lei Orgânica do Município)</t>
  </si>
  <si>
    <t xml:space="preserve">Bruno, Camila, Rafael</t>
  </si>
  <si>
    <t xml:space="preserve">A primeira sessão</t>
  </si>
  <si>
    <t xml:space="preserve">첫 본회의</t>
  </si>
  <si>
    <t xml:space="preserve">발언 시간, 질의(requerimento)·법안 절차를 배우는 신참 의원들. Larissa의 질문 연발.</t>
  </si>
  <si>
    <t xml:space="preserve">본회의 운영: 소발언·대발언 시간, requerimento, projeto de lei</t>
  </si>
  <si>
    <t xml:space="preserve">Bruno, Larissa</t>
  </si>
  <si>
    <t xml:space="preserve">A auditoria da cidade</t>
  </si>
  <si>
    <t xml:space="preserve">도시 예산 감사</t>
  </si>
  <si>
    <r>
      <rPr>
        <sz val="10"/>
        <rFont val="Arial"/>
        <family val="0"/>
        <charset val="1"/>
      </rPr>
      <t xml:space="preserve">Bruno</t>
    </r>
    <r>
      <rPr>
        <sz val="10"/>
        <rFont val="WenQuanYi Zen Hei"/>
        <family val="2"/>
      </rPr>
      <t xml:space="preserve">가 시 예산과 결산을 파고들고 </t>
    </r>
    <r>
      <rPr>
        <sz val="10"/>
        <rFont val="Arial"/>
        <family val="0"/>
        <charset val="1"/>
      </rPr>
      <t xml:space="preserve">Sérgio</t>
    </r>
    <r>
      <rPr>
        <sz val="10"/>
        <rFont val="WenQuanYi Zen Hei"/>
        <family val="2"/>
      </rPr>
      <t xml:space="preserve">가 계좌 흐름을 그린다</t>
    </r>
    <r>
      <rPr>
        <sz val="10"/>
        <rFont val="Arial"/>
        <family val="0"/>
        <charset val="1"/>
      </rPr>
      <t xml:space="preserve">. </t>
    </r>
    <r>
      <rPr>
        <sz val="10"/>
        <rFont val="WenQuanYi Zen Hei"/>
        <family val="2"/>
      </rPr>
      <t xml:space="preserve">시 감사원</t>
    </r>
    <r>
      <rPr>
        <sz val="10"/>
        <rFont val="Arial"/>
        <family val="0"/>
        <charset val="1"/>
      </rPr>
      <t xml:space="preserve">(TCM-SP)</t>
    </r>
    <r>
      <rPr>
        <sz val="10"/>
        <rFont val="WenQuanYi Zen Hei"/>
        <family val="2"/>
      </rPr>
      <t xml:space="preserve">의 옛 보고서가 단서가 된다</t>
    </r>
    <r>
      <rPr>
        <sz val="10"/>
        <rFont val="Arial"/>
        <family val="0"/>
        <charset val="1"/>
      </rPr>
      <t xml:space="preserve">.</t>
    </r>
  </si>
  <si>
    <t xml:space="preserve">시 예산·결산, 시 감사원(Tribunal de Contas do Município de São Paulo)</t>
  </si>
  <si>
    <t xml:space="preserve">Contratos sob a lupa</t>
  </si>
  <si>
    <t xml:space="preserve">돋보기 아래의 계약들</t>
  </si>
  <si>
    <t xml:space="preserve">시 주택공사(COHAB-SP) 계약 쪼개기와, 연방 의원들이 시에 보낸 '특별 이전 예산(emendas Pix)'이 소수 업체로 흘러간 정황. 행정 병목 때문에 일부는 집행조차 못 했다.</t>
  </si>
  <si>
    <t xml:space="preserve">공공조달법(Lei 14.133/2021), 분할 발주(fracionamento), 의원 예산 수정·특별 이전의 투명성(STF 2024 결정)</t>
  </si>
  <si>
    <t xml:space="preserve">Bruno, Freire, Sérgio</t>
  </si>
  <si>
    <t xml:space="preserve">N2</t>
  </si>
  <si>
    <t xml:space="preserve">A aliança incômoda</t>
  </si>
  <si>
    <t xml:space="preserve">불편한 동맹</t>
  </si>
  <si>
    <t xml:space="preserve">시 예산안 통과를 위해 중도 연합(Centrão)의 시의원들과 표를 맞바꿔야 하는 딜레마. Edson 반대.</t>
  </si>
  <si>
    <t xml:space="preserve">소수 의원단의 캐스팅보트, 시 예산안(LOA) 표결</t>
  </si>
  <si>
    <t xml:space="preserve">A armadilha do orçamento</t>
  </si>
  <si>
    <t xml:space="preserve">예산의 덫</t>
  </si>
  <si>
    <t xml:space="preserve">예산 부속 조항에 숨은 임대료 보조(auxílio-aluguel) 20% 삭감과 단기 임대용 고층 개발을 풀어 주는 용도지역 변경 조항. Larissa의 2차 폭발. Dom Pedro가 선을 넘고 Zumbi·Marta가 나무란다.</t>
  </si>
  <si>
    <t xml:space="preserve">시 예산안·예산지침법(LDO), 재정위원회, 도시계획·용도지역법(zoneamento)</t>
  </si>
  <si>
    <t xml:space="preserve">Larissa, Bruno, Dom Pedro, Zumbi, Marta</t>
  </si>
  <si>
    <t xml:space="preserve">Saúde na Câmara</t>
  </si>
  <si>
    <t xml:space="preserve">시의회의 보건</t>
  </si>
  <si>
    <t xml:space="preserve">남부 외곽 보건소가 문을 닫고 대기 줄이 늘어난다. Camila가 보건위원회에서 사회조직(OSS) 위탁 계약 자료를 요구하고 의회조사위원회(CPI) 서명(의원 3분의 1)을 모은다.</t>
  </si>
  <si>
    <r>
      <rPr>
        <sz val="10"/>
        <rFont val="Noto Sans CJK SC"/>
        <family val="2"/>
        <charset val="1"/>
      </rPr>
      <t xml:space="preserve">SUS</t>
    </r>
    <r>
      <rPr>
        <sz val="10"/>
        <rFont val="WenQuanYi Zen Hei"/>
        <family val="2"/>
      </rPr>
      <t xml:space="preserve">에서 시의 권한</t>
    </r>
    <r>
      <rPr>
        <sz val="10"/>
        <rFont val="Noto Sans CJK SC"/>
        <family val="2"/>
        <charset val="1"/>
      </rPr>
      <t xml:space="preserve">(1</t>
    </r>
    <r>
      <rPr>
        <sz val="10"/>
        <rFont val="WenQuanYi Zen Hei"/>
        <family val="2"/>
      </rPr>
      <t xml:space="preserve">차 의료</t>
    </r>
    <r>
      <rPr>
        <sz val="10"/>
        <rFont val="Noto Sans CJK SC"/>
        <family val="2"/>
        <charset val="1"/>
      </rPr>
      <t xml:space="preserve">·</t>
    </r>
    <r>
      <rPr>
        <sz val="10"/>
        <rFont val="WenQuanYi Zen Hei"/>
        <family val="2"/>
      </rPr>
      <t xml:space="preserve">시립병원</t>
    </r>
    <r>
      <rPr>
        <sz val="10"/>
        <rFont val="Noto Sans CJK SC"/>
        <family val="2"/>
        <charset val="1"/>
      </rPr>
      <t xml:space="preserve">), OSS </t>
    </r>
    <r>
      <rPr>
        <sz val="10"/>
        <rFont val="WenQuanYi Zen Hei"/>
        <family val="2"/>
      </rPr>
      <t xml:space="preserve">관리계약</t>
    </r>
    <r>
      <rPr>
        <sz val="10"/>
        <rFont val="Noto Sans CJK SC"/>
        <family val="2"/>
        <charset val="1"/>
      </rPr>
      <t xml:space="preserve">, </t>
    </r>
    <r>
      <rPr>
        <sz val="10"/>
        <rFont val="WenQuanYi Zen Hei"/>
        <family val="2"/>
      </rPr>
      <t xml:space="preserve">시의회 </t>
    </r>
    <r>
      <rPr>
        <sz val="10"/>
        <rFont val="Noto Sans CJK SC"/>
        <family val="2"/>
        <charset val="1"/>
      </rPr>
      <t xml:space="preserve">CPI</t>
    </r>
  </si>
  <si>
    <t xml:space="preserve">Camila, Dumont</t>
  </si>
  <si>
    <t xml:space="preserve">O escândalo revelado</t>
  </si>
  <si>
    <t xml:space="preserve">파헤쳐진 스캔들</t>
  </si>
  <si>
    <t xml:space="preserve">위탁 계약과 시 계약이 한 회사로 이어진다. Freire가 출처를 가리키고 Rafael은 합법 증거만 쓰자고 고집한다.</t>
  </si>
  <si>
    <t xml:space="preserve">위법 수집 증거(헌법 제5조 LVI, 형사소송법 제157조), 내부고발자 보호(Lei 13.608/2018)</t>
  </si>
  <si>
    <t xml:space="preserve">Freire, Rafael, Sérgio</t>
  </si>
  <si>
    <t xml:space="preserve">A representação</t>
  </si>
  <si>
    <t xml:space="preserve">고발장</t>
  </si>
  <si>
    <t xml:space="preserve">사무소가 주 검찰 반부패팀(GAECO)에 고발하고, 시민 명의로 시민소송(ação popular)을 제기한다.</t>
  </si>
  <si>
    <t xml:space="preserve">시민소송(Lei 4.717/1965, 헌법 제5조 LXXIII), 주 검찰(MPSP), 사법 지연</t>
  </si>
  <si>
    <t xml:space="preserve">A resposta do poder</t>
  </si>
  <si>
    <t xml:space="preserve">권력의 반격</t>
  </si>
  <si>
    <t xml:space="preserve">명예훼손 소송과 가짜뉴스 여론전. Isabel과 Machado가 대응 메시지를 설계한다.</t>
  </si>
  <si>
    <t xml:space="preserve">명예훼손 소송, 반론권, 가짜뉴스 대응</t>
  </si>
  <si>
    <t xml:space="preserve">Machado, Isabel</t>
  </si>
  <si>
    <t xml:space="preserve">A lealdade à prova</t>
  </si>
  <si>
    <t xml:space="preserve">시험대에 오른 의리</t>
  </si>
  <si>
    <t xml:space="preserve">대선에 누가 나설지 당내 경선(prévias). 서운함과 화해.</t>
  </si>
  <si>
    <t xml:space="preserve">당내 경선, 정관</t>
  </si>
  <si>
    <t xml:space="preserve">Juliana, Edson, Bruno</t>
  </si>
  <si>
    <t xml:space="preserve">O salto para Brasília</t>
  </si>
  <si>
    <t xml:space="preserve">브라질리아로의 도약</t>
  </si>
  <si>
    <r>
      <rPr>
        <sz val="10"/>
        <rFont val="Noto Sans CJK SC"/>
        <family val="2"/>
        <charset val="1"/>
      </rPr>
      <t xml:space="preserve">Casa Comum</t>
    </r>
    <r>
      <rPr>
        <sz val="10"/>
        <rFont val="WenQuanYi Zen Hei"/>
        <family val="2"/>
      </rPr>
      <t xml:space="preserve">이 창당 후 첫 총선에 대선 후보를 내기로 한다</t>
    </r>
    <r>
      <rPr>
        <sz val="10"/>
        <rFont val="Noto Sans CJK SC"/>
        <family val="2"/>
        <charset val="1"/>
      </rPr>
      <t xml:space="preserve">. </t>
    </r>
    <r>
      <rPr>
        <sz val="10"/>
        <rFont val="WenQuanYi Zen Hei"/>
        <family val="2"/>
      </rPr>
      <t xml:space="preserve">전당대회 기간</t>
    </r>
    <r>
      <rPr>
        <sz val="10"/>
        <rFont val="Noto Sans CJK SC"/>
        <family val="2"/>
        <charset val="1"/>
      </rPr>
      <t xml:space="preserve">(7</t>
    </r>
    <r>
      <rPr>
        <sz val="10"/>
        <rFont val="WenQuanYi Zen Hei"/>
        <family val="2"/>
      </rPr>
      <t xml:space="preserve">월 </t>
    </r>
    <r>
      <rPr>
        <sz val="10"/>
        <rFont val="Noto Sans CJK SC"/>
        <family val="2"/>
        <charset val="1"/>
      </rPr>
      <t xml:space="preserve">20</t>
    </r>
    <r>
      <rPr>
        <sz val="10"/>
        <rFont val="WenQuanYi Zen Hei"/>
        <family val="2"/>
      </rPr>
      <t xml:space="preserve">일</t>
    </r>
    <r>
      <rPr>
        <sz val="10"/>
        <rFont val="Noto Sans CJK SC"/>
        <family val="2"/>
        <charset val="1"/>
      </rPr>
      <t xml:space="preserve">~8</t>
    </r>
    <r>
      <rPr>
        <sz val="10"/>
        <rFont val="WenQuanYi Zen Hei"/>
        <family val="2"/>
      </rPr>
      <t xml:space="preserve">월 </t>
    </r>
    <r>
      <rPr>
        <sz val="10"/>
        <rFont val="Noto Sans CJK SC"/>
        <family val="2"/>
        <charset val="1"/>
      </rPr>
      <t xml:space="preserve">5</t>
    </r>
    <r>
      <rPr>
        <sz val="10"/>
        <rFont val="WenQuanYi Zen Hei"/>
        <family val="2"/>
      </rPr>
      <t xml:space="preserve">일</t>
    </r>
    <r>
      <rPr>
        <sz val="10"/>
        <rFont val="Noto Sans CJK SC"/>
        <family val="2"/>
        <charset val="1"/>
      </rPr>
      <t xml:space="preserve">)</t>
    </r>
    <r>
      <rPr>
        <sz val="10"/>
        <rFont val="WenQuanYi Zen Hei"/>
        <family val="2"/>
      </rPr>
      <t xml:space="preserve">에 </t>
    </r>
    <r>
      <rPr>
        <sz val="10"/>
        <rFont val="Noto Sans CJK SC"/>
        <family val="2"/>
        <charset val="1"/>
      </rPr>
      <t xml:space="preserve">Rafael</t>
    </r>
    <r>
      <rPr>
        <sz val="10"/>
        <rFont val="WenQuanYi Zen Hei"/>
        <family val="2"/>
      </rPr>
      <t xml:space="preserve">을 대통령 후보로 확정하고</t>
    </r>
    <r>
      <rPr>
        <sz val="10"/>
        <rFont val="Noto Sans CJK SC"/>
        <family val="2"/>
        <charset val="1"/>
      </rPr>
      <t xml:space="preserve">, </t>
    </r>
    <r>
      <rPr>
        <sz val="10"/>
        <rFont val="WenQuanYi Zen Hei"/>
        <family val="2"/>
      </rPr>
      <t xml:space="preserve">연합 정당에서 부통령 러닝메이트를 영입한다</t>
    </r>
    <r>
      <rPr>
        <sz val="10"/>
        <rFont val="Noto Sans CJK SC"/>
        <family val="2"/>
        <charset val="1"/>
      </rPr>
      <t xml:space="preserve">.</t>
    </r>
  </si>
  <si>
    <t xml:space="preserve">전당대회(convenção partidária), 러닝메이트(chapa), 정당 등록·당적 보유 6개월 요건</t>
  </si>
  <si>
    <t xml:space="preserve">Rafael, Juliana, Zumbi</t>
  </si>
  <si>
    <t xml:space="preserve">A convenção e o registro</t>
  </si>
  <si>
    <t xml:space="preserve">전당대회와 후보 등록</t>
  </si>
  <si>
    <t xml:space="preserve">전당대회에서 Rafael–러닝메이트(가상) 조합이 확정되고, 8월 15일까지 선거법원(TSE)에 후보를 등록한다. 클린기록법 심사와 재산 신고.</t>
  </si>
  <si>
    <t xml:space="preserve">후보 등록(8월 15일 마감), 피선거권 결격 심사(LC 64/1990·클린기록법 LC 135/2010)</t>
  </si>
  <si>
    <t xml:space="preserve">Juliana, Zumbi, Marta</t>
  </si>
  <si>
    <t xml:space="preserve">Quarenta e cinco dias</t>
  </si>
  <si>
    <r>
      <rPr>
        <sz val="10"/>
        <rFont val="Arial"/>
        <family val="0"/>
        <charset val="1"/>
      </rPr>
      <t xml:space="preserve">45</t>
    </r>
    <r>
      <rPr>
        <sz val="10"/>
        <rFont val="WenQuanYi Zen Hei"/>
        <family val="2"/>
      </rPr>
      <t xml:space="preserve">일의 유세</t>
    </r>
  </si>
  <si>
    <t xml:space="preserve">전국 순회. 북동부 풍력단지 옆 킬롬부 공동체, 가뭄 지역, 의사가 없는 내륙 마을. Zumbi의 로지스틱스, Machado의 문구. 무료 선거방송 시간은 의석 비례라 Casa Comum은 몇 초짜리다.</t>
  </si>
  <si>
    <t xml:space="preserve">공식 선거운동 45일, 무료 선거방송(HGPE) 의석 비례 배분</t>
  </si>
  <si>
    <t xml:space="preserve">Zumbi, Machado</t>
  </si>
  <si>
    <t xml:space="preserve">N5·S3·S4</t>
  </si>
  <si>
    <t xml:space="preserve">O debate</t>
  </si>
  <si>
    <r>
      <rPr>
        <sz val="10"/>
        <rFont val="Arial"/>
        <family val="0"/>
        <charset val="1"/>
      </rPr>
      <t xml:space="preserve">TV </t>
    </r>
    <r>
      <rPr>
        <sz val="10"/>
        <rFont val="WenQuanYi Zen Hei"/>
        <family val="2"/>
      </rPr>
      <t xml:space="preserve">토론</t>
    </r>
  </si>
  <si>
    <t xml:space="preserve">하원 의석 5석 미만 정당은 초청 의무가 없어 Casa Comum은 지지율이 뛰고서야 토론에 초청된다. Larissa가 준비한 질문 목록이 승부를 가른다.</t>
  </si>
  <si>
    <r>
      <rPr>
        <sz val="10"/>
        <rFont val="Noto Sans CJK SC"/>
        <family val="2"/>
        <charset val="1"/>
      </rPr>
      <t xml:space="preserve">TV </t>
    </r>
    <r>
      <rPr>
        <sz val="10"/>
        <rFont val="WenQuanYi Zen Hei"/>
        <family val="2"/>
      </rPr>
      <t xml:space="preserve">토론 초청 규칙</t>
    </r>
    <r>
      <rPr>
        <sz val="10"/>
        <rFont val="Noto Sans CJK SC"/>
        <family val="2"/>
        <charset val="1"/>
      </rPr>
      <t xml:space="preserve">(Lei 9.504 </t>
    </r>
    <r>
      <rPr>
        <sz val="10"/>
        <rFont val="WenQuanYi Zen Hei"/>
        <family val="2"/>
      </rPr>
      <t xml:space="preserve">제</t>
    </r>
    <r>
      <rPr>
        <sz val="10"/>
        <rFont val="Noto Sans CJK SC"/>
        <family val="2"/>
        <charset val="1"/>
      </rPr>
      <t xml:space="preserve">46</t>
    </r>
    <r>
      <rPr>
        <sz val="10"/>
        <rFont val="WenQuanYi Zen Hei"/>
        <family val="2"/>
      </rPr>
      <t xml:space="preserve">조</t>
    </r>
    <r>
      <rPr>
        <sz val="10"/>
        <rFont val="Noto Sans CJK SC"/>
        <family val="2"/>
        <charset val="1"/>
      </rPr>
      <t xml:space="preserve">: </t>
    </r>
    <r>
      <rPr>
        <sz val="10"/>
        <rFont val="WenQuanYi Zen Hei"/>
        <family val="2"/>
      </rPr>
      <t xml:space="preserve">하원 </t>
    </r>
    <r>
      <rPr>
        <sz val="10"/>
        <rFont val="Noto Sans CJK SC"/>
        <family val="2"/>
        <charset val="1"/>
      </rPr>
      <t xml:space="preserve">5</t>
    </r>
    <r>
      <rPr>
        <sz val="10"/>
        <rFont val="WenQuanYi Zen Hei"/>
        <family val="2"/>
      </rPr>
      <t xml:space="preserve">석 이상 정당</t>
    </r>
    <r>
      <rPr>
        <sz val="10"/>
        <rFont val="Noto Sans CJK SC"/>
        <family val="2"/>
        <charset val="1"/>
      </rPr>
      <t xml:space="preserve">), </t>
    </r>
    <r>
      <rPr>
        <sz val="10"/>
        <rFont val="WenQuanYi Zen Hei"/>
        <family val="2"/>
      </rPr>
      <t xml:space="preserve">방송사</t>
    </r>
    <r>
      <rPr>
        <sz val="10"/>
        <rFont val="Noto Sans CJK SC"/>
        <family val="2"/>
        <charset val="1"/>
      </rPr>
      <t xml:space="preserve">·</t>
    </r>
    <r>
      <rPr>
        <sz val="10"/>
        <rFont val="WenQuanYi Zen Hei"/>
        <family val="2"/>
      </rPr>
      <t xml:space="preserve">후보 진영 합의</t>
    </r>
  </si>
  <si>
    <t xml:space="preserve">Rafael, Larissa, Isabel</t>
  </si>
  <si>
    <t xml:space="preserve">N4·S2·N3·P2·S1</t>
  </si>
  <si>
    <t xml:space="preserve">Primeiro turno</t>
  </si>
  <si>
    <r>
      <rPr>
        <sz val="10"/>
        <rFont val="Noto Sans CJK SC"/>
        <family val="2"/>
        <charset val="1"/>
      </rPr>
      <t xml:space="preserve">1</t>
    </r>
    <r>
      <rPr>
        <sz val="10"/>
        <rFont val="WenQuanYi Zen Hei"/>
        <family val="2"/>
      </rPr>
      <t xml:space="preserve">차 투표</t>
    </r>
  </si>
  <si>
    <r>
      <rPr>
        <sz val="10"/>
        <rFont val="Arial"/>
        <family val="0"/>
        <charset val="1"/>
      </rPr>
      <t xml:space="preserve">10</t>
    </r>
    <r>
      <rPr>
        <sz val="10"/>
        <rFont val="WenQuanYi Zen Hei"/>
        <family val="2"/>
      </rPr>
      <t xml:space="preserve">월 첫 일요일</t>
    </r>
    <r>
      <rPr>
        <sz val="10"/>
        <rFont val="Arial"/>
        <family val="0"/>
        <charset val="1"/>
      </rPr>
      <t xml:space="preserve">. UCN </t>
    </r>
    <r>
      <rPr>
        <sz val="10"/>
        <rFont val="WenQuanYi Zen Hei"/>
        <family val="2"/>
      </rPr>
      <t xml:space="preserve">후보 </t>
    </r>
    <r>
      <rPr>
        <sz val="10"/>
        <rFont val="Arial"/>
        <family val="0"/>
        <charset val="1"/>
      </rPr>
      <t xml:space="preserve">38.2%, Rafael 30.1%</t>
    </r>
    <r>
      <rPr>
        <sz val="10"/>
        <rFont val="WenQuanYi Zen Hei"/>
        <family val="2"/>
      </rPr>
      <t xml:space="preserve">로 과반 후보가 없어 결선으로 간다</t>
    </r>
    <r>
      <rPr>
        <sz val="10"/>
        <rFont val="Arial"/>
        <family val="0"/>
        <charset val="1"/>
      </rPr>
      <t xml:space="preserve">(</t>
    </r>
    <r>
      <rPr>
        <sz val="10"/>
        <rFont val="WenQuanYi Zen Hei"/>
        <family val="2"/>
      </rPr>
      <t xml:space="preserve">가상 수치</t>
    </r>
    <r>
      <rPr>
        <sz val="10"/>
        <rFont val="Arial"/>
        <family val="0"/>
        <charset val="1"/>
      </rPr>
      <t xml:space="preserve">). </t>
    </r>
    <r>
      <rPr>
        <sz val="10"/>
        <rFont val="WenQuanYi Zen Hei"/>
        <family val="2"/>
      </rPr>
      <t xml:space="preserve">같은 날 치른 하원 선거에서 </t>
    </r>
    <r>
      <rPr>
        <sz val="10"/>
        <rFont val="Arial"/>
        <family val="0"/>
        <charset val="1"/>
      </rPr>
      <t xml:space="preserve">Casa Comum</t>
    </r>
    <r>
      <rPr>
        <sz val="10"/>
        <rFont val="WenQuanYi Zen Hei"/>
        <family val="2"/>
      </rPr>
      <t xml:space="preserve">은 </t>
    </r>
    <r>
      <rPr>
        <sz val="10"/>
        <rFont val="Arial"/>
        <family val="0"/>
        <charset val="1"/>
      </rPr>
      <t xml:space="preserve">48</t>
    </r>
    <r>
      <rPr>
        <sz val="10"/>
        <rFont val="WenQuanYi Zen Hei"/>
        <family val="2"/>
      </rPr>
      <t xml:space="preserve">석</t>
    </r>
    <r>
      <rPr>
        <sz val="10"/>
        <rFont val="Arial"/>
        <family val="0"/>
        <charset val="1"/>
      </rPr>
      <t xml:space="preserve">.</t>
    </r>
  </si>
  <si>
    <t xml:space="preserve">대통령 선출: 유효표 과반, 미달 시 상위 2인 결선(헌법 제77조). 하원 513석 동시 선거</t>
  </si>
  <si>
    <t xml:space="preserve">A bancada</t>
  </si>
  <si>
    <t xml:space="preserve">새 의원단</t>
  </si>
  <si>
    <t xml:space="preserve">처음 연방의원이 된 48명의 얼굴들. 정당 존속 요건(득표 기준)을 넘었는지 계산하는 밤. 정당기금과 방송 시간이 여기에 걸려 있다.</t>
  </si>
  <si>
    <t xml:space="preserve">정당 성과 기준(헌법 개정 97/2017): 미달 시 정당기금·방송 시간 상실</t>
  </si>
  <si>
    <t xml:space="preserve">Bruno, Juliana</t>
  </si>
  <si>
    <t xml:space="preserve">O apoio</t>
  </si>
  <si>
    <t xml:space="preserve">결선 지지 협상</t>
  </si>
  <si>
    <r>
      <rPr>
        <sz val="10"/>
        <rFont val="Arial"/>
        <family val="0"/>
        <charset val="1"/>
      </rPr>
      <t xml:space="preserve">3</t>
    </r>
    <r>
      <rPr>
        <sz val="10"/>
        <rFont val="WenQuanYi Zen Hei"/>
        <family val="2"/>
      </rPr>
      <t xml:space="preserve">위를 한 </t>
    </r>
    <r>
      <rPr>
        <sz val="10"/>
        <rFont val="Arial"/>
        <family val="0"/>
        <charset val="1"/>
      </rPr>
      <t xml:space="preserve">PPS </t>
    </r>
    <r>
      <rPr>
        <sz val="10"/>
        <rFont val="WenQuanYi Zen Hei"/>
        <family val="2"/>
      </rPr>
      <t xml:space="preserve">후보</t>
    </r>
    <r>
      <rPr>
        <sz val="10"/>
        <rFont val="Arial"/>
        <family val="0"/>
        <charset val="1"/>
      </rPr>
      <t xml:space="preserve">(</t>
    </r>
    <r>
      <rPr>
        <sz val="10"/>
        <rFont val="WenQuanYi Zen Hei"/>
        <family val="2"/>
      </rPr>
      <t xml:space="preserve">가상</t>
    </r>
    <r>
      <rPr>
        <sz val="10"/>
        <rFont val="Arial"/>
        <family val="0"/>
        <charset val="1"/>
      </rPr>
      <t xml:space="preserve">)</t>
    </r>
    <r>
      <rPr>
        <sz val="10"/>
        <rFont val="WenQuanYi Zen Hei"/>
        <family val="2"/>
      </rPr>
      <t xml:space="preserve">와 결선 지지 협상</t>
    </r>
    <r>
      <rPr>
        <sz val="10"/>
        <rFont val="Arial"/>
        <family val="0"/>
        <charset val="1"/>
      </rPr>
      <t xml:space="preserve">. Dom Pedro: «No meu tempo, eu tinha o Poder Moderador. Os senhores têm o Centrão.»</t>
    </r>
  </si>
  <si>
    <t xml:space="preserve">결선 지지 선언(apoio no segundo turno), 정당 간 합의</t>
  </si>
  <si>
    <t xml:space="preserve">Rafael, Dom Pedro</t>
  </si>
  <si>
    <t xml:space="preserve">O vídeo falso</t>
  </si>
  <si>
    <t xml:space="preserve">가짜 영상</t>
  </si>
  <si>
    <t xml:space="preserve">결선 1주 전 Rafael의 딥페이크 영상이 퍼진다. Dumont이 영상의 조작 흔적을 짚어 내고 선거법원에 삭제를 청구한다. Dom Pedro의 해설.</t>
  </si>
  <si>
    <t xml:space="preserve">선거에서 AI 딥페이크 금지(TSE 결의 2024), 삭제 청구, 반론권</t>
  </si>
  <si>
    <t xml:space="preserve">Dumont, Dom Pedro, Rafael</t>
  </si>
  <si>
    <t xml:space="preserve">Reconciliação</t>
  </si>
  <si>
    <t xml:space="preserve">화해</t>
  </si>
  <si>
    <t xml:space="preserve">결선 운동의 피로 속에 Edson과 Juliana가 5부의 해고 협상 이후 처음으로 마주 앉는다. 해고한 쪽과 해고당한 쪽의 화해.</t>
  </si>
  <si>
    <t xml:space="preserve">사과·화해 표현</t>
  </si>
  <si>
    <t xml:space="preserve">Edson, Juliana, Rafael</t>
  </si>
  <si>
    <t xml:space="preserve">A reta final</t>
  </si>
  <si>
    <t xml:space="preserve">마지막 한 주</t>
  </si>
  <si>
    <t xml:space="preserve">여론조사는 오차 범위 안의 초접전. 지친 캠프, 마지막 토론 준비. Marta의 위로.</t>
  </si>
  <si>
    <t xml:space="preserve">여론조사 공표 규칙(등록 의무), 마지막 토론</t>
  </si>
  <si>
    <t xml:space="preserve">Marta, Juliana</t>
  </si>
  <si>
    <t xml:space="preserve">Segundo turno</t>
  </si>
  <si>
    <t xml:space="preserve">결선 투표</t>
  </si>
  <si>
    <r>
      <rPr>
        <sz val="10"/>
        <rFont val="Arial"/>
        <family val="0"/>
        <charset val="1"/>
      </rPr>
      <t xml:space="preserve">10</t>
    </r>
    <r>
      <rPr>
        <sz val="10"/>
        <rFont val="WenQuanYi Zen Hei"/>
        <family val="2"/>
      </rPr>
      <t xml:space="preserve">월 마지막 일요일</t>
    </r>
    <r>
      <rPr>
        <sz val="10"/>
        <rFont val="Arial"/>
        <family val="0"/>
        <charset val="1"/>
      </rPr>
      <t xml:space="preserve">. </t>
    </r>
    <r>
      <rPr>
        <sz val="10"/>
        <rFont val="WenQuanYi Zen Hei"/>
        <family val="2"/>
      </rPr>
      <t xml:space="preserve">개표율 </t>
    </r>
    <r>
      <rPr>
        <sz val="10"/>
        <rFont val="Arial"/>
        <family val="0"/>
        <charset val="1"/>
      </rPr>
      <t xml:space="preserve">90%</t>
    </r>
    <r>
      <rPr>
        <sz val="10"/>
        <rFont val="WenQuanYi Zen Hei"/>
        <family val="2"/>
      </rPr>
      <t xml:space="preserve">까지 뒤지다 마지막 도시들의 표가 들어오며 역전한다</t>
    </r>
    <r>
      <rPr>
        <sz val="10"/>
        <rFont val="Arial"/>
        <family val="0"/>
        <charset val="1"/>
      </rPr>
      <t xml:space="preserve">. Rafael 50.8%(</t>
    </r>
    <r>
      <rPr>
        <sz val="10"/>
        <rFont val="WenQuanYi Zen Hei"/>
        <family val="2"/>
      </rPr>
      <t xml:space="preserve">가상 수치</t>
    </r>
    <r>
      <rPr>
        <sz val="10"/>
        <rFont val="Arial"/>
        <family val="0"/>
        <charset val="1"/>
      </rPr>
      <t xml:space="preserve">).</t>
    </r>
  </si>
  <si>
    <t xml:space="preserve">결선 투표, 전자 개표, 선거법원 결과 발표</t>
  </si>
  <si>
    <t xml:space="preserve">A transição</t>
  </si>
  <si>
    <t xml:space="preserve">정권 인수</t>
  </si>
  <si>
    <t xml:space="preserve">정권 인수팀이 꾸려지고, 의회 과반을 위해 중도 연합(PCN)·지역정당과 장관직·정책 조건을 협상한다. TB는 주 정부 부채 재협상을 요구한다. Sérgio·Bruno가 비용을 추산한다.</t>
  </si>
  <si>
    <t xml:space="preserve">정권 인수팀(Lei 10.609/2002), 연립 대통령제, 장관직 배분</t>
  </si>
  <si>
    <t xml:space="preserve">Juliana, Bruno, Sérgio</t>
  </si>
  <si>
    <t xml:space="preserve">P2·P3·P1</t>
  </si>
  <si>
    <t xml:space="preserve">Cinco de janeiro</t>
  </si>
  <si>
    <r>
      <rPr>
        <sz val="10"/>
        <rFont val="Noto Sans CJK SC"/>
        <family val="2"/>
        <charset val="1"/>
      </rPr>
      <t xml:space="preserve">1</t>
    </r>
    <r>
      <rPr>
        <sz val="10"/>
        <rFont val="WenQuanYi Zen Hei"/>
        <family val="2"/>
      </rPr>
      <t xml:space="preserve">월 </t>
    </r>
    <r>
      <rPr>
        <sz val="10"/>
        <rFont val="Noto Sans CJK SC"/>
        <family val="2"/>
        <charset val="1"/>
      </rPr>
      <t xml:space="preserve">5</t>
    </r>
    <r>
      <rPr>
        <sz val="10"/>
        <rFont val="WenQuanYi Zen Hei"/>
        <family val="2"/>
      </rPr>
      <t xml:space="preserve">일</t>
    </r>
  </si>
  <si>
    <r>
      <rPr>
        <sz val="10"/>
        <rFont val="Arial"/>
        <family val="0"/>
        <charset val="1"/>
      </rPr>
      <t xml:space="preserve">12</t>
    </r>
    <r>
      <rPr>
        <sz val="10"/>
        <rFont val="WenQuanYi Zen Hei"/>
        <family val="2"/>
      </rPr>
      <t xml:space="preserve">월 선거법원의 당선증 수여에 이어 </t>
    </r>
    <r>
      <rPr>
        <sz val="10"/>
        <rFont val="Arial"/>
        <family val="0"/>
        <charset val="1"/>
      </rPr>
      <t xml:space="preserve">1</t>
    </r>
    <r>
      <rPr>
        <sz val="10"/>
        <rFont val="WenQuanYi Zen Hei"/>
        <family val="2"/>
      </rPr>
      <t xml:space="preserve">월 </t>
    </r>
    <r>
      <rPr>
        <sz val="10"/>
        <rFont val="Arial"/>
        <family val="0"/>
        <charset val="1"/>
      </rPr>
      <t xml:space="preserve">5</t>
    </r>
    <r>
      <rPr>
        <sz val="10"/>
        <rFont val="WenQuanYi Zen Hei"/>
        <family val="2"/>
      </rPr>
      <t xml:space="preserve">일 취임</t>
    </r>
    <r>
      <rPr>
        <sz val="10"/>
        <rFont val="Arial"/>
        <family val="0"/>
        <charset val="1"/>
      </rPr>
      <t xml:space="preserve">. Rafael</t>
    </r>
    <r>
      <rPr>
        <sz val="10"/>
        <rFont val="WenQuanYi Zen Hei"/>
        <family val="2"/>
      </rPr>
      <t xml:space="preserve">이 연방의회 합동회의에서 헌법 선서를 낭독하고</t>
    </r>
    <r>
      <rPr>
        <sz val="10"/>
        <rFont val="Arial"/>
        <family val="0"/>
        <charset val="1"/>
      </rPr>
      <t xml:space="preserve">, Planalto </t>
    </r>
    <r>
      <rPr>
        <sz val="10"/>
        <rFont val="WenQuanYi Zen Hei"/>
        <family val="2"/>
      </rPr>
      <t xml:space="preserve">경사로를 올라 대통령 휘장</t>
    </r>
    <r>
      <rPr>
        <sz val="10"/>
        <rFont val="Arial"/>
        <family val="0"/>
        <charset val="1"/>
      </rPr>
      <t xml:space="preserve">(faixa)</t>
    </r>
    <r>
      <rPr>
        <sz val="10"/>
        <rFont val="WenQuanYi Zen Hei"/>
        <family val="2"/>
      </rPr>
      <t xml:space="preserve">을 받는다</t>
    </r>
    <r>
      <rPr>
        <sz val="10"/>
        <rFont val="Arial"/>
        <family val="0"/>
        <charset val="1"/>
      </rPr>
      <t xml:space="preserve">.</t>
    </r>
  </si>
  <si>
    <t xml:space="preserve">당선증 수여(diplomação), 취임 선서(헌법 제78조), 1월 5일 취임(헌법 개정 111/2021)</t>
  </si>
  <si>
    <r>
      <rPr>
        <sz val="10"/>
        <rFont val="Arial"/>
        <family val="0"/>
        <charset val="1"/>
      </rPr>
      <t xml:space="preserve">Rafael, </t>
    </r>
    <r>
      <rPr>
        <sz val="10"/>
        <rFont val="WenQuanYi Zen Hei"/>
        <family val="2"/>
      </rPr>
      <t xml:space="preserve">연방의회 의장</t>
    </r>
  </si>
  <si>
    <t xml:space="preserve">O primeiro obstáculo</t>
  </si>
  <si>
    <t xml:space="preserve">첫 번째 벽</t>
  </si>
  <si>
    <r>
      <rPr>
        <sz val="10"/>
        <rFont val="Noto Sans CJK SC"/>
        <family val="2"/>
        <charset val="1"/>
      </rPr>
      <t xml:space="preserve">Planalto</t>
    </r>
    <r>
      <rPr>
        <sz val="10"/>
        <rFont val="WenQuanYi Zen Hei"/>
        <family val="2"/>
      </rPr>
      <t xml:space="preserve">의 첫 장관회의</t>
    </r>
    <r>
      <rPr>
        <sz val="10"/>
        <rFont val="Noto Sans CJK SC"/>
        <family val="2"/>
        <charset val="1"/>
      </rPr>
      <t xml:space="preserve">. </t>
    </r>
    <r>
      <rPr>
        <sz val="10"/>
        <rFont val="WenQuanYi Zen Hei"/>
        <family val="2"/>
      </rPr>
      <t xml:space="preserve">대통령령</t>
    </r>
    <r>
      <rPr>
        <sz val="10"/>
        <rFont val="Noto Sans CJK SC"/>
        <family val="2"/>
        <charset val="1"/>
      </rPr>
      <t xml:space="preserve">(decreto)</t>
    </r>
    <r>
      <rPr>
        <sz val="10"/>
        <rFont val="WenQuanYi Zen Hei"/>
        <family val="2"/>
      </rPr>
      <t xml:space="preserve">으로 장관을 임명한다</t>
    </r>
    <r>
      <rPr>
        <sz val="10"/>
        <rFont val="Noto Sans CJK SC"/>
        <family val="2"/>
        <charset val="1"/>
      </rPr>
      <t xml:space="preserve">. </t>
    </r>
    <r>
      <rPr>
        <sz val="10"/>
        <rFont val="WenQuanYi Zen Hei"/>
        <family val="2"/>
      </rPr>
      <t xml:space="preserve">첫날의 어색함</t>
    </r>
    <r>
      <rPr>
        <sz val="10"/>
        <rFont val="Noto Sans CJK SC"/>
        <family val="2"/>
        <charset val="1"/>
      </rPr>
      <t xml:space="preserve">. </t>
    </r>
    <r>
      <rPr>
        <sz val="10"/>
        <rFont val="WenQuanYi Zen Hei"/>
        <family val="2"/>
      </rPr>
      <t xml:space="preserve">주거운동의 임대료 시위가 삼권광장 앞까지 온다</t>
    </r>
    <r>
      <rPr>
        <sz val="10"/>
        <rFont val="Noto Sans CJK SC"/>
        <family val="2"/>
        <charset val="1"/>
      </rPr>
      <t xml:space="preserve">. </t>
    </r>
    <r>
      <rPr>
        <sz val="10"/>
        <rFont val="WenQuanYi Zen Hei"/>
        <family val="2"/>
      </rPr>
      <t xml:space="preserve">목요일 밤</t>
    </r>
    <r>
      <rPr>
        <sz val="10"/>
        <rFont val="Noto Sans CJK SC"/>
        <family val="2"/>
        <charset val="1"/>
      </rPr>
      <t xml:space="preserve">, </t>
    </r>
    <r>
      <rPr>
        <sz val="10"/>
        <rFont val="WenQuanYi Zen Hei"/>
        <family val="2"/>
      </rPr>
      <t xml:space="preserve">장관들은 상파울루행 비행기에 오른다</t>
    </r>
    <r>
      <rPr>
        <sz val="10"/>
        <rFont val="Noto Sans CJK SC"/>
        <family val="2"/>
        <charset val="1"/>
      </rPr>
      <t xml:space="preserve">.</t>
    </r>
  </si>
  <si>
    <t xml:space="preserve">장관 임명(헌법 제84조 I), 장관회의, 대통령실 직제</t>
  </si>
  <si>
    <t xml:space="preserve">Rafael, Juliana</t>
  </si>
  <si>
    <t xml:space="preserve">P1·E1</t>
  </si>
  <si>
    <t xml:space="preserve">Donos invisíveis</t>
  </si>
  <si>
    <t xml:space="preserve">보이지 않는 집주인들</t>
  </si>
  <si>
    <r>
      <rPr>
        <sz val="10"/>
        <rFont val="Arial"/>
        <family val="0"/>
        <charset val="1"/>
      </rPr>
      <t xml:space="preserve">Bruno·Sérgio</t>
    </r>
    <r>
      <rPr>
        <sz val="10"/>
        <rFont val="WenQuanYi Zen Hei"/>
        <family val="2"/>
      </rPr>
      <t xml:space="preserve">가 부동산 펀드의 도심 건물 매입을 펀드</t>
    </r>
    <r>
      <rPr>
        <sz val="10"/>
        <rFont val="Arial"/>
        <family val="0"/>
        <charset val="1"/>
      </rPr>
      <t xml:space="preserve">·</t>
    </r>
    <r>
      <rPr>
        <sz val="10"/>
        <rFont val="WenQuanYi Zen Hei"/>
        <family val="2"/>
      </rPr>
      <t xml:space="preserve">역외법인 구조로 추적한다</t>
    </r>
    <r>
      <rPr>
        <sz val="10"/>
        <rFont val="Arial"/>
        <family val="0"/>
        <charset val="1"/>
      </rPr>
      <t xml:space="preserve">. </t>
    </r>
    <r>
      <rPr>
        <sz val="10"/>
        <rFont val="WenQuanYi Zen Hei"/>
        <family val="2"/>
      </rPr>
      <t xml:space="preserve">실소유자</t>
    </r>
    <r>
      <rPr>
        <sz val="10"/>
        <rFont val="Arial"/>
        <family val="0"/>
        <charset val="1"/>
      </rPr>
      <t xml:space="preserve">(beneficiário final)</t>
    </r>
    <r>
      <rPr>
        <sz val="10"/>
        <rFont val="WenQuanYi Zen Hei"/>
        <family val="2"/>
      </rPr>
      <t xml:space="preserve">를 찾는다</t>
    </r>
    <r>
      <rPr>
        <sz val="10"/>
        <rFont val="Arial"/>
        <family val="0"/>
        <charset val="1"/>
      </rPr>
      <t xml:space="preserve">.</t>
    </r>
  </si>
  <si>
    <t xml:space="preserve">실소유자 추적, 자금세탁방지법(Lei 9.613/1998), 금융정보분석원(COAF), 상업등기소(JUCESP)</t>
  </si>
  <si>
    <t xml:space="preserve">A lei da moradia</t>
  </si>
  <si>
    <t xml:space="preserve">주거법</t>
  </si>
  <si>
    <t xml:space="preserve">임대차법을 개정해 Rafael의 옛 조항(공사 사유 회수)의 남용을 막고 공공임대를 늘린다. 그러나 도시계획·용도지역은 시 권한이라 UCN 상파울루 시장이 연방대법원(STF) 위헌 소송을 예고한다.</t>
  </si>
  <si>
    <t xml:space="preserve">주거는 사회권(헌법 제6조), 도시계획은 시 권한(헌법 제30·182조), 도시법(Lei 10.257/2001), 위헌소송(ADI)</t>
  </si>
  <si>
    <t xml:space="preserve">Rafael, Freire</t>
  </si>
  <si>
    <t xml:space="preserve">Colapso na emergência</t>
  </si>
  <si>
    <t xml:space="preserve">응급실 마비</t>
  </si>
  <si>
    <t xml:space="preserve">폭염이 겹쳐 고령 환자가 몰린 응급실이 마비된다. Camila가 현장으로 달려가지만 병원 운영·위탁 계약은 주·시 권한임을 다시 배운다. 연방이 쓸 수 있는 수단은 재원 조건부 지원, 3자 협의체(CIT), 의사 파견 프로그램.</t>
  </si>
  <si>
    <r>
      <rPr>
        <sz val="10"/>
        <rFont val="Noto Sans CJK SC"/>
        <family val="2"/>
        <charset val="1"/>
      </rPr>
      <t xml:space="preserve">SUS 3</t>
    </r>
    <r>
      <rPr>
        <sz val="10"/>
        <rFont val="WenQuanYi Zen Hei"/>
        <family val="2"/>
      </rPr>
      <t xml:space="preserve">자 분담</t>
    </r>
    <r>
      <rPr>
        <sz val="10"/>
        <rFont val="Noto Sans CJK SC"/>
        <family val="2"/>
        <charset val="1"/>
      </rPr>
      <t xml:space="preserve">(</t>
    </r>
    <r>
      <rPr>
        <sz val="10"/>
        <rFont val="WenQuanYi Zen Hei"/>
        <family val="2"/>
      </rPr>
      <t xml:space="preserve">헌법 제</t>
    </r>
    <r>
      <rPr>
        <sz val="10"/>
        <rFont val="Noto Sans CJK SC"/>
        <family val="2"/>
        <charset val="1"/>
      </rPr>
      <t xml:space="preserve">198</t>
    </r>
    <r>
      <rPr>
        <sz val="10"/>
        <rFont val="WenQuanYi Zen Hei"/>
        <family val="2"/>
      </rPr>
      <t xml:space="preserve">조</t>
    </r>
    <r>
      <rPr>
        <sz val="10"/>
        <rFont val="Noto Sans CJK SC"/>
        <family val="2"/>
        <charset val="1"/>
      </rPr>
      <t xml:space="preserve">, Lei 8.080/1990), 3</t>
    </r>
    <r>
      <rPr>
        <sz val="10"/>
        <rFont val="WenQuanYi Zen Hei"/>
        <family val="2"/>
      </rPr>
      <t xml:space="preserve">자 협의체</t>
    </r>
    <r>
      <rPr>
        <sz val="10"/>
        <rFont val="Noto Sans CJK SC"/>
        <family val="2"/>
        <charset val="1"/>
      </rPr>
      <t xml:space="preserve">(CIT), </t>
    </r>
    <r>
      <rPr>
        <sz val="10"/>
        <rFont val="WenQuanYi Zen Hei"/>
        <family val="2"/>
      </rPr>
      <t xml:space="preserve">의사 파견</t>
    </r>
    <r>
      <rPr>
        <sz val="10"/>
        <rFont val="Noto Sans CJK SC"/>
        <family val="2"/>
        <charset val="1"/>
      </rPr>
      <t xml:space="preserve">(Mais Médicos, Lei 12.871/2013)</t>
    </r>
  </si>
  <si>
    <t xml:space="preserve">Camila, Larissa, Isabel, Rafael</t>
  </si>
  <si>
    <t xml:space="preserve">S3·S4</t>
  </si>
  <si>
    <t xml:space="preserve">A partilha</t>
  </si>
  <si>
    <t xml:space="preserve">분담</t>
  </si>
  <si>
    <t xml:space="preserve">북부 국경 주의 이주민 쉼터가 한계에 달하고 주들이 서로 떠넘긴다. 연방이 자발적 이주 분산(interiorização)을 추진하자 Marta가 이탈리아 이민자들이 세운 Bixiga의 이야기를 꺼낸다.</t>
  </si>
  <si>
    <t xml:space="preserve">이민법(Lei 13.445/2017), 난민법(Lei 9.474/1997), 국경 수용·분산 정책(Operação Acolhida)</t>
  </si>
  <si>
    <t xml:space="preserve">Rafael, Marta, Camila, Edson</t>
  </si>
  <si>
    <t xml:space="preserve">A voz da juventude</t>
  </si>
  <si>
    <t xml:space="preserve">청년들의 목소리</t>
  </si>
  <si>
    <t xml:space="preserve">청년 고용·인턴 처우 3자 협상. Dom Pedro가 Larissa의 청년 정책안을 놓고 평소처럼 투덜대며 조언한다 — 아직은 죽지 않는다, 그러나 계단을 오르며 살짝 숨이 가쁜 게 보인다.</t>
  </si>
  <si>
    <t xml:space="preserve">노·사·정 사회적 대화, 청년 고용 정책</t>
  </si>
  <si>
    <t xml:space="preserve">Larissa, Dom Pedro, Edson</t>
  </si>
  <si>
    <t xml:space="preserve">O cartel dos preços</t>
  </si>
  <si>
    <t xml:space="preserve">가격 카르텔</t>
  </si>
  <si>
    <t xml:space="preserve">도청 자료를 쓰자는 Freire vs 합법 경로만 쓰겠다는 Rafael. 아직 Dom Pedro는 살아 있어 둘의 다툼을 지켜보며 «A legalidade demora para vencer, mas quando vence ninguém a derruba.»라고 거든다.</t>
  </si>
  <si>
    <t xml:space="preserve">경쟁당국(CADE, Lei 12.529/2011) 조사, 위법 수집 증거, 통신 감청은 법원 허가(Lei 9.296/1996)</t>
  </si>
  <si>
    <t xml:space="preserve">Freire, Rafael, Dumont, Dom Pedro</t>
  </si>
  <si>
    <t xml:space="preserve">O imposto dos gigantes</t>
  </si>
  <si>
    <t xml:space="preserve">거인들에게 매기는 세금</t>
  </si>
  <si>
    <t xml:space="preserve">초고소득·역외자산 과세를 임시조치(MP)가 아니라 법률로 가야 하는 이유: MP로 세금을 올리면 연내에 법률로 전환돼야 이듬해부터 효력이 있다. 걷힌 돈을 소득세 감면과 에너지 전환에 어떻게 나눌지도 얽힌다. 재계·금융권 로비를 Sérgio가 막는다.</t>
  </si>
  <si>
    <t xml:space="preserve">임시조치의 세금 제한(헌법 제62조 2항), 조세 불소급·연도 원칙(헌법 제150조 III), 선례: 역외·전용펀드 과세법(Lei 14.754/2023)</t>
  </si>
  <si>
    <t xml:space="preserve">Bruno, Sérgio, Rafael</t>
  </si>
  <si>
    <t xml:space="preserve">N5·S4</t>
  </si>
  <si>
    <t xml:space="preserve">Rumo a Bruxelas</t>
  </si>
  <si>
    <t xml:space="preserve">브뤼셀로 가는 길</t>
  </si>
  <si>
    <r>
      <rPr>
        <sz val="10"/>
        <rFont val="Arial"/>
        <family val="0"/>
        <charset val="1"/>
      </rPr>
      <t xml:space="preserve">Mercosul–EU </t>
    </r>
    <r>
      <rPr>
        <sz val="10"/>
        <rFont val="WenQuanYi Zen Hei"/>
        <family val="2"/>
      </rPr>
      <t xml:space="preserve">협정의 비준이 </t>
    </r>
    <r>
      <rPr>
        <sz val="10"/>
        <rFont val="Arial"/>
        <family val="0"/>
        <charset val="1"/>
      </rPr>
      <t xml:space="preserve">EU</t>
    </r>
    <r>
      <rPr>
        <sz val="10"/>
        <rFont val="WenQuanYi Zen Hei"/>
        <family val="2"/>
      </rPr>
      <t xml:space="preserve">의 농산물 긴급수입제한과 산림전용방지규정</t>
    </r>
    <r>
      <rPr>
        <sz val="10"/>
        <rFont val="Arial"/>
        <family val="0"/>
        <charset val="1"/>
      </rPr>
      <t xml:space="preserve">(EUDR)</t>
    </r>
    <r>
      <rPr>
        <sz val="10"/>
        <rFont val="WenQuanYi Zen Hei"/>
        <family val="2"/>
      </rPr>
      <t xml:space="preserve">에 걸려 멈춰 있고</t>
    </r>
    <r>
      <rPr>
        <sz val="10"/>
        <rFont val="Arial"/>
        <family val="0"/>
        <charset val="1"/>
      </rPr>
      <t xml:space="preserve">, </t>
    </r>
    <r>
      <rPr>
        <sz val="10"/>
        <rFont val="WenQuanYi Zen Hei"/>
        <family val="2"/>
      </rPr>
      <t xml:space="preserve">북쪽에서는 관세 압박이 들어온다</t>
    </r>
    <r>
      <rPr>
        <sz val="10"/>
        <rFont val="Arial"/>
        <family val="0"/>
        <charset val="1"/>
      </rPr>
      <t xml:space="preserve">. Dom Pedro</t>
    </r>
    <r>
      <rPr>
        <sz val="10"/>
        <rFont val="WenQuanYi Zen Hei"/>
        <family val="2"/>
      </rPr>
      <t xml:space="preserve">가 </t>
    </r>
    <r>
      <rPr>
        <sz val="10"/>
        <rFont val="Arial"/>
        <family val="0"/>
        <charset val="1"/>
      </rPr>
      <t xml:space="preserve">«Eu vou.»</t>
    </r>
    <r>
      <rPr>
        <sz val="10"/>
        <rFont val="WenQuanYi Zen Hei"/>
        <family val="2"/>
      </rPr>
      <t xml:space="preserve">라고 자원한다 — </t>
    </r>
    <r>
      <rPr>
        <sz val="10"/>
        <rFont val="Arial"/>
        <family val="0"/>
        <charset val="1"/>
      </rPr>
      <t xml:space="preserve">1889</t>
    </r>
    <r>
      <rPr>
        <sz val="10"/>
        <rFont val="WenQuanYi Zen Hei"/>
        <family val="2"/>
      </rPr>
      <t xml:space="preserve">년 폐위 이후 처음 나라를 대표하는 순간</t>
    </r>
    <r>
      <rPr>
        <sz val="10"/>
        <rFont val="Arial"/>
        <family val="0"/>
        <charset val="1"/>
      </rPr>
      <t xml:space="preserve">. </t>
    </r>
    <r>
      <rPr>
        <sz val="10"/>
        <rFont val="WenQuanYi Zen Hei"/>
        <family val="2"/>
      </rPr>
      <t xml:space="preserve">짐을 싸며 </t>
    </r>
    <r>
      <rPr>
        <sz val="10"/>
        <rFont val="Arial"/>
        <family val="0"/>
        <charset val="1"/>
      </rPr>
      <t xml:space="preserve">Machado</t>
    </r>
    <r>
      <rPr>
        <sz val="10"/>
        <rFont val="WenQuanYi Zen Hei"/>
        <family val="2"/>
      </rPr>
      <t xml:space="preserve">에게 자신이 본 두 종류의 지도자를 회상한다</t>
    </r>
    <r>
      <rPr>
        <sz val="10"/>
        <rFont val="Arial"/>
        <family val="0"/>
        <charset val="1"/>
      </rPr>
      <t xml:space="preserve">: </t>
    </r>
    <r>
      <rPr>
        <sz val="10"/>
        <rFont val="WenQuanYi Zen Hei"/>
        <family val="2"/>
      </rPr>
      <t xml:space="preserve">건물에 금박 이름을 새기던 사업가 출신으로 이제 관세를 무기 삼아 카메라 앞에서 소리치는 인물</t>
    </r>
    <r>
      <rPr>
        <sz val="10"/>
        <rFont val="Arial"/>
        <family val="0"/>
        <charset val="1"/>
      </rPr>
      <t xml:space="preserve">, </t>
    </r>
    <r>
      <rPr>
        <sz val="10"/>
        <rFont val="WenQuanYi Zen Hei"/>
        <family val="2"/>
      </rPr>
      <t xml:space="preserve">그리고 정보기관에서 </t>
    </r>
    <r>
      <rPr>
        <sz val="10"/>
        <rFont val="Arial"/>
        <family val="0"/>
        <charset val="1"/>
      </rPr>
      <t xml:space="preserve">30</t>
    </r>
    <r>
      <rPr>
        <sz val="10"/>
        <rFont val="WenQuanYi Zen Hei"/>
        <family val="2"/>
      </rPr>
      <t xml:space="preserve">년을 보낸 뒤 </t>
    </r>
    <r>
      <rPr>
        <sz val="10"/>
        <rFont val="Arial"/>
        <family val="0"/>
        <charset val="1"/>
      </rPr>
      <t xml:space="preserve">'</t>
    </r>
    <r>
      <rPr>
        <sz val="10"/>
        <rFont val="WenQuanYi Zen Hei"/>
        <family val="2"/>
      </rPr>
      <t xml:space="preserve">민주주의</t>
    </r>
    <r>
      <rPr>
        <sz val="10"/>
        <rFont val="Arial"/>
        <family val="0"/>
        <charset val="1"/>
      </rPr>
      <t xml:space="preserve">'</t>
    </r>
    <r>
      <rPr>
        <sz val="10"/>
        <rFont val="WenQuanYi Zen Hei"/>
        <family val="2"/>
      </rPr>
      <t xml:space="preserve">라 부르는 자리에 눌러앉아 이웃 나라 땅을 가져간 인물</t>
    </r>
    <r>
      <rPr>
        <sz val="10"/>
        <rFont val="Arial"/>
        <family val="0"/>
        <charset val="1"/>
      </rPr>
      <t xml:space="preserve">. </t>
    </r>
    <r>
      <rPr>
        <sz val="10"/>
        <rFont val="WenQuanYi Zen Hei"/>
        <family val="2"/>
      </rPr>
      <t xml:space="preserve">이름도 국가도 끝내 말하지 않는다</t>
    </r>
    <r>
      <rPr>
        <sz val="10"/>
        <rFont val="Arial"/>
        <family val="0"/>
        <charset val="1"/>
      </rPr>
      <t xml:space="preserve">(</t>
    </r>
    <r>
      <rPr>
        <sz val="10"/>
        <rFont val="WenQuanYi Zen Hei"/>
        <family val="2"/>
      </rPr>
      <t xml:space="preserve">실존 인물 실명 미사용</t>
    </r>
    <r>
      <rPr>
        <sz val="10"/>
        <rFont val="Arial"/>
        <family val="0"/>
        <charset val="1"/>
      </rPr>
      <t xml:space="preserve">, </t>
    </r>
    <r>
      <rPr>
        <sz val="10"/>
        <rFont val="WenQuanYi Zen Hei"/>
        <family val="2"/>
      </rPr>
      <t xml:space="preserve">특징 묘사로만</t>
    </r>
    <r>
      <rPr>
        <sz val="10"/>
        <rFont val="Arial"/>
        <family val="0"/>
        <charset val="1"/>
      </rPr>
      <t xml:space="preserve">).</t>
    </r>
  </si>
  <si>
    <t xml:space="preserve">조약 체결은 대통령, 비준 동의는 의회(헌법 제84조 VIII·제49조 I), 특사 임명, 대표단 구성</t>
  </si>
  <si>
    <t xml:space="preserve">Dom Pedro, Machado, Bruno</t>
  </si>
  <si>
    <t xml:space="preserve">N3</t>
  </si>
  <si>
    <t xml:space="preserve">A mesa de Bruxelas</t>
  </si>
  <si>
    <t xml:space="preserve">브뤼셀의 테이블</t>
  </si>
  <si>
    <t xml:space="preserve">직접 협상. 상대측 인사(가상)가 «브라질은 산림 약속만 하고 지키지 않았다»고 과장하자 Dom Pedro가 위성 감시 자료(PRODES)의 연도별 수치와 옛 합의 날짜를 정확히 짚어 반박한다. 완곡어법과 «Permita-me uma precisão»으로 위성 검증 방식의 산림 이행 경로와 농산물 긴급수입제한 발동 기준을 절충한다.</t>
  </si>
  <si>
    <r>
      <rPr>
        <sz val="10"/>
        <rFont val="Noto Sans CJK SC"/>
        <family val="2"/>
        <charset val="1"/>
      </rPr>
      <t xml:space="preserve">EU </t>
    </r>
    <r>
      <rPr>
        <sz val="10"/>
        <rFont val="WenQuanYi Zen Hei"/>
        <family val="2"/>
      </rPr>
      <t xml:space="preserve">산림전용방지규정</t>
    </r>
    <r>
      <rPr>
        <sz val="10"/>
        <rFont val="Noto Sans CJK SC"/>
        <family val="2"/>
        <charset val="1"/>
      </rPr>
      <t xml:space="preserve">(EUDR, </t>
    </r>
    <r>
      <rPr>
        <sz val="10"/>
        <rFont val="WenQuanYi Zen Hei"/>
        <family val="2"/>
      </rPr>
      <t xml:space="preserve">규정 </t>
    </r>
    <r>
      <rPr>
        <sz val="10"/>
        <rFont val="Noto Sans CJK SC"/>
        <family val="2"/>
        <charset val="1"/>
      </rPr>
      <t xml:space="preserve">2023/1115), </t>
    </r>
    <r>
      <rPr>
        <sz val="10"/>
        <rFont val="WenQuanYi Zen Hei"/>
        <family val="2"/>
      </rPr>
      <t xml:space="preserve">위성 산림 감시</t>
    </r>
    <r>
      <rPr>
        <sz val="10"/>
        <rFont val="Noto Sans CJK SC"/>
        <family val="2"/>
        <charset val="1"/>
      </rPr>
      <t xml:space="preserve">(INPE PRODES·DETER), </t>
    </r>
    <r>
      <rPr>
        <sz val="10"/>
        <rFont val="WenQuanYi Zen Hei"/>
        <family val="2"/>
      </rPr>
      <t xml:space="preserve">긴급수입제한</t>
    </r>
    <r>
      <rPr>
        <sz val="10"/>
        <rFont val="Noto Sans CJK SC"/>
        <family val="2"/>
        <charset val="1"/>
      </rPr>
      <t xml:space="preserve">(salvaguardas)</t>
    </r>
  </si>
  <si>
    <t xml:space="preserve">Dom Pedro, Bruno, Machado</t>
  </si>
  <si>
    <t xml:space="preserve">N3·E3</t>
  </si>
  <si>
    <t xml:space="preserve">O triunfo e o cansaço</t>
  </si>
  <si>
    <t xml:space="preserve">승리와 피로</t>
  </si>
  <si>
    <t xml:space="preserve">협상 타결: 검증 가능한 산림 이행 경로 + 긴급수입제한의 객관적 발동 기준. 귀국 비행기에서 Dom Pedro가 지친 기색을 숨기며 Bruno에게 메모를 남기라고 한다.</t>
  </si>
  <si>
    <t xml:space="preserve">협상 결과의 국내 비준 절차(의회 입법명령), 예산 반영 일정</t>
  </si>
  <si>
    <t xml:space="preserve">Dom Pedro, Bruno, Zumbi</t>
  </si>
  <si>
    <t xml:space="preserve">결말(사망)</t>
  </si>
  <si>
    <t xml:space="preserve">Uma última precisão</t>
  </si>
  <si>
    <t xml:space="preserve">마지막 각주 하나</t>
  </si>
  <si>
    <t xml:space="preserve">귀국 직후 상파울루 자택에서 심부전으로 사망. 1891년 파리 망명지에서 죽었던 그가 이번엔 조국에서 눈을 감는다. Larissa가 청년 정책안 마지막 서명을 받으러 왔다가 그를 발견한다. 마지막 말은 «Não é ruim.» — 브뤼셀 승리 직후라 더 무겁다.</t>
  </si>
  <si>
    <r>
      <rPr>
        <sz val="10"/>
        <rFont val="Arial"/>
        <family val="0"/>
        <charset val="1"/>
      </rPr>
      <t xml:space="preserve">insuficiência cardíaca, </t>
    </r>
    <r>
      <rPr>
        <sz val="10"/>
        <rFont val="WenQuanYi Zen Hei"/>
        <family val="2"/>
      </rPr>
      <t xml:space="preserve">사망 확인</t>
    </r>
    <r>
      <rPr>
        <sz val="10"/>
        <rFont val="Arial"/>
        <family val="0"/>
        <charset val="1"/>
      </rPr>
      <t xml:space="preserve">, </t>
    </r>
    <r>
      <rPr>
        <sz val="10"/>
        <rFont val="WenQuanYi Zen Hei"/>
        <family val="2"/>
      </rPr>
      <t xml:space="preserve">장례 절차 시작</t>
    </r>
  </si>
  <si>
    <t xml:space="preserve">Larissa, Camila, Dom Pedro</t>
  </si>
  <si>
    <t xml:space="preserve">발단(장례)</t>
  </si>
  <si>
    <t xml:space="preserve">O velório</t>
  </si>
  <si>
    <t xml:space="preserve">장례식</t>
  </si>
  <si>
    <r>
      <rPr>
        <sz val="10"/>
        <rFont val="Arial"/>
        <family val="0"/>
        <charset val="1"/>
      </rPr>
      <t xml:space="preserve">Bar da Marta</t>
    </r>
    <r>
      <rPr>
        <sz val="10"/>
        <rFont val="WenQuanYi Zen Hei"/>
        <family val="2"/>
      </rPr>
      <t xml:space="preserve">가 첫 장면</t>
    </r>
    <r>
      <rPr>
        <sz val="10"/>
        <rFont val="Arial"/>
        <family val="0"/>
        <charset val="1"/>
      </rPr>
      <t xml:space="preserve">. </t>
    </r>
    <r>
      <rPr>
        <sz val="10"/>
        <rFont val="WenQuanYi Zen Hei"/>
        <family val="2"/>
      </rPr>
      <t xml:space="preserve">빈자리에 커피 한 잔이 놓인다</t>
    </r>
    <r>
      <rPr>
        <sz val="10"/>
        <rFont val="Arial"/>
        <family val="0"/>
        <charset val="1"/>
      </rPr>
      <t xml:space="preserve">. 1891</t>
    </r>
    <r>
      <rPr>
        <sz val="10"/>
        <rFont val="WenQuanYi Zen Hei"/>
        <family val="2"/>
      </rPr>
      <t xml:space="preserve">년처럼 관 속에 브라질 흙을 담은 베개가 놓인다</t>
    </r>
    <r>
      <rPr>
        <sz val="10"/>
        <rFont val="Arial"/>
        <family val="0"/>
        <charset val="1"/>
      </rPr>
      <t xml:space="preserve">. Larissa</t>
    </r>
    <r>
      <rPr>
        <sz val="10"/>
        <rFont val="WenQuanYi Zen Hei"/>
        <family val="2"/>
      </rPr>
      <t xml:space="preserve">가 조사에서 처음으로 </t>
    </r>
    <r>
      <rPr>
        <sz val="10"/>
        <rFont val="Arial"/>
        <family val="0"/>
        <charset val="1"/>
      </rPr>
      <t xml:space="preserve">Dom Pedro</t>
    </r>
    <r>
      <rPr>
        <sz val="10"/>
        <rFont val="WenQuanYi Zen Hei"/>
        <family val="2"/>
      </rPr>
      <t xml:space="preserve">에게 </t>
    </r>
    <r>
      <rPr>
        <sz val="10"/>
        <rFont val="Arial"/>
        <family val="0"/>
        <charset val="1"/>
      </rPr>
      <t xml:space="preserve">'você'</t>
    </r>
    <r>
      <rPr>
        <sz val="10"/>
        <rFont val="WenQuanYi Zen Hei"/>
        <family val="2"/>
      </rPr>
      <t xml:space="preserve">를 쓴다</t>
    </r>
    <r>
      <rPr>
        <sz val="10"/>
        <rFont val="Arial"/>
        <family val="0"/>
        <charset val="1"/>
      </rPr>
      <t xml:space="preserve">. «Pra ele, "não é ruim" era o maior elogio.»</t>
    </r>
  </si>
  <si>
    <t xml:space="preserve">velório, enterro, pêsames, elogio fúnebre</t>
  </si>
  <si>
    <t xml:space="preserve">Larissa, Marta, Zumbi, Freire, Camila</t>
  </si>
  <si>
    <t xml:space="preserve">A ficha que ele deixou</t>
  </si>
  <si>
    <t xml:space="preserve">그가 남긴 카드</t>
  </si>
  <si>
    <r>
      <rPr>
        <sz val="10"/>
        <rFont val="Arial"/>
        <family val="0"/>
        <charset val="1"/>
      </rPr>
      <t xml:space="preserve">Dom Pedro</t>
    </r>
    <r>
      <rPr>
        <sz val="10"/>
        <rFont val="WenQuanYi Zen Hei"/>
        <family val="2"/>
      </rPr>
      <t xml:space="preserve">가 죽기 전 남긴 브뤼셀 후속 협상 메모가 발견된다</t>
    </r>
    <r>
      <rPr>
        <sz val="10"/>
        <rFont val="Arial"/>
        <family val="0"/>
        <charset val="1"/>
      </rPr>
      <t xml:space="preserve">. Freire</t>
    </r>
    <r>
      <rPr>
        <sz val="10"/>
        <rFont val="WenQuanYi Zen Hei"/>
        <family val="2"/>
      </rPr>
      <t xml:space="preserve">가 정리하고 </t>
    </r>
    <r>
      <rPr>
        <sz val="10"/>
        <rFont val="Arial"/>
        <family val="0"/>
        <charset val="1"/>
      </rPr>
      <t xml:space="preserve">Machado</t>
    </r>
    <r>
      <rPr>
        <sz val="10"/>
        <rFont val="WenQuanYi Zen Hei"/>
        <family val="2"/>
      </rPr>
      <t xml:space="preserve">가 문장을 다듬는다</t>
    </r>
    <r>
      <rPr>
        <sz val="10"/>
        <rFont val="Arial"/>
        <family val="0"/>
        <charset val="1"/>
      </rPr>
      <t xml:space="preserve">.</t>
    </r>
  </si>
  <si>
    <t xml:space="preserve">유작 메모, 외교 기록 인계</t>
  </si>
  <si>
    <t xml:space="preserve">Freire, Machado, Bruno</t>
  </si>
  <si>
    <t xml:space="preserve">Segunda rodada em Bruxelas</t>
  </si>
  <si>
    <t xml:space="preserve">브뤼셀 2차 협상</t>
  </si>
  <si>
    <r>
      <rPr>
        <sz val="10"/>
        <rFont val="Arial"/>
        <family val="0"/>
        <charset val="1"/>
      </rPr>
      <t xml:space="preserve">Dom Pedro </t>
    </r>
    <r>
      <rPr>
        <sz val="10"/>
        <rFont val="WenQuanYi Zen Hei"/>
        <family val="2"/>
      </rPr>
      <t xml:space="preserve">없이 떠나는 팀</t>
    </r>
    <r>
      <rPr>
        <sz val="10"/>
        <rFont val="Arial"/>
        <family val="0"/>
        <charset val="1"/>
      </rPr>
      <t xml:space="preserve">. Bruno</t>
    </r>
    <r>
      <rPr>
        <sz val="10"/>
        <rFont val="WenQuanYi Zen Hei"/>
        <family val="2"/>
      </rPr>
      <t xml:space="preserve">가 협상석에 앉고 </t>
    </r>
    <r>
      <rPr>
        <sz val="10"/>
        <rFont val="Arial"/>
        <family val="0"/>
        <charset val="1"/>
      </rPr>
      <t xml:space="preserve">Machado</t>
    </r>
    <r>
      <rPr>
        <sz val="10"/>
        <rFont val="WenQuanYi Zen Hei"/>
        <family val="2"/>
      </rPr>
      <t xml:space="preserve">가 다듬은 그의 문장</t>
    </r>
    <r>
      <rPr>
        <sz val="10"/>
        <rFont val="Arial"/>
        <family val="0"/>
        <charset val="1"/>
      </rPr>
      <t xml:space="preserve">(«não foi ruim» </t>
    </r>
    <r>
      <rPr>
        <sz val="10"/>
        <rFont val="WenQuanYi Zen Hei"/>
        <family val="2"/>
      </rPr>
      <t xml:space="preserve">포함</t>
    </r>
    <r>
      <rPr>
        <sz val="10"/>
        <rFont val="Arial"/>
        <family val="0"/>
        <charset val="1"/>
      </rPr>
      <t xml:space="preserve">)</t>
    </r>
    <r>
      <rPr>
        <sz val="10"/>
        <rFont val="WenQuanYi Zen Hei"/>
        <family val="2"/>
      </rPr>
      <t xml:space="preserve">을 인용해 산림 이행 경로의 세부 일정을 확정짓는다</t>
    </r>
    <r>
      <rPr>
        <sz val="10"/>
        <rFont val="Arial"/>
        <family val="0"/>
        <charset val="1"/>
      </rPr>
      <t xml:space="preserve">.</t>
    </r>
  </si>
  <si>
    <t xml:space="preserve">세부 일정 확정, 의회 비준 동의 절차 개시</t>
  </si>
  <si>
    <t xml:space="preserve">Bruno, Machado, Zumbi</t>
  </si>
  <si>
    <t xml:space="preserve">O aplicativo que decide</t>
  </si>
  <si>
    <t xml:space="preserve">결정하는 앱</t>
  </si>
  <si>
    <t xml:space="preserve">앱 운전기사·배달원들이 알고리즘 배차와 일방적 계정 차단에 항의하며 '앱 파업(breque)'을 벌인다. 앱 노동 법안 이후에도 고용 지위 분쟁이 계속됨을 Edson이 현장에서, Machado가 문구로 돕는다.</t>
  </si>
  <si>
    <t xml:space="preserve">앱 운전기사 법안(PLP 12/2024, 확인 필요), 알고리즘 투명성, 고용 지위 판단(노동법원·STF)</t>
  </si>
  <si>
    <t xml:space="preserve">Edson, Machado, Rafael</t>
  </si>
  <si>
    <t xml:space="preserve">N6</t>
  </si>
  <si>
    <t xml:space="preserve">O software que ninguém autorizou</t>
  </si>
  <si>
    <t xml:space="preserve">누구도 승인하지 않은 소프트웨어</t>
  </si>
  <si>
    <t xml:space="preserve">야당 정치인과 언론인 휴대전화가 위치추적 스파이웨어로 감시당했다는 의혹이 터진다. 정보청(Abin)이 Juliana의 수석장관실 소속이라 불똥이 정부로 튄다. 군사정권 시절 감시받다 투옥·망명했던 Freire가 그때와 같은 수법을 알아보고, Dumont이 보도하며 Rafael은 합법적 감독 경로를 고집한다.</t>
  </si>
  <si>
    <t xml:space="preserve">정보청법(Lei 9.883/1999), 의회 정보활동통제위원회(CCAI), 감청법(Lei 9.296/1996), 연방경찰 수사</t>
  </si>
  <si>
    <t xml:space="preserve">Freire, Dumont, Rafael, Juliana</t>
  </si>
  <si>
    <t xml:space="preserve">N7</t>
  </si>
  <si>
    <t xml:space="preserve">As filas de espera</t>
  </si>
  <si>
    <t xml:space="preserve">대기 명단</t>
  </si>
  <si>
    <t xml:space="preserve">청년 정신건강 상담 대기가 몇 달씩 밀린 현실, 그리고 온라인 도박(bets) 빚. CVV 자원봉사자 Isabel이 현장에서, Larissa가 자신의 불안을 처음 인정하며 함께 부딪힌다.</t>
  </si>
  <si>
    <t xml:space="preserve">정신보건법(Lei 10.216/2001), 지역정신건강센터(CAPS), 온라인 도박 규제법(Lei 14.790/2023)</t>
  </si>
  <si>
    <t xml:space="preserve">Isabel, Larissa, Camila</t>
  </si>
  <si>
    <t xml:space="preserve">N8</t>
  </si>
  <si>
    <t xml:space="preserve">O impeachment que não soma</t>
  </si>
  <si>
    <t xml:space="preserve">합쳐지지 않는 탄핵</t>
  </si>
  <si>
    <t xml:space="preserve">하원의장이 야당의 탄핵 청구를 받아들인다. 탄핵 절차 개시에는 하원 3분의 2(342표)가 필요하고, 정부는 172표만 지키면 된다. 결과 찬성 232표로 부결. 기권한 지역정당 TB는 주 정부 부채 재협상을 요구하고, 연방대법원–의회 갈등이 정국을 더 얼어붙게 한다.</t>
  </si>
  <si>
    <t xml:space="preserve">탄핵(헌법 제85·86조, Lei 1.079/1950), 하원 3분의 2 승인 → 상원 심판 (정치경로_의석 C블록)</t>
  </si>
  <si>
    <t xml:space="preserve">P1·P2·P3</t>
  </si>
  <si>
    <t xml:space="preserve">As águas</t>
  </si>
  <si>
    <t xml:space="preserve">물</t>
  </si>
  <si>
    <t xml:space="preserve">남부에 폭우와 대홍수가 덮친다(가상의 재난). 경보 지연과 초기 대응을 둘러싼 주–연방 책임 공방, 공공재난사태 인정, 군 투입, 휴대전화 긴급 경보. Zumbi가 처음으로 «Tem novidade.»라고 보고하며 지휘하고 Machado가 추모 문구를 쓴다.</t>
  </si>
  <si>
    <t xml:space="preserve">국가 민방위 정책(Lei 12.608/2012), 공공재난사태(estado de calamidade pública), 특별 예산(헌법 제167조 3항), 긴급 경보(Defesa Civil Alerta)</t>
  </si>
  <si>
    <t xml:space="preserve">Zumbi, Camila, Rafael, Dumont, Machado</t>
  </si>
  <si>
    <t xml:space="preserve">N1·N3·S4</t>
  </si>
  <si>
    <t xml:space="preserve">Resultados na rua</t>
  </si>
  <si>
    <t xml:space="preserve">거리에서 나타난 변화</t>
  </si>
  <si>
    <t xml:space="preserve">임대료·응급실 대기·청년 고용 지표. 노·사·정 협약 서명.</t>
  </si>
  <si>
    <t xml:space="preserve">성과 지표 공표, 사회적 대화 협약</t>
  </si>
  <si>
    <t xml:space="preserve">Bruno, Camila, Larissa</t>
  </si>
  <si>
    <t xml:space="preserve">N3·E3·P1</t>
  </si>
  <si>
    <t xml:space="preserve">O vazio na Velha Guarda</t>
  </si>
  <si>
    <t xml:space="preserve">올드 가드의 빈자리</t>
  </si>
  <si>
    <r>
      <rPr>
        <sz val="10"/>
        <rFont val="Arial"/>
        <family val="0"/>
        <charset val="1"/>
      </rPr>
      <t xml:space="preserve">Zumbi</t>
    </r>
    <r>
      <rPr>
        <sz val="10"/>
        <rFont val="WenQuanYi Zen Hei"/>
        <family val="2"/>
      </rPr>
      <t xml:space="preserve">와 </t>
    </r>
    <r>
      <rPr>
        <sz val="10"/>
        <rFont val="Arial"/>
        <family val="0"/>
        <charset val="1"/>
      </rPr>
      <t xml:space="preserve">Freire</t>
    </r>
    <r>
      <rPr>
        <sz val="10"/>
        <rFont val="WenQuanYi Zen Hei"/>
        <family val="2"/>
      </rPr>
      <t xml:space="preserve">가 </t>
    </r>
    <r>
      <rPr>
        <sz val="10"/>
        <rFont val="Arial"/>
        <family val="0"/>
        <charset val="1"/>
      </rPr>
      <t xml:space="preserve">Dom Pedro </t>
    </r>
    <r>
      <rPr>
        <sz val="10"/>
        <rFont val="WenQuanYi Zen Hei"/>
        <family val="2"/>
      </rPr>
      <t xml:space="preserve">없는 </t>
    </r>
    <r>
      <rPr>
        <sz val="10"/>
        <rFont val="Arial"/>
        <family val="0"/>
        <charset val="1"/>
      </rPr>
      <t xml:space="preserve">A Velha Guarda</t>
    </r>
    <r>
      <rPr>
        <sz val="10"/>
        <rFont val="WenQuanYi Zen Hei"/>
        <family val="2"/>
      </rPr>
      <t xml:space="preserve">를 마주한다</t>
    </r>
    <r>
      <rPr>
        <sz val="10"/>
        <rFont val="Arial"/>
        <family val="0"/>
        <charset val="1"/>
      </rPr>
      <t xml:space="preserve">. </t>
    </r>
    <r>
      <rPr>
        <sz val="10"/>
        <rFont val="WenQuanYi Zen Hei"/>
        <family val="2"/>
      </rPr>
      <t xml:space="preserve">황제와 킬롬부 지도자와 교육자라는 이상한 삼인조</t>
    </r>
    <r>
      <rPr>
        <sz val="10"/>
        <rFont val="Arial"/>
        <family val="0"/>
        <charset val="1"/>
      </rPr>
      <t xml:space="preserve">. </t>
    </r>
    <r>
      <rPr>
        <sz val="10"/>
        <rFont val="WenQuanYi Zen Hei"/>
        <family val="2"/>
      </rPr>
      <t xml:space="preserve">둘 다 말을 아끼다가 결국 그의 커피 불평을 그리워한다고 인정한다</t>
    </r>
    <r>
      <rPr>
        <sz val="10"/>
        <rFont val="Arial"/>
        <family val="0"/>
        <charset val="1"/>
      </rPr>
      <t xml:space="preserve">.</t>
    </r>
  </si>
  <si>
    <t xml:space="preserve">Zumbi, Freire, Marta</t>
  </si>
  <si>
    <t xml:space="preserve">Antes do orçamento</t>
  </si>
  <si>
    <t xml:space="preserve">예산안 앞에서</t>
  </si>
  <si>
    <t xml:space="preserve">협정 이행 지원금과 기후 재원을 예산에 어떻게 넣을지 논쟁: 연금·복지와의 줄다리기, 그리고 재정규칙의 지출 상한. Bruno가 브뤼셀 합의의 검증 가능한 경로를 방패로 쓴다.</t>
  </si>
  <si>
    <t xml:space="preserve">재정규칙(LC 200/2023), 예산 편성, 협정 이행 국내 반영</t>
  </si>
  <si>
    <t xml:space="preserve">Bruno, Rafael, Juliana</t>
  </si>
  <si>
    <t xml:space="preserve">A luta continua</t>
  </si>
  <si>
    <t xml:space="preserve">싸움은 계속된다</t>
  </si>
  <si>
    <t xml:space="preserve">예산안 제출 준비(8월 31일 시한): 그동안의 성과 지표도 정리한다. 의원 예산 수정(emendas) 몫을 늘리라는 의회의 압박.</t>
  </si>
  <si>
    <t xml:space="preserve">예산안은 8월 31일까지 의회 제출(헌법 부칙 제35조), 미통과 시 예산지침법에 따른 잠정 집행, 의원 예산 수정</t>
  </si>
  <si>
    <t xml:space="preserve">Bruno, Rafael, Juliana, Zumbi</t>
  </si>
  <si>
    <t xml:space="preserve">São cinco horas</t>
  </si>
  <si>
    <t xml:space="preserve">다섯 시</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</si>
  <si>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화와 같은 대사로 시작하지만 자리가 달라졌다</t>
    </r>
    <r>
      <rPr>
        <sz val="10"/>
        <rFont val="Arial"/>
        <family val="0"/>
        <charset val="1"/>
      </rPr>
      <t xml:space="preserve">: </t>
    </r>
    <r>
      <rPr>
        <sz val="10"/>
        <rFont val="WenQuanYi Zen Hei"/>
        <family val="2"/>
      </rPr>
      <t xml:space="preserve">장관들은 이제 목요일 밤 비행기로 돌아온 손님이다</t>
    </r>
    <r>
      <rPr>
        <sz val="10"/>
        <rFont val="Arial"/>
        <family val="0"/>
        <charset val="1"/>
      </rPr>
      <t xml:space="preserve">. </t>
    </r>
    <r>
      <rPr>
        <sz val="10"/>
        <rFont val="WenQuanYi Zen Hei"/>
        <family val="2"/>
      </rPr>
      <t xml:space="preserve">대통령인 </t>
    </r>
    <r>
      <rPr>
        <sz val="10"/>
        <rFont val="Arial"/>
        <family val="0"/>
        <charset val="1"/>
      </rPr>
      <t xml:space="preserve">Rafael</t>
    </r>
    <r>
      <rPr>
        <sz val="10"/>
        <rFont val="WenQuanYi Zen Hei"/>
        <family val="2"/>
      </rPr>
      <t xml:space="preserve">은 변호사 활동을 할 수 없다</t>
    </r>
    <r>
      <rPr>
        <sz val="10"/>
        <rFont val="Arial"/>
        <family val="0"/>
        <charset val="1"/>
      </rPr>
      <t xml:space="preserve">.</t>
    </r>
  </si>
  <si>
    <t xml:space="preserve">공직자 이해충돌법(Lei 12.813/2013), 변호사법의 겸직 금지(Lei 8.906/1994 제28조)</t>
  </si>
  <si>
    <t xml:space="preserve">Marta, Rafael</t>
  </si>
  <si>
    <t xml:space="preserve">O guarda-chuva</t>
  </si>
  <si>
    <t xml:space="preserve">우산</t>
  </si>
  <si>
    <r>
      <rPr>
        <sz val="10"/>
        <rFont val="Arial"/>
        <family val="0"/>
        <charset val="1"/>
      </rPr>
      <t xml:space="preserve">Dom Pedro</t>
    </r>
    <r>
      <rPr>
        <sz val="10"/>
        <rFont val="WenQuanYi Zen Hei"/>
        <family val="2"/>
      </rPr>
      <t xml:space="preserve">의 유언장</t>
    </r>
    <r>
      <rPr>
        <sz val="10"/>
        <rFont val="Arial"/>
        <family val="0"/>
        <charset val="1"/>
      </rPr>
      <t xml:space="preserve">. </t>
    </r>
    <r>
      <rPr>
        <sz val="10"/>
        <rFont val="WenQuanYi Zen Hei"/>
        <family val="2"/>
      </rPr>
      <t xml:space="preserve">공증인</t>
    </r>
    <r>
      <rPr>
        <sz val="10"/>
        <rFont val="Arial"/>
        <family val="0"/>
        <charset val="1"/>
      </rPr>
      <t xml:space="preserve">(tabeliã) </t>
    </r>
    <r>
      <rPr>
        <sz val="10"/>
        <rFont val="WenQuanYi Zen Hei"/>
        <family val="2"/>
      </rPr>
      <t xml:space="preserve">앞에서 우산이 </t>
    </r>
    <r>
      <rPr>
        <sz val="10"/>
        <rFont val="Arial"/>
        <family val="0"/>
        <charset val="1"/>
      </rPr>
      <t xml:space="preserve">Larissa</t>
    </r>
    <r>
      <rPr>
        <sz val="10"/>
        <rFont val="WenQuanYi Zen Hei"/>
        <family val="2"/>
      </rPr>
      <t xml:space="preserve">에게 간다</t>
    </r>
    <r>
      <rPr>
        <sz val="10"/>
        <rFont val="Arial"/>
        <family val="0"/>
        <charset val="1"/>
      </rPr>
      <t xml:space="preserve">. </t>
    </r>
    <r>
      <rPr>
        <sz val="10"/>
        <rFont val="WenQuanYi Zen Hei"/>
        <family val="2"/>
      </rPr>
      <t xml:space="preserve">상파울루의 이슬비</t>
    </r>
    <r>
      <rPr>
        <sz val="10"/>
        <rFont val="Arial"/>
        <family val="0"/>
        <charset val="1"/>
      </rPr>
      <t xml:space="preserve">(garoa)</t>
    </r>
    <r>
      <rPr>
        <sz val="10"/>
        <rFont val="WenQuanYi Zen Hei"/>
        <family val="2"/>
      </rPr>
      <t xml:space="preserve">를 막던 그 우산</t>
    </r>
    <r>
      <rPr>
        <sz val="10"/>
        <rFont val="Arial"/>
        <family val="0"/>
        <charset val="1"/>
      </rPr>
      <t xml:space="preserve">.</t>
    </r>
  </si>
  <si>
    <t xml:space="preserve">공정증서 유언(testamento público), 유언집행자(testamenteiro), 유언 등록 조회(RCTO)</t>
  </si>
  <si>
    <t xml:space="preserve">Larissa, Zumbi, Marta</t>
  </si>
  <si>
    <t xml:space="preserve">A cadeira vazia</t>
  </si>
  <si>
    <t xml:space="preserve">빈 의자</t>
  </si>
  <si>
    <t xml:space="preserve">커피 한 잔이 놓인 빈 자리. 새 손님이 그 자리에 앉으려 한다.</t>
  </si>
  <si>
    <t xml:space="preserve">Marta, Zumbi</t>
  </si>
  <si>
    <t xml:space="preserve">Uma fundação para o escritório</t>
  </si>
  <si>
    <t xml:space="preserve">사무소를 재단으로</t>
  </si>
  <si>
    <t xml:space="preserve">장관들이 사무소를 떠나며 재단으로 전환한다. Edson과 Marta가 운영을 맡는다.</t>
  </si>
  <si>
    <t xml:space="preserve">재단 설립(민법 제62~69조), 검찰의 재단 감독, 공직자 이해충돌</t>
  </si>
  <si>
    <t xml:space="preserve">Edson, Marta, Sérgio</t>
  </si>
  <si>
    <t xml:space="preserve">O estagiário novo</t>
  </si>
  <si>
    <t xml:space="preserve">새 인턴</t>
  </si>
  <si>
    <t xml:space="preserve">새 인턴 Lucas가 도착해 «Desculpa, o que isso significa?»라고 묻는다. Larissa가 답하는 쪽에 선다.</t>
  </si>
  <si>
    <r>
      <rPr>
        <sz val="10"/>
        <rFont val="Arial"/>
        <family val="0"/>
        <charset val="1"/>
      </rPr>
      <t xml:space="preserve">Larissa, Lucas(</t>
    </r>
    <r>
      <rPr>
        <sz val="10"/>
        <rFont val="WenQuanYi Zen Hei"/>
        <family val="2"/>
      </rPr>
      <t xml:space="preserve">신규 엑스트라</t>
    </r>
    <r>
      <rPr>
        <sz val="10"/>
        <rFont val="Arial"/>
        <family val="0"/>
        <charset val="1"/>
      </rPr>
      <t xml:space="preserve">)</t>
    </r>
  </si>
  <si>
    <t xml:space="preserve">A Larissa explica</t>
  </si>
  <si>
    <r>
      <rPr>
        <sz val="10"/>
        <rFont val="Arial"/>
        <family val="0"/>
        <charset val="1"/>
      </rPr>
      <t xml:space="preserve">Larissa</t>
    </r>
    <r>
      <rPr>
        <sz val="10"/>
        <rFont val="WenQuanYi Zen Hei"/>
        <family val="2"/>
      </rPr>
      <t xml:space="preserve">의 설명</t>
    </r>
  </si>
  <si>
    <r>
      <rPr>
        <sz val="10"/>
        <rFont val="Arial"/>
        <family val="0"/>
        <charset val="1"/>
      </rPr>
      <t xml:space="preserve">Lucas</t>
    </r>
    <r>
      <rPr>
        <sz val="10"/>
        <rFont val="WenQuanYi Zen Hei"/>
        <family val="2"/>
      </rPr>
      <t xml:space="preserve">의 질문에 </t>
    </r>
    <r>
      <rPr>
        <sz val="10"/>
        <rFont val="Arial"/>
        <family val="0"/>
        <charset val="1"/>
      </rPr>
      <t xml:space="preserve">Larissa</t>
    </r>
    <r>
      <rPr>
        <sz val="10"/>
        <rFont val="WenQuanYi Zen Hei"/>
        <family val="2"/>
      </rPr>
      <t xml:space="preserve">가 어려운 말을 쉬운 말로 풀어 준다</t>
    </r>
    <r>
      <rPr>
        <sz val="10"/>
        <rFont val="Arial"/>
        <family val="0"/>
        <charset val="1"/>
      </rPr>
      <t xml:space="preserve">. Zumbi</t>
    </r>
    <r>
      <rPr>
        <sz val="10"/>
        <rFont val="WenQuanYi Zen Hei"/>
        <family val="2"/>
      </rPr>
      <t xml:space="preserve">도 함께 배운다</t>
    </r>
    <r>
      <rPr>
        <sz val="10"/>
        <rFont val="Arial"/>
        <family val="0"/>
        <charset val="1"/>
      </rPr>
      <t xml:space="preserve">.</t>
    </r>
  </si>
  <si>
    <t xml:space="preserve">Larissa, Zumbi</t>
  </si>
  <si>
    <t xml:space="preserve">O relatório do mandato</t>
  </si>
  <si>
    <t xml:space="preserve">임기 보고서</t>
  </si>
  <si>
    <r>
      <rPr>
        <sz val="10"/>
        <rFont val="Arial"/>
        <family val="0"/>
        <charset val="1"/>
      </rPr>
      <t xml:space="preserve">Bruno</t>
    </r>
    <r>
      <rPr>
        <sz val="10"/>
        <rFont val="WenQuanYi Zen Hei"/>
        <family val="2"/>
      </rPr>
      <t xml:space="preserve">가 숫자로 성과를 발표하고 </t>
    </r>
    <r>
      <rPr>
        <sz val="10"/>
        <rFont val="Arial"/>
        <family val="0"/>
        <charset val="1"/>
      </rPr>
      <t xml:space="preserve">Camila</t>
    </r>
    <r>
      <rPr>
        <sz val="10"/>
        <rFont val="WenQuanYi Zen Hei"/>
        <family val="2"/>
      </rPr>
      <t xml:space="preserve">가 사람 이야기로 보완한다</t>
    </r>
    <r>
      <rPr>
        <sz val="10"/>
        <rFont val="Arial"/>
        <family val="0"/>
        <charset val="1"/>
      </rPr>
      <t xml:space="preserve">.</t>
    </r>
  </si>
  <si>
    <t xml:space="preserve">성과 공시, 연방 관보(Diário Oficial da União)</t>
  </si>
  <si>
    <t xml:space="preserve">Bruno, Camila</t>
  </si>
  <si>
    <t xml:space="preserve">E3·S3·N5·N3</t>
  </si>
  <si>
    <t xml:space="preserve">As cartas do povo</t>
  </si>
  <si>
    <t xml:space="preserve">시민들이 보낸 편지</t>
  </si>
  <si>
    <r>
      <rPr>
        <sz val="10"/>
        <rFont val="Arial"/>
        <family val="0"/>
        <charset val="1"/>
      </rPr>
      <t xml:space="preserve">Dumont</t>
    </r>
    <r>
      <rPr>
        <sz val="10"/>
        <rFont val="WenQuanYi Zen Hei"/>
        <family val="2"/>
      </rPr>
      <t xml:space="preserve">이 편지를 낭독하고 </t>
    </r>
    <r>
      <rPr>
        <sz val="10"/>
        <rFont val="Arial"/>
        <family val="0"/>
        <charset val="1"/>
      </rPr>
      <t xml:space="preserve">Machado</t>
    </r>
    <r>
      <rPr>
        <sz val="10"/>
        <rFont val="WenQuanYi Zen Hei"/>
        <family val="2"/>
      </rPr>
      <t xml:space="preserve">가 답장을 쓴다</t>
    </r>
    <r>
      <rPr>
        <sz val="10"/>
        <rFont val="Arial"/>
        <family val="0"/>
        <charset val="1"/>
      </rPr>
      <t xml:space="preserve">.</t>
    </r>
  </si>
  <si>
    <t xml:space="preserve">Dumont, Machado</t>
  </si>
  <si>
    <t xml:space="preserve">A Velha Guarda</t>
  </si>
  <si>
    <t xml:space="preserve">올드 가드</t>
  </si>
  <si>
    <r>
      <rPr>
        <sz val="10"/>
        <rFont val="Arial"/>
        <family val="0"/>
        <charset val="1"/>
      </rPr>
      <t xml:space="preserve">Zumbi</t>
    </r>
    <r>
      <rPr>
        <sz val="10"/>
        <rFont val="WenQuanYi Zen Hei"/>
        <family val="2"/>
      </rPr>
      <t xml:space="preserve">와 </t>
    </r>
    <r>
      <rPr>
        <sz val="10"/>
        <rFont val="Arial"/>
        <family val="0"/>
        <charset val="1"/>
      </rPr>
      <t xml:space="preserve">Freire</t>
    </r>
    <r>
      <rPr>
        <sz val="10"/>
        <rFont val="WenQuanYi Zen Hei"/>
        <family val="2"/>
      </rPr>
      <t xml:space="preserve">와 빈 의자</t>
    </r>
    <r>
      <rPr>
        <sz val="10"/>
        <rFont val="Arial"/>
        <family val="0"/>
        <charset val="1"/>
      </rPr>
      <t xml:space="preserve">. Freire</t>
    </r>
    <r>
      <rPr>
        <sz val="10"/>
        <rFont val="WenQuanYi Zen Hei"/>
        <family val="2"/>
      </rPr>
      <t xml:space="preserve">가 마지막 카드를 꺼낸다</t>
    </r>
    <r>
      <rPr>
        <sz val="10"/>
        <rFont val="Arial"/>
        <family val="0"/>
        <charset val="1"/>
      </rPr>
      <t xml:space="preserve">.</t>
    </r>
  </si>
  <si>
    <t xml:space="preserve">Zumbi, Freire</t>
  </si>
  <si>
    <t xml:space="preserve">A ficha que faltava</t>
  </si>
  <si>
    <t xml:space="preserve">빠진 카드</t>
  </si>
  <si>
    <t xml:space="preserve">카드 뒷면에 끝내 적지 않던 것. Freire가 처음으로 결론을 직접 말한다.</t>
  </si>
  <si>
    <t xml:space="preserve">Freire, Larissa</t>
  </si>
  <si>
    <t xml:space="preserve">De novo às cinco</t>
  </si>
  <si>
    <t xml:space="preserve">다시 다섯 시</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</si>
  <si>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 장면을 새 인턴이 읽고</t>
    </r>
    <r>
      <rPr>
        <sz val="10"/>
        <rFont val="Arial"/>
        <family val="0"/>
        <charset val="1"/>
      </rPr>
      <t xml:space="preserve">, </t>
    </r>
    <r>
      <rPr>
        <sz val="10"/>
        <rFont val="WenQuanYi Zen Hei"/>
        <family val="2"/>
      </rPr>
      <t xml:space="preserve">낭독 학습자도 다시 읽는다</t>
    </r>
    <r>
      <rPr>
        <sz val="10"/>
        <rFont val="Arial"/>
        <family val="0"/>
        <charset val="1"/>
      </rPr>
      <t xml:space="preserve">. </t>
    </r>
    <r>
      <rPr>
        <sz val="10"/>
        <rFont val="WenQuanYi Zen Hei"/>
        <family val="2"/>
      </rPr>
      <t xml:space="preserve">원형 구조</t>
    </r>
    <r>
      <rPr>
        <sz val="10"/>
        <rFont val="Arial"/>
        <family val="0"/>
        <charset val="1"/>
      </rPr>
      <t xml:space="preserve">.</t>
    </r>
  </si>
  <si>
    <t xml:space="preserve">결말</t>
  </si>
  <si>
    <t xml:space="preserve">Senta aí, que eu trago alguma coisa</t>
  </si>
  <si>
    <t xml:space="preserve">앉아, 뭐 좀 내올게</t>
  </si>
  <si>
    <t xml:space="preserve">최종화. Marta의 시그니처로 끝난다.</t>
  </si>
  <si>
    <r>
      <rPr>
        <sz val="10"/>
        <rFont val="Arial"/>
        <family val="0"/>
        <charset val="1"/>
      </rPr>
      <t xml:space="preserve">Marta, </t>
    </r>
    <r>
      <rPr>
        <sz val="10"/>
        <rFont val="WenQuanYi Zen Hei"/>
        <family val="2"/>
      </rPr>
      <t xml:space="preserve">전원</t>
    </r>
  </si>
  <si>
    <t xml:space="preserve">복선 설치와 회수 (Setup → Payoff)</t>
  </si>
  <si>
    <t xml:space="preserve">설치 부와 회수 부의 간격(부 수)은 수식으로 계산됩니다. 간격이 클수록 오래 기다린 복선이라 낭독 시 기억에 남습니다.</t>
  </si>
  <si>
    <t xml:space="preserve">복선(설치)</t>
  </si>
  <si>
    <t xml:space="preserve">유형</t>
  </si>
  <si>
    <t xml:space="preserve">설치 부</t>
  </si>
  <si>
    <t xml:space="preserve">설치 위치</t>
  </si>
  <si>
    <t xml:space="preserve">회수 부</t>
  </si>
  <si>
    <t xml:space="preserve">간격(부)</t>
  </si>
  <si>
    <t xml:space="preserve">회수 위치와 효과</t>
  </si>
  <si>
    <t xml:space="preserve">관련 인물</t>
  </si>
  <si>
    <r>
      <rPr>
        <sz val="10"/>
        <rFont val="Arial"/>
        <family val="0"/>
        <charset val="1"/>
      </rPr>
      <t xml:space="preserve">Dom Pedro</t>
    </r>
    <r>
      <rPr>
        <sz val="10"/>
        <rFont val="WenQuanYi Zen Hei"/>
        <family val="2"/>
      </rPr>
      <t xml:space="preserve">의 </t>
    </r>
    <r>
      <rPr>
        <sz val="10"/>
        <rFont val="Arial"/>
        <family val="0"/>
        <charset val="1"/>
      </rPr>
      <t xml:space="preserve">«Este será o meu último inverno» </t>
    </r>
    <r>
      <rPr>
        <sz val="10"/>
        <rFont val="WenQuanYi Zen Hei"/>
        <family val="2"/>
      </rPr>
      <t xml:space="preserve">반복</t>
    </r>
  </si>
  <si>
    <t xml:space="preserve">대사</t>
  </si>
  <si>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</si>
  <si>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 — 양치기 소년 개그가 진짜 죽음이 되는 낙차</t>
    </r>
  </si>
  <si>
    <r>
      <rPr>
        <sz val="10"/>
        <rFont val="Arial"/>
        <family val="0"/>
        <charset val="1"/>
      </rPr>
      <t xml:space="preserve">Dom Pedro</t>
    </r>
    <r>
      <rPr>
        <sz val="10"/>
        <rFont val="WenQuanYi Zen Hei"/>
        <family val="2"/>
      </rPr>
      <t xml:space="preserve">가 </t>
    </r>
    <r>
      <rPr>
        <sz val="10"/>
        <rFont val="Arial"/>
        <family val="0"/>
        <charset val="1"/>
      </rPr>
      <t xml:space="preserve">Larissa</t>
    </r>
    <r>
      <rPr>
        <sz val="10"/>
        <rFont val="WenQuanYi Zen Hei"/>
        <family val="2"/>
      </rPr>
      <t xml:space="preserve">에게 우산</t>
    </r>
    <r>
      <rPr>
        <sz val="10"/>
        <rFont val="Arial"/>
        <family val="0"/>
        <charset val="1"/>
      </rPr>
      <t xml:space="preserve">(garoa</t>
    </r>
    <r>
      <rPr>
        <sz val="10"/>
        <rFont val="WenQuanYi Zen Hei"/>
        <family val="2"/>
      </rPr>
      <t xml:space="preserve">용</t>
    </r>
    <r>
      <rPr>
        <sz val="10"/>
        <rFont val="Arial"/>
        <family val="0"/>
        <charset val="1"/>
      </rPr>
      <t xml:space="preserve">)</t>
    </r>
    <r>
      <rPr>
        <sz val="10"/>
        <rFont val="WenQuanYi Zen Hei"/>
        <family val="2"/>
      </rPr>
      <t xml:space="preserve">을 물려준다고 말한다</t>
    </r>
  </si>
  <si>
    <t xml:space="preserve">소품</t>
  </si>
  <si>
    <r>
      <rPr>
        <sz val="10"/>
        <rFont val="Arial"/>
        <family val="0"/>
        <charset val="1"/>
      </rPr>
      <t xml:space="preserve">13</t>
    </r>
    <r>
      <rPr>
        <sz val="10"/>
        <rFont val="WenQuanYi Zen Hei"/>
        <family val="2"/>
      </rPr>
      <t xml:space="preserve">부 </t>
    </r>
    <r>
      <rPr>
        <sz val="10"/>
        <rFont val="Arial"/>
        <family val="0"/>
        <charset val="1"/>
      </rPr>
      <t xml:space="preserve">2</t>
    </r>
    <r>
      <rPr>
        <sz val="10"/>
        <rFont val="WenQuanYi Zen Hei"/>
        <family val="2"/>
      </rPr>
      <t xml:space="preserve">화 — 유언장에서 우산이 진짜 유산으로 돌아옴</t>
    </r>
  </si>
  <si>
    <t xml:space="preserve">Dom Pedro, Larissa</t>
  </si>
  <si>
    <r>
      <rPr>
        <sz val="10"/>
        <rFont val="Arial"/>
        <family val="0"/>
        <charset val="1"/>
      </rPr>
      <t xml:space="preserve">Dom Pedro</t>
    </r>
    <r>
      <rPr>
        <sz val="10"/>
        <rFont val="WenQuanYi Zen Hei"/>
        <family val="2"/>
      </rPr>
      <t xml:space="preserve">의 부은 발목</t>
    </r>
    <r>
      <rPr>
        <sz val="10"/>
        <rFont val="Arial"/>
        <family val="0"/>
        <charset val="1"/>
      </rPr>
      <t xml:space="preserve">·</t>
    </r>
    <r>
      <rPr>
        <sz val="10"/>
        <rFont val="WenQuanYi Zen Hei"/>
        <family val="2"/>
      </rPr>
      <t xml:space="preserve">숨참</t>
    </r>
  </si>
  <si>
    <t xml:space="preserve">설정</t>
  </si>
  <si>
    <r>
      <rPr>
        <sz val="10"/>
        <rFont val="Arial"/>
        <family val="0"/>
        <charset val="1"/>
      </rPr>
      <t xml:space="preserve">3</t>
    </r>
    <r>
      <rPr>
        <sz val="10"/>
        <rFont val="WenQuanYi Zen Hei"/>
        <family val="2"/>
      </rPr>
      <t xml:space="preserve">부 </t>
    </r>
    <r>
      <rPr>
        <sz val="10"/>
        <rFont val="Arial"/>
        <family val="0"/>
        <charset val="1"/>
      </rPr>
      <t xml:space="preserve">1·5</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</si>
  <si>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6·11~12</t>
    </r>
    <r>
      <rPr>
        <sz val="10"/>
        <rFont val="WenQuanYi Zen Hei"/>
        <family val="2"/>
      </rPr>
      <t xml:space="preserve">화 — </t>
    </r>
    <r>
      <rPr>
        <sz val="10"/>
        <rFont val="Arial"/>
        <family val="0"/>
        <charset val="1"/>
      </rPr>
      <t xml:space="preserve">Camila</t>
    </r>
    <r>
      <rPr>
        <sz val="10"/>
        <rFont val="WenQuanYi Zen Hei"/>
        <family val="2"/>
      </rPr>
      <t xml:space="preserve">가 진단을 알고도 침묵한 이유가 드러남</t>
    </r>
  </si>
  <si>
    <t xml:space="preserve">Camila, Dom Pedro</t>
  </si>
  <si>
    <r>
      <rPr>
        <sz val="10"/>
        <rFont val="Arial"/>
        <family val="0"/>
        <charset val="1"/>
      </rPr>
      <t xml:space="preserve">Dom Pedro</t>
    </r>
    <r>
      <rPr>
        <sz val="10"/>
        <rFont val="WenQuanYi Zen Hei"/>
        <family val="2"/>
      </rPr>
      <t xml:space="preserve">의 최고 칭찬 </t>
    </r>
    <r>
      <rPr>
        <sz val="10"/>
        <rFont val="Arial"/>
        <family val="0"/>
        <charset val="1"/>
      </rPr>
      <t xml:space="preserve">«Não é ruim.»</t>
    </r>
  </si>
  <si>
    <r>
      <rPr>
        <sz val="10"/>
        <rFont val="Arial"/>
        <family val="0"/>
        <charset val="1"/>
      </rPr>
      <t xml:space="preserve">1</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(Machado</t>
    </r>
    <r>
      <rPr>
        <sz val="10"/>
        <rFont val="WenQuanYi Zen Hei"/>
        <family val="2"/>
      </rPr>
      <t xml:space="preserve">에게 </t>
    </r>
    <r>
      <rPr>
        <sz val="10"/>
        <rFont val="Arial"/>
        <family val="0"/>
        <charset val="1"/>
      </rPr>
      <t xml:space="preserve">1</t>
    </r>
    <r>
      <rPr>
        <sz val="10"/>
        <rFont val="WenQuanYi Zen Hei"/>
        <family val="2"/>
      </rPr>
      <t xml:space="preserve">회</t>
    </r>
    <r>
      <rPr>
        <sz val="10"/>
        <rFont val="Arial"/>
        <family val="0"/>
        <charset val="1"/>
      </rPr>
      <t xml:space="preserve">)</t>
    </r>
  </si>
  <si>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 — </t>
    </r>
    <r>
      <rPr>
        <sz val="10"/>
        <rFont val="Arial"/>
        <family val="0"/>
        <charset val="1"/>
      </rPr>
      <t xml:space="preserve">Larissa</t>
    </r>
    <r>
      <rPr>
        <sz val="10"/>
        <rFont val="WenQuanYi Zen Hei"/>
        <family val="2"/>
      </rPr>
      <t xml:space="preserve">에게 처음이자 마지막 칭찬</t>
    </r>
    <r>
      <rPr>
        <sz val="10"/>
        <rFont val="Arial"/>
        <family val="0"/>
        <charset val="1"/>
      </rPr>
      <t xml:space="preserve">, </t>
    </r>
    <r>
      <rPr>
        <sz val="10"/>
        <rFont val="WenQuanYi Zen Hei"/>
        <family val="2"/>
      </rPr>
      <t xml:space="preserve">브뤼셀 승리 직후라 더 무겁다</t>
    </r>
  </si>
  <si>
    <r>
      <rPr>
        <sz val="10"/>
        <rFont val="Arial"/>
        <family val="0"/>
        <charset val="1"/>
      </rPr>
      <t xml:space="preserve">Larissa</t>
    </r>
    <r>
      <rPr>
        <sz val="10"/>
        <rFont val="WenQuanYi Zen Hei"/>
        <family val="2"/>
      </rPr>
      <t xml:space="preserve">의 </t>
    </r>
    <r>
      <rPr>
        <sz val="10"/>
        <rFont val="Arial"/>
        <family val="0"/>
        <charset val="1"/>
      </rPr>
      <t xml:space="preserve">1</t>
    </r>
    <r>
      <rPr>
        <sz val="10"/>
        <rFont val="WenQuanYi Zen Hei"/>
        <family val="2"/>
      </rPr>
      <t xml:space="preserve">차 폭발</t>
    </r>
  </si>
  <si>
    <t xml:space="preserve">사건</t>
  </si>
  <si>
    <r>
      <rPr>
        <sz val="10"/>
        <rFont val="Arial"/>
        <family val="0"/>
        <charset val="1"/>
      </rPr>
      <t xml:space="preserve">1</t>
    </r>
    <r>
      <rPr>
        <sz val="10"/>
        <rFont val="WenQuanYi Zen Hei"/>
        <family val="2"/>
      </rPr>
      <t xml:space="preserve">부 </t>
    </r>
    <r>
      <rPr>
        <sz val="10"/>
        <rFont val="Arial"/>
        <family val="0"/>
        <charset val="1"/>
      </rPr>
      <t xml:space="preserve">6</t>
    </r>
    <r>
      <rPr>
        <sz val="10"/>
        <rFont val="WenQuanYi Zen Hei"/>
        <family val="2"/>
      </rPr>
      <t xml:space="preserve">화</t>
    </r>
  </si>
  <si>
    <r>
      <rPr>
        <sz val="10"/>
        <rFont val="Arial"/>
        <family val="0"/>
        <charset val="1"/>
      </rPr>
      <t xml:space="preserve">9</t>
    </r>
    <r>
      <rPr>
        <sz val="10"/>
        <rFont val="WenQuanYi Zen Hei"/>
        <family val="2"/>
      </rPr>
      <t xml:space="preserve">부 </t>
    </r>
    <r>
      <rPr>
        <sz val="10"/>
        <rFont val="Arial"/>
        <family val="0"/>
        <charset val="1"/>
      </rPr>
      <t xml:space="preserve">6</t>
    </r>
    <r>
      <rPr>
        <sz val="10"/>
        <rFont val="WenQuanYi Zen Hei"/>
        <family val="2"/>
      </rPr>
      <t xml:space="preserve">화 — 몰라서 화내던 </t>
    </r>
    <r>
      <rPr>
        <sz val="10"/>
        <rFont val="Arial"/>
        <family val="0"/>
        <charset val="1"/>
      </rPr>
      <t xml:space="preserve">Larissa → </t>
    </r>
    <r>
      <rPr>
        <sz val="10"/>
        <rFont val="WenQuanYi Zen Hei"/>
        <family val="2"/>
      </rPr>
      <t xml:space="preserve">알아서 화내는 </t>
    </r>
    <r>
      <rPr>
        <sz val="10"/>
        <rFont val="Arial"/>
        <family val="0"/>
        <charset val="1"/>
      </rPr>
      <t xml:space="preserve">Larissa</t>
    </r>
  </si>
  <si>
    <r>
      <rPr>
        <sz val="10"/>
        <rFont val="Arial"/>
        <family val="0"/>
        <charset val="1"/>
      </rPr>
      <t xml:space="preserve">Larissa</t>
    </r>
    <r>
      <rPr>
        <sz val="10"/>
        <rFont val="WenQuanYi Zen Hei"/>
        <family val="2"/>
      </rPr>
      <t xml:space="preserve">의 </t>
    </r>
    <r>
      <rPr>
        <sz val="10"/>
        <rFont val="Arial"/>
        <family val="0"/>
        <charset val="1"/>
      </rPr>
      <t xml:space="preserve">'o senhor' (Dom Pedro</t>
    </r>
    <r>
      <rPr>
        <sz val="10"/>
        <rFont val="WenQuanYi Zen Hei"/>
        <family val="2"/>
      </rPr>
      <t xml:space="preserve">에게</t>
    </r>
    <r>
      <rPr>
        <sz val="10"/>
        <rFont val="Arial"/>
        <family val="0"/>
        <charset val="1"/>
      </rPr>
      <t xml:space="preserve">)</t>
    </r>
  </si>
  <si>
    <t xml:space="preserve">호칭</t>
  </si>
  <si>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 — 조사에서 처음 </t>
    </r>
    <r>
      <rPr>
        <sz val="10"/>
        <rFont val="Arial"/>
        <family val="0"/>
        <charset val="1"/>
      </rPr>
      <t xml:space="preserve">'você' — </t>
    </r>
    <r>
      <rPr>
        <sz val="10"/>
        <rFont val="WenQuanYi Zen Hei"/>
        <family val="2"/>
      </rPr>
      <t xml:space="preserve">호칭 전환이 곧 애도</t>
    </r>
  </si>
  <si>
    <t xml:space="preserve">Larissa, Dom Pedro</t>
  </si>
  <si>
    <r>
      <rPr>
        <sz val="10"/>
        <rFont val="Arial"/>
        <family val="0"/>
        <charset val="1"/>
      </rPr>
      <t xml:space="preserve">Freire</t>
    </r>
    <r>
      <rPr>
        <sz val="10"/>
        <rFont val="WenQuanYi Zen Hei"/>
        <family val="2"/>
      </rPr>
      <t xml:space="preserve">의 카드 </t>
    </r>
    <r>
      <rPr>
        <sz val="10"/>
        <rFont val="Arial"/>
        <family val="0"/>
        <charset val="1"/>
      </rPr>
      <t xml:space="preserve">#1</t>
    </r>
    <r>
      <rPr>
        <sz val="10"/>
        <rFont val="WenQuanYi Zen Hei"/>
        <family val="2"/>
      </rPr>
      <t xml:space="preserve">과 </t>
    </r>
    <r>
      <rPr>
        <sz val="10"/>
        <rFont val="Arial"/>
        <family val="0"/>
        <charset val="1"/>
      </rPr>
      <t xml:space="preserve">«Procure você.»</t>
    </r>
  </si>
  <si>
    <r>
      <rPr>
        <sz val="10"/>
        <rFont val="Arial"/>
        <family val="0"/>
        <charset val="1"/>
      </rPr>
      <t xml:space="preserve">1</t>
    </r>
    <r>
      <rPr>
        <sz val="10"/>
        <rFont val="WenQuanYi Zen Hei"/>
        <family val="2"/>
      </rPr>
      <t xml:space="preserve">부 </t>
    </r>
    <r>
      <rPr>
        <sz val="10"/>
        <rFont val="Arial"/>
        <family val="0"/>
        <charset val="1"/>
      </rPr>
      <t xml:space="preserve">2</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</si>
  <si>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10</t>
    </r>
    <r>
      <rPr>
        <sz val="10"/>
        <rFont val="WenQuanYi Zen Hei"/>
        <family val="2"/>
      </rPr>
      <t xml:space="preserve">화 — 끝까지 결론을 말하지 않던 그가 처음 답을 말함</t>
    </r>
  </si>
  <si>
    <r>
      <rPr>
        <sz val="10"/>
        <rFont val="Arial"/>
        <family val="0"/>
        <charset val="1"/>
      </rPr>
      <t xml:space="preserve">Rafael</t>
    </r>
    <r>
      <rPr>
        <sz val="10"/>
        <rFont val="WenQuanYi Zen Hei"/>
        <family val="2"/>
      </rPr>
      <t xml:space="preserve">의 조항 </t>
    </r>
    <r>
      <rPr>
        <sz val="10"/>
        <rFont val="Arial"/>
        <family val="0"/>
        <charset val="1"/>
      </rPr>
      <t xml:space="preserve">«retomada para obras»</t>
    </r>
  </si>
  <si>
    <r>
      <rPr>
        <sz val="10"/>
        <rFont val="Arial"/>
        <family val="0"/>
        <charset val="1"/>
      </rPr>
      <t xml:space="preserve">2</t>
    </r>
    <r>
      <rPr>
        <sz val="10"/>
        <rFont val="WenQuanYi Zen Hei"/>
        <family val="2"/>
      </rPr>
      <t xml:space="preserve">부 </t>
    </r>
    <r>
      <rPr>
        <sz val="10"/>
        <rFont val="Arial"/>
        <family val="0"/>
        <charset val="1"/>
      </rPr>
      <t xml:space="preserve">6</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</si>
  <si>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3</t>
    </r>
    <r>
      <rPr>
        <sz val="10"/>
        <rFont val="WenQuanYi Zen Hei"/>
        <family val="2"/>
      </rPr>
      <t xml:space="preserve">화 — 자기가 만든 조항을 국정에서 폐지</t>
    </r>
  </si>
  <si>
    <r>
      <rPr>
        <sz val="10"/>
        <rFont val="Arial"/>
        <family val="0"/>
        <charset val="1"/>
      </rPr>
      <t xml:space="preserve">Bruno</t>
    </r>
    <r>
      <rPr>
        <sz val="10"/>
        <rFont val="WenQuanYi Zen Hei"/>
        <family val="2"/>
      </rPr>
      <t xml:space="preserve">의 </t>
    </r>
    <r>
      <rPr>
        <sz val="10"/>
        <rFont val="Arial"/>
        <family val="0"/>
        <charset val="1"/>
      </rPr>
      <t xml:space="preserve">«Isso não fecha»</t>
    </r>
  </si>
  <si>
    <r>
      <rPr>
        <sz val="10"/>
        <rFont val="Arial"/>
        <family val="0"/>
        <charset val="1"/>
      </rPr>
      <t xml:space="preserve">2</t>
    </r>
    <r>
      <rPr>
        <sz val="10"/>
        <rFont val="WenQuanYi Zen Hei"/>
        <family val="2"/>
      </rPr>
      <t xml:space="preserve">부 </t>
    </r>
    <r>
      <rPr>
        <sz val="10"/>
        <rFont val="Arial"/>
        <family val="0"/>
        <charset val="1"/>
      </rPr>
      <t xml:space="preserve">4</t>
    </r>
    <r>
      <rPr>
        <sz val="10"/>
        <rFont val="WenQuanYi Zen Hei"/>
        <family val="2"/>
      </rPr>
      <t xml:space="preserve">화</t>
    </r>
  </si>
  <si>
    <r>
      <rPr>
        <sz val="10"/>
        <rFont val="Arial"/>
        <family val="0"/>
        <charset val="1"/>
      </rPr>
      <t xml:space="preserve">4</t>
    </r>
    <r>
      <rPr>
        <sz val="10"/>
        <rFont val="WenQuanYi Zen Hei"/>
        <family val="2"/>
      </rPr>
      <t xml:space="preserve">부 </t>
    </r>
    <r>
      <rPr>
        <sz val="10"/>
        <rFont val="Arial"/>
        <family val="0"/>
        <charset val="1"/>
      </rPr>
      <t xml:space="preserve">4</t>
    </r>
    <r>
      <rPr>
        <sz val="10"/>
        <rFont val="WenQuanYi Zen Hei"/>
        <family val="2"/>
      </rPr>
      <t xml:space="preserve">화 — 감사인의 눈이 처음 이상을 발견한 순간의 원점</t>
    </r>
  </si>
  <si>
    <r>
      <rPr>
        <sz val="10"/>
        <rFont val="Arial"/>
        <family val="0"/>
        <charset val="1"/>
      </rPr>
      <t xml:space="preserve">Bruno</t>
    </r>
    <r>
      <rPr>
        <sz val="10"/>
        <rFont val="WenQuanYi Zen Hei"/>
        <family val="2"/>
      </rPr>
      <t xml:space="preserve">의 복사본 </t>
    </r>
    <r>
      <rPr>
        <sz val="10"/>
        <rFont val="Arial"/>
        <family val="0"/>
        <charset val="1"/>
      </rPr>
      <t xml:space="preserve">USB</t>
    </r>
  </si>
  <si>
    <r>
      <rPr>
        <sz val="10"/>
        <rFont val="Arial"/>
        <family val="0"/>
        <charset val="1"/>
      </rPr>
      <t xml:space="preserve">4</t>
    </r>
    <r>
      <rPr>
        <sz val="10"/>
        <rFont val="WenQuanYi Zen Hei"/>
        <family val="2"/>
      </rPr>
      <t xml:space="preserve">부 </t>
    </r>
    <r>
      <rPr>
        <sz val="10"/>
        <rFont val="Arial"/>
        <family val="0"/>
        <charset val="1"/>
      </rPr>
      <t xml:space="preserve">10</t>
    </r>
    <r>
      <rPr>
        <sz val="10"/>
        <rFont val="WenQuanYi Zen Hei"/>
        <family val="2"/>
      </rPr>
      <t xml:space="preserve">화</t>
    </r>
  </si>
  <si>
    <r>
      <rPr>
        <sz val="10"/>
        <rFont val="Arial"/>
        <family val="0"/>
        <charset val="1"/>
      </rPr>
      <t xml:space="preserve">7</t>
    </r>
    <r>
      <rPr>
        <sz val="10"/>
        <rFont val="WenQuanYi Zen Hei"/>
        <family val="2"/>
      </rPr>
      <t xml:space="preserve">부 </t>
    </r>
    <r>
      <rPr>
        <sz val="10"/>
        <rFont val="Arial"/>
        <family val="0"/>
        <charset val="1"/>
      </rPr>
      <t xml:space="preserve">5~6</t>
    </r>
    <r>
      <rPr>
        <sz val="10"/>
        <rFont val="WenQuanYi Zen Hei"/>
        <family val="2"/>
      </rPr>
      <t xml:space="preserve">화 — 서명의 죄가 고소의 증거로 바뀜</t>
    </r>
  </si>
  <si>
    <t xml:space="preserve">Bruno, Rafael</t>
  </si>
  <si>
    <r>
      <rPr>
        <sz val="10"/>
        <rFont val="Arial"/>
        <family val="0"/>
        <charset val="1"/>
      </rPr>
      <t xml:space="preserve">Bruno</t>
    </r>
    <r>
      <rPr>
        <sz val="10"/>
        <rFont val="WenQuanYi Zen Hei"/>
        <family val="2"/>
      </rPr>
      <t xml:space="preserve">의 </t>
    </r>
    <r>
      <rPr>
        <sz val="10"/>
        <rFont val="Arial"/>
        <family val="0"/>
        <charset val="1"/>
      </rPr>
      <t xml:space="preserve">«</t>
    </r>
    <r>
      <rPr>
        <sz val="10"/>
        <rFont val="WenQuanYi Zen Hei"/>
        <family val="2"/>
      </rPr>
      <t xml:space="preserve">다시는 서명하지 않는다</t>
    </r>
    <r>
      <rPr>
        <sz val="10"/>
        <rFont val="Arial"/>
        <family val="0"/>
        <charset val="1"/>
      </rPr>
      <t xml:space="preserve">»</t>
    </r>
  </si>
  <si>
    <r>
      <rPr>
        <sz val="10"/>
        <rFont val="Arial"/>
        <family val="0"/>
        <charset val="1"/>
      </rPr>
      <t xml:space="preserve">4</t>
    </r>
    <r>
      <rPr>
        <sz val="10"/>
        <rFont val="WenQuanYi Zen Hei"/>
        <family val="2"/>
      </rPr>
      <t xml:space="preserve">부 </t>
    </r>
    <r>
      <rPr>
        <sz val="10"/>
        <rFont val="Arial"/>
        <family val="0"/>
        <charset val="1"/>
      </rPr>
      <t xml:space="preserve">11</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</si>
  <si>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3</t>
    </r>
    <r>
      <rPr>
        <sz val="10"/>
        <rFont val="WenQuanYi Zen Hei"/>
        <family val="2"/>
      </rPr>
      <t xml:space="preserve">화 — </t>
    </r>
    <r>
      <rPr>
        <sz val="10"/>
        <rFont val="Arial"/>
        <family val="0"/>
        <charset val="1"/>
      </rPr>
      <t xml:space="preserve">«Eu só assino o que verifiquei» — </t>
    </r>
    <r>
      <rPr>
        <sz val="10"/>
        <rFont val="WenQuanYi Zen Hei"/>
        <family val="2"/>
      </rPr>
      <t xml:space="preserve">브뤼셀 </t>
    </r>
    <r>
      <rPr>
        <sz val="10"/>
        <rFont val="Arial"/>
        <family val="0"/>
        <charset val="1"/>
      </rPr>
      <t xml:space="preserve">2</t>
    </r>
    <r>
      <rPr>
        <sz val="10"/>
        <rFont val="WenQuanYi Zen Hei"/>
        <family val="2"/>
      </rPr>
      <t xml:space="preserve">차 협상에서 숫자 서명의 회수</t>
    </r>
  </si>
  <si>
    <r>
      <rPr>
        <sz val="10"/>
        <rFont val="Arial"/>
        <family val="0"/>
        <charset val="1"/>
      </rPr>
      <t xml:space="preserve">Juliana</t>
    </r>
    <r>
      <rPr>
        <sz val="10"/>
        <rFont val="WenQuanYi Zen Hei"/>
        <family val="2"/>
      </rPr>
      <t xml:space="preserve">의 </t>
    </r>
    <r>
      <rPr>
        <sz val="10"/>
        <rFont val="Arial"/>
        <family val="0"/>
        <charset val="1"/>
      </rPr>
      <t xml:space="preserve">C47 </t>
    </r>
    <r>
      <rPr>
        <sz val="10"/>
        <rFont val="WenQuanYi Zen Hei"/>
        <family val="2"/>
      </rPr>
      <t xml:space="preserve">셀</t>
    </r>
  </si>
  <si>
    <r>
      <rPr>
        <sz val="10"/>
        <rFont val="Arial"/>
        <family val="0"/>
        <charset val="1"/>
      </rPr>
      <t xml:space="preserve">5</t>
    </r>
    <r>
      <rPr>
        <sz val="10"/>
        <rFont val="WenQuanYi Zen Hei"/>
        <family val="2"/>
      </rPr>
      <t xml:space="preserve">부 </t>
    </r>
    <r>
      <rPr>
        <sz val="10"/>
        <rFont val="Arial"/>
        <family val="0"/>
        <charset val="1"/>
      </rPr>
      <t xml:space="preserve">6</t>
    </r>
    <r>
      <rPr>
        <sz val="10"/>
        <rFont val="WenQuanYi Zen Hei"/>
        <family val="2"/>
      </rPr>
      <t xml:space="preserve">화</t>
    </r>
  </si>
  <si>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화 — 사람을 지우던 셀이 해고 없는 통합 모델로</t>
    </r>
  </si>
  <si>
    <r>
      <rPr>
        <sz val="10"/>
        <rFont val="Arial"/>
        <family val="0"/>
        <charset val="1"/>
      </rPr>
      <t xml:space="preserve">Juliana</t>
    </r>
    <r>
      <rPr>
        <sz val="10"/>
        <rFont val="WenQuanYi Zen Hei"/>
        <family val="2"/>
      </rPr>
      <t xml:space="preserve">의 </t>
    </r>
    <r>
      <rPr>
        <sz val="10"/>
        <rFont val="Arial"/>
        <family val="0"/>
        <charset val="1"/>
      </rPr>
      <t xml:space="preserve">«Vamos colocar isso numa matriz»</t>
    </r>
  </si>
  <si>
    <r>
      <rPr>
        <sz val="10"/>
        <rFont val="Arial"/>
        <family val="0"/>
        <charset val="1"/>
      </rPr>
      <t xml:space="preserve">13</t>
    </r>
    <r>
      <rPr>
        <sz val="10"/>
        <rFont val="WenQuanYi Zen Hei"/>
        <family val="2"/>
      </rPr>
      <t xml:space="preserve">부 </t>
    </r>
    <r>
      <rPr>
        <sz val="10"/>
        <rFont val="Arial"/>
        <family val="0"/>
        <charset val="1"/>
      </rPr>
      <t xml:space="preserve">6</t>
    </r>
    <r>
      <rPr>
        <sz val="10"/>
        <rFont val="WenQuanYi Zen Hei"/>
        <family val="2"/>
      </rPr>
      <t xml:space="preserve">화 — </t>
    </r>
    <r>
      <rPr>
        <sz val="10"/>
        <rFont val="Arial"/>
        <family val="0"/>
        <charset val="1"/>
      </rPr>
      <t xml:space="preserve">«Beleza, sem slide» — </t>
    </r>
    <r>
      <rPr>
        <sz val="10"/>
        <rFont val="WenQuanYi Zen Hei"/>
        <family val="2"/>
      </rPr>
      <t xml:space="preserve">쉬운 말로의 변화</t>
    </r>
  </si>
  <si>
    <r>
      <rPr>
        <sz val="10"/>
        <rFont val="Arial"/>
        <family val="0"/>
        <charset val="1"/>
      </rPr>
      <t xml:space="preserve">Camila</t>
    </r>
    <r>
      <rPr>
        <sz val="10"/>
        <rFont val="WenQuanYi Zen Hei"/>
        <family val="2"/>
      </rPr>
      <t xml:space="preserve">의 이름 명단</t>
    </r>
  </si>
  <si>
    <r>
      <rPr>
        <sz val="10"/>
        <rFont val="Arial"/>
        <family val="0"/>
        <charset val="1"/>
      </rPr>
      <t xml:space="preserve">3</t>
    </r>
    <r>
      <rPr>
        <sz val="10"/>
        <rFont val="WenQuanYi Zen Hei"/>
        <family val="2"/>
      </rPr>
      <t xml:space="preserve">부 </t>
    </r>
    <r>
      <rPr>
        <sz val="10"/>
        <rFont val="Arial"/>
        <family val="0"/>
        <charset val="1"/>
      </rPr>
      <t xml:space="preserve">5</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</si>
  <si>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7</t>
    </r>
    <r>
      <rPr>
        <sz val="10"/>
        <rFont val="WenQuanYi Zen Hei"/>
        <family val="2"/>
      </rPr>
      <t xml:space="preserve">화 — 수첩의 이름들이 임기 보고서의 사람 이야기가 됨</t>
    </r>
  </si>
  <si>
    <r>
      <rPr>
        <sz val="10"/>
        <rFont val="Arial"/>
        <family val="0"/>
        <charset val="1"/>
      </rPr>
      <t xml:space="preserve">Edson–Juliana </t>
    </r>
    <r>
      <rPr>
        <sz val="10"/>
        <rFont val="WenQuanYi Zen Hei"/>
        <family val="2"/>
      </rPr>
      <t xml:space="preserve">갈등</t>
    </r>
  </si>
  <si>
    <t xml:space="preserve">관계</t>
  </si>
  <si>
    <r>
      <rPr>
        <sz val="10"/>
        <rFont val="Arial"/>
        <family val="0"/>
        <charset val="1"/>
      </rPr>
      <t xml:space="preserve">5</t>
    </r>
    <r>
      <rPr>
        <sz val="10"/>
        <rFont val="WenQuanYi Zen Hei"/>
        <family val="2"/>
      </rPr>
      <t xml:space="preserve">부 </t>
    </r>
    <r>
      <rPr>
        <sz val="10"/>
        <rFont val="Arial"/>
        <family val="0"/>
        <charset val="1"/>
      </rPr>
      <t xml:space="preserve">7·10</t>
    </r>
    <r>
      <rPr>
        <sz val="10"/>
        <rFont val="WenQuanYi Zen Hei"/>
        <family val="2"/>
      </rPr>
      <t xml:space="preserve">화</t>
    </r>
  </si>
  <si>
    <r>
      <rPr>
        <sz val="10"/>
        <rFont val="Arial"/>
        <family val="0"/>
        <charset val="1"/>
      </rPr>
      <t xml:space="preserve">10</t>
    </r>
    <r>
      <rPr>
        <sz val="10"/>
        <rFont val="WenQuanYi Zen Hei"/>
        <family val="2"/>
      </rPr>
      <t xml:space="preserve">부 </t>
    </r>
    <r>
      <rPr>
        <sz val="10"/>
        <rFont val="Arial"/>
        <family val="0"/>
        <charset val="1"/>
      </rPr>
      <t xml:space="preserve">8</t>
    </r>
    <r>
      <rPr>
        <sz val="10"/>
        <rFont val="WenQuanYi Zen Hei"/>
        <family val="2"/>
      </rPr>
      <t xml:space="preserve">화 — 해고한 쪽과 해고당한 쪽의 화해</t>
    </r>
  </si>
  <si>
    <t xml:space="preserve">Edson, Juliana</t>
  </si>
  <si>
    <r>
      <rPr>
        <sz val="10"/>
        <rFont val="Arial"/>
        <family val="0"/>
        <charset val="1"/>
      </rPr>
      <t xml:space="preserve">Sérgio</t>
    </r>
    <r>
      <rPr>
        <sz val="10"/>
        <rFont val="WenQuanYi Zen Hei"/>
        <family val="2"/>
      </rPr>
      <t xml:space="preserve">의 첫 등장</t>
    </r>
    <r>
      <rPr>
        <sz val="10"/>
        <rFont val="Arial"/>
        <family val="0"/>
        <charset val="1"/>
      </rPr>
      <t xml:space="preserve">(</t>
    </r>
    <r>
      <rPr>
        <sz val="10"/>
        <rFont val="WenQuanYi Zen Hei"/>
        <family val="2"/>
      </rPr>
      <t xml:space="preserve">의뢰인</t>
    </r>
    <r>
      <rPr>
        <sz val="10"/>
        <rFont val="Arial"/>
        <family val="0"/>
        <charset val="1"/>
      </rPr>
      <t xml:space="preserve">)</t>
    </r>
  </si>
  <si>
    <r>
      <rPr>
        <sz val="10"/>
        <rFont val="Arial"/>
        <family val="0"/>
        <charset val="1"/>
      </rPr>
      <t xml:space="preserve">1</t>
    </r>
    <r>
      <rPr>
        <sz val="10"/>
        <rFont val="WenQuanYi Zen Hei"/>
        <family val="2"/>
      </rPr>
      <t xml:space="preserve">부 </t>
    </r>
    <r>
      <rPr>
        <sz val="10"/>
        <rFont val="Arial"/>
        <family val="0"/>
        <charset val="1"/>
      </rPr>
      <t xml:space="preserve">9</t>
    </r>
    <r>
      <rPr>
        <sz val="10"/>
        <rFont val="WenQuanYi Zen Hei"/>
        <family val="2"/>
      </rPr>
      <t xml:space="preserve">화</t>
    </r>
  </si>
  <si>
    <r>
      <rPr>
        <sz val="10"/>
        <rFont val="Arial"/>
        <family val="0"/>
        <charset val="1"/>
      </rPr>
      <t xml:space="preserve">9</t>
    </r>
    <r>
      <rPr>
        <sz val="10"/>
        <rFont val="WenQuanYi Zen Hei"/>
        <family val="2"/>
      </rPr>
      <t xml:space="preserve">부 </t>
    </r>
    <r>
      <rPr>
        <sz val="10"/>
        <rFont val="Arial"/>
        <family val="0"/>
        <charset val="1"/>
      </rPr>
      <t xml:space="preserve">8</t>
    </r>
    <r>
      <rPr>
        <sz val="10"/>
        <rFont val="WenQuanYi Zen Hei"/>
        <family val="2"/>
      </rPr>
      <t xml:space="preserve">화 — 내부고발자가 시 계약 스캔들의 열쇠가 됨</t>
    </r>
  </si>
  <si>
    <r>
      <rPr>
        <sz val="10"/>
        <rFont val="Arial"/>
        <family val="0"/>
        <charset val="1"/>
      </rPr>
      <t xml:space="preserve">Grupo Meridiano</t>
    </r>
    <r>
      <rPr>
        <sz val="10"/>
        <rFont val="WenQuanYi Zen Hei"/>
        <family val="2"/>
      </rPr>
      <t xml:space="preserve">의 이름</t>
    </r>
  </si>
  <si>
    <r>
      <rPr>
        <sz val="10"/>
        <rFont val="Arial"/>
        <family val="0"/>
        <charset val="1"/>
      </rPr>
      <t xml:space="preserve">2</t>
    </r>
    <r>
      <rPr>
        <sz val="10"/>
        <rFont val="WenQuanYi Zen Hei"/>
        <family val="2"/>
      </rPr>
      <t xml:space="preserve">부 </t>
    </r>
    <r>
      <rPr>
        <sz val="10"/>
        <rFont val="Arial"/>
        <family val="0"/>
        <charset val="1"/>
      </rPr>
      <t xml:space="preserve">3</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</si>
  <si>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9</t>
    </r>
    <r>
      <rPr>
        <sz val="10"/>
        <rFont val="WenQuanYi Zen Hei"/>
        <family val="2"/>
      </rPr>
      <t xml:space="preserve">화 — </t>
    </r>
    <r>
      <rPr>
        <sz val="10"/>
        <rFont val="Arial"/>
        <family val="0"/>
        <charset val="1"/>
      </rPr>
      <t xml:space="preserve">12</t>
    </r>
    <r>
      <rPr>
        <sz val="10"/>
        <rFont val="WenQuanYi Zen Hei"/>
        <family val="2"/>
      </rPr>
      <t xml:space="preserve">개 부를 관통하는 악역이 재판에 이르는 흐름</t>
    </r>
  </si>
  <si>
    <r>
      <rPr>
        <sz val="10"/>
        <rFont val="Arial"/>
        <family val="0"/>
        <charset val="1"/>
      </rPr>
      <t xml:space="preserve">Isabel</t>
    </r>
    <r>
      <rPr>
        <sz val="10"/>
        <rFont val="WenQuanYi Zen Hei"/>
        <family val="2"/>
      </rPr>
      <t xml:space="preserve">의 </t>
    </r>
    <r>
      <rPr>
        <sz val="10"/>
        <rFont val="Arial"/>
        <family val="0"/>
        <charset val="1"/>
      </rPr>
      <t xml:space="preserve">«E como isso faz você se sentir?»</t>
    </r>
  </si>
  <si>
    <r>
      <rPr>
        <sz val="10"/>
        <rFont val="Arial"/>
        <family val="0"/>
        <charset val="1"/>
      </rPr>
      <t xml:space="preserve">1</t>
    </r>
    <r>
      <rPr>
        <sz val="10"/>
        <rFont val="WenQuanYi Zen Hei"/>
        <family val="2"/>
      </rPr>
      <t xml:space="preserve">부 </t>
    </r>
    <r>
      <rPr>
        <sz val="10"/>
        <rFont val="Arial"/>
        <family val="0"/>
        <charset val="1"/>
      </rPr>
      <t xml:space="preserve">7</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</si>
  <si>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1·6</t>
    </r>
    <r>
      <rPr>
        <sz val="10"/>
        <rFont val="WenQuanYi Zen Hei"/>
        <family val="2"/>
      </rPr>
      <t xml:space="preserve">화</t>
    </r>
    <r>
      <rPr>
        <sz val="10"/>
        <rFont val="Arial"/>
        <family val="0"/>
        <charset val="1"/>
      </rPr>
      <t xml:space="preserve">(</t>
    </r>
    <r>
      <rPr>
        <sz val="10"/>
        <rFont val="WenQuanYi Zen Hei"/>
        <family val="2"/>
      </rPr>
      <t xml:space="preserve">애도 상담</t>
    </r>
    <r>
      <rPr>
        <sz val="10"/>
        <rFont val="Arial"/>
        <family val="0"/>
        <charset val="1"/>
      </rPr>
      <t xml:space="preserve">·</t>
    </r>
    <r>
      <rPr>
        <sz val="10"/>
        <rFont val="WenQuanYi Zen Hei"/>
        <family val="2"/>
      </rPr>
      <t xml:space="preserve">청년 정신건강</t>
    </r>
    <r>
      <rPr>
        <sz val="10"/>
        <rFont val="Arial"/>
        <family val="0"/>
        <charset val="1"/>
      </rPr>
      <t xml:space="preserve">) — </t>
    </r>
    <r>
      <rPr>
        <sz val="10"/>
        <rFont val="WenQuanYi Zen Hei"/>
        <family val="2"/>
      </rPr>
      <t xml:space="preserve">다들 질색하던 질문이 처음 진지하게 쓰임</t>
    </r>
  </si>
  <si>
    <r>
      <rPr>
        <sz val="10"/>
        <rFont val="Arial"/>
        <family val="0"/>
        <charset val="1"/>
      </rPr>
      <t xml:space="preserve">Machado</t>
    </r>
    <r>
      <rPr>
        <sz val="10"/>
        <rFont val="WenQuanYi Zen Hei"/>
        <family val="2"/>
      </rPr>
      <t xml:space="preserve">의 서툰 첫 연설</t>
    </r>
  </si>
  <si>
    <r>
      <rPr>
        <sz val="10"/>
        <rFont val="Arial"/>
        <family val="0"/>
        <charset val="1"/>
      </rPr>
      <t xml:space="preserve">6</t>
    </r>
    <r>
      <rPr>
        <sz val="10"/>
        <rFont val="WenQuanYi Zen Hei"/>
        <family val="2"/>
      </rPr>
      <t xml:space="preserve">부 </t>
    </r>
    <r>
      <rPr>
        <sz val="10"/>
        <rFont val="Arial"/>
        <family val="0"/>
        <charset val="1"/>
      </rPr>
      <t xml:space="preserve">9</t>
    </r>
    <r>
      <rPr>
        <sz val="10"/>
        <rFont val="WenQuanYi Zen Hei"/>
        <family val="2"/>
      </rPr>
      <t xml:space="preserve">화</t>
    </r>
  </si>
  <si>
    <r>
      <rPr>
        <sz val="10"/>
        <rFont val="Arial"/>
        <family val="0"/>
        <charset val="1"/>
      </rPr>
      <t xml:space="preserve">10</t>
    </r>
    <r>
      <rPr>
        <sz val="10"/>
        <rFont val="WenQuanYi Zen Hei"/>
        <family val="2"/>
      </rPr>
      <t xml:space="preserve">부 </t>
    </r>
    <r>
      <rPr>
        <sz val="10"/>
        <rFont val="Arial"/>
        <family val="0"/>
        <charset val="1"/>
      </rPr>
      <t xml:space="preserve">12</t>
    </r>
    <r>
      <rPr>
        <sz val="10"/>
        <rFont val="WenQuanYi Zen Hei"/>
        <family val="2"/>
      </rPr>
      <t xml:space="preserve">화 — 취임 연설</t>
    </r>
    <r>
      <rPr>
        <sz val="10"/>
        <rFont val="Arial"/>
        <family val="0"/>
        <charset val="1"/>
      </rPr>
      <t xml:space="preserve">·</t>
    </r>
    <r>
      <rPr>
        <sz val="10"/>
        <rFont val="WenQuanYi Zen Hei"/>
        <family val="2"/>
      </rPr>
      <t xml:space="preserve">유작 메모까지 이어지는 글쟁이의 성장</t>
    </r>
  </si>
  <si>
    <r>
      <rPr>
        <sz val="10"/>
        <rFont val="Arial"/>
        <family val="0"/>
        <charset val="1"/>
      </rPr>
      <t xml:space="preserve">Zumbi</t>
    </r>
    <r>
      <rPr>
        <sz val="10"/>
        <rFont val="WenQuanYi Zen Hei"/>
        <family val="2"/>
      </rPr>
      <t xml:space="preserve">의 </t>
    </r>
    <r>
      <rPr>
        <sz val="10"/>
        <rFont val="Arial"/>
        <family val="0"/>
        <charset val="1"/>
      </rPr>
      <t xml:space="preserve">«Sem novidade no quilombo»</t>
    </r>
  </si>
  <si>
    <r>
      <rPr>
        <sz val="10"/>
        <rFont val="Arial"/>
        <family val="0"/>
        <charset val="1"/>
      </rPr>
      <t xml:space="preserve">1</t>
    </r>
    <r>
      <rPr>
        <sz val="10"/>
        <rFont val="WenQuanYi Zen Hei"/>
        <family val="2"/>
      </rPr>
      <t xml:space="preserve">부 </t>
    </r>
    <r>
      <rPr>
        <sz val="10"/>
        <rFont val="Arial"/>
        <family val="0"/>
        <charset val="1"/>
      </rPr>
      <t xml:space="preserve">4</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</si>
  <si>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 — 대홍수 앞에서 처음으로 </t>
    </r>
    <r>
      <rPr>
        <sz val="10"/>
        <rFont val="Arial"/>
        <family val="0"/>
        <charset val="1"/>
      </rPr>
      <t xml:space="preserve">«Tem novidade.»</t>
    </r>
    <r>
      <rPr>
        <sz val="10"/>
        <rFont val="WenQuanYi Zen Hei"/>
        <family val="2"/>
      </rPr>
      <t xml:space="preserve">라고 보고</t>
    </r>
  </si>
  <si>
    <r>
      <rPr>
        <sz val="10"/>
        <rFont val="Arial"/>
        <family val="0"/>
        <charset val="1"/>
      </rPr>
      <t xml:space="preserve">Marta</t>
    </r>
    <r>
      <rPr>
        <sz val="10"/>
        <rFont val="WenQuanYi Zen Hei"/>
        <family val="2"/>
      </rPr>
      <t xml:space="preserve">의 식탁과 </t>
    </r>
    <r>
      <rPr>
        <sz val="10"/>
        <rFont val="Arial"/>
        <family val="0"/>
        <charset val="1"/>
      </rPr>
      <t xml:space="preserve">«Senta aí, que eu trago alguma coisa.»</t>
    </r>
  </si>
  <si>
    <r>
      <rPr>
        <sz val="10"/>
        <rFont val="Arial"/>
        <family val="0"/>
        <charset val="1"/>
      </rPr>
      <t xml:space="preserve">1</t>
    </r>
    <r>
      <rPr>
        <sz val="10"/>
        <rFont val="WenQuanYi Zen Hei"/>
        <family val="2"/>
      </rPr>
      <t xml:space="preserve">부 </t>
    </r>
    <r>
      <rPr>
        <sz val="10"/>
        <rFont val="Arial"/>
        <family val="0"/>
        <charset val="1"/>
      </rPr>
      <t xml:space="preserve">1·12</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</si>
  <si>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12</t>
    </r>
    <r>
      <rPr>
        <sz val="10"/>
        <rFont val="WenQuanYi Zen Hei"/>
        <family val="2"/>
      </rPr>
      <t xml:space="preserve">화 — 같은 대사로 시작해 같은 대사로 끝나는 원형</t>
    </r>
  </si>
  <si>
    <t xml:space="preserve">«São cinco horas. Começa a reunião…»</t>
  </si>
  <si>
    <r>
      <rPr>
        <sz val="10"/>
        <rFont val="Arial"/>
        <family val="0"/>
        <charset val="1"/>
      </rPr>
      <t xml:space="preserve">6</t>
    </r>
    <r>
      <rPr>
        <sz val="10"/>
        <rFont val="WenQuanYi Zen Hei"/>
        <family val="2"/>
      </rPr>
      <t xml:space="preserve">부 </t>
    </r>
    <r>
      <rPr>
        <sz val="10"/>
        <rFont val="Arial"/>
        <family val="0"/>
        <charset val="1"/>
      </rPr>
      <t xml:space="preserve">12</t>
    </r>
    <r>
      <rPr>
        <sz val="10"/>
        <rFont val="WenQuanYi Zen Hei"/>
        <family val="2"/>
      </rPr>
      <t xml:space="preserve">화</t>
    </r>
  </si>
  <si>
    <r>
      <rPr>
        <sz val="10"/>
        <rFont val="Arial"/>
        <family val="0"/>
        <charset val="1"/>
      </rPr>
      <t xml:space="preserve">13</t>
    </r>
    <r>
      <rPr>
        <sz val="10"/>
        <rFont val="WenQuanYi Zen Hei"/>
        <family val="2"/>
      </rPr>
      <t xml:space="preserve">부 </t>
    </r>
    <r>
      <rPr>
        <sz val="10"/>
        <rFont val="Arial"/>
        <family val="0"/>
        <charset val="1"/>
      </rPr>
      <t xml:space="preserve">1·11</t>
    </r>
    <r>
      <rPr>
        <sz val="10"/>
        <rFont val="WenQuanYi Zen Hei"/>
        <family val="2"/>
      </rPr>
      <t xml:space="preserve">화 — 시간의 고리</t>
    </r>
    <r>
      <rPr>
        <sz val="10"/>
        <rFont val="Arial"/>
        <family val="0"/>
        <charset val="1"/>
      </rPr>
      <t xml:space="preserve">: </t>
    </r>
    <r>
      <rPr>
        <sz val="10"/>
        <rFont val="WenQuanYi Zen Hei"/>
        <family val="2"/>
      </rPr>
      <t xml:space="preserve">낭독자가 같은 문장을 다시 읽음</t>
    </r>
  </si>
  <si>
    <r>
      <rPr>
        <sz val="10"/>
        <rFont val="Arial"/>
        <family val="0"/>
        <charset val="1"/>
      </rPr>
      <t xml:space="preserve">TB</t>
    </r>
    <r>
      <rPr>
        <sz val="10"/>
        <rFont val="WenQuanYi Zen Hei"/>
        <family val="2"/>
      </rPr>
      <t xml:space="preserve">의 조건부 중립</t>
    </r>
    <r>
      <rPr>
        <sz val="10"/>
        <rFont val="Arial"/>
        <family val="0"/>
        <charset val="1"/>
      </rPr>
      <t xml:space="preserve">(</t>
    </r>
    <r>
      <rPr>
        <sz val="10"/>
        <rFont val="WenQuanYi Zen Hei"/>
        <family val="2"/>
      </rPr>
      <t xml:space="preserve">주 부채 재협상 요구</t>
    </r>
    <r>
      <rPr>
        <sz val="10"/>
        <rFont val="Arial"/>
        <family val="0"/>
        <charset val="1"/>
      </rPr>
      <t xml:space="preserve">)</t>
    </r>
  </si>
  <si>
    <r>
      <rPr>
        <sz val="10"/>
        <rFont val="Arial"/>
        <family val="0"/>
        <charset val="1"/>
      </rPr>
      <t xml:space="preserve">10</t>
    </r>
    <r>
      <rPr>
        <sz val="10"/>
        <rFont val="WenQuanYi Zen Hei"/>
        <family val="2"/>
      </rPr>
      <t xml:space="preserve">부 </t>
    </r>
    <r>
      <rPr>
        <sz val="10"/>
        <rFont val="Arial"/>
        <family val="0"/>
        <charset val="1"/>
      </rPr>
      <t xml:space="preserve">11~12</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</si>
  <si>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7</t>
    </r>
    <r>
      <rPr>
        <sz val="10"/>
        <rFont val="WenQuanYi Zen Hei"/>
        <family val="2"/>
      </rPr>
      <t xml:space="preserve">화 — 연립 협상의 대가가 탄핵 표결 정국으로 이어짐</t>
    </r>
  </si>
  <si>
    <t xml:space="preserve">Juliana, Rafael</t>
  </si>
  <si>
    <t xml:space="preserve">공익소송 자격 제한 법안</t>
  </si>
  <si>
    <r>
      <rPr>
        <sz val="10"/>
        <rFont val="Arial"/>
        <family val="0"/>
        <charset val="1"/>
      </rPr>
      <t xml:space="preserve">7</t>
    </r>
    <r>
      <rPr>
        <sz val="10"/>
        <rFont val="WenQuanYi Zen Hei"/>
        <family val="2"/>
      </rPr>
      <t xml:space="preserve">부 </t>
    </r>
    <r>
      <rPr>
        <sz val="10"/>
        <rFont val="Arial"/>
        <family val="0"/>
        <charset val="1"/>
      </rPr>
      <t xml:space="preserve">11</t>
    </r>
    <r>
      <rPr>
        <sz val="10"/>
        <rFont val="WenQuanYi Zen Hei"/>
        <family val="2"/>
      </rPr>
      <t xml:space="preserve">화</t>
    </r>
  </si>
  <si>
    <r>
      <rPr>
        <sz val="10"/>
        <rFont val="Arial"/>
        <family val="0"/>
        <charset val="1"/>
      </rPr>
      <t xml:space="preserve">8</t>
    </r>
    <r>
      <rPr>
        <sz val="10"/>
        <rFont val="WenQuanYi Zen Hei"/>
        <family val="2"/>
      </rPr>
      <t xml:space="preserve">부 </t>
    </r>
    <r>
      <rPr>
        <sz val="10"/>
        <rFont val="Arial"/>
        <family val="0"/>
        <charset val="1"/>
      </rPr>
      <t xml:space="preserve">1~5</t>
    </r>
    <r>
      <rPr>
        <sz val="10"/>
        <rFont val="WenQuanYi Zen Hei"/>
        <family val="2"/>
      </rPr>
      <t xml:space="preserve">화 — 법정 승리가 법 앞에서 무력해지는 경험이 창당의 동기</t>
    </r>
  </si>
  <si>
    <t xml:space="preserve">Rafael, Edson</t>
  </si>
  <si>
    <r>
      <rPr>
        <sz val="10"/>
        <rFont val="Arial"/>
        <family val="0"/>
        <charset val="1"/>
      </rPr>
      <t xml:space="preserve">Dom Pedro</t>
    </r>
    <r>
      <rPr>
        <sz val="10"/>
        <rFont val="WenQuanYi Zen Hei"/>
        <family val="2"/>
      </rPr>
      <t xml:space="preserve">가 브뤼셀행을 자원한다</t>
    </r>
  </si>
  <si>
    <r>
      <rPr>
        <sz val="10"/>
        <rFont val="Arial"/>
        <family val="0"/>
        <charset val="1"/>
      </rPr>
      <t xml:space="preserve">11</t>
    </r>
    <r>
      <rPr>
        <sz val="10"/>
        <rFont val="WenQuanYi Zen Hei"/>
        <family val="2"/>
      </rPr>
      <t xml:space="preserve">부 </t>
    </r>
    <r>
      <rPr>
        <sz val="10"/>
        <rFont val="Arial"/>
        <family val="0"/>
        <charset val="1"/>
      </rPr>
      <t xml:space="preserve">9</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</si>
  <si>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3</t>
    </r>
    <r>
      <rPr>
        <sz val="10"/>
        <rFont val="WenQuanYi Zen Hei"/>
        <family val="2"/>
      </rPr>
      <t xml:space="preserve">화 — 그의 메모로 팀이 </t>
    </r>
    <r>
      <rPr>
        <sz val="10"/>
        <rFont val="Arial"/>
        <family val="0"/>
        <charset val="1"/>
      </rPr>
      <t xml:space="preserve">2</t>
    </r>
    <r>
      <rPr>
        <sz val="10"/>
        <rFont val="WenQuanYi Zen Hei"/>
        <family val="2"/>
      </rPr>
      <t xml:space="preserve">차 협상을 잇는 복선</t>
    </r>
  </si>
  <si>
    <r>
      <rPr>
        <sz val="10"/>
        <rFont val="Arial"/>
        <family val="0"/>
        <charset val="1"/>
      </rPr>
      <t xml:space="preserve">Dom Pedro</t>
    </r>
    <r>
      <rPr>
        <sz val="10"/>
        <rFont val="WenQuanYi Zen Hei"/>
        <family val="2"/>
      </rPr>
      <t xml:space="preserve">가 상대의 과장을 위성 자료로 반박한다</t>
    </r>
  </si>
  <si>
    <r>
      <rPr>
        <sz val="10"/>
        <rFont val="Arial"/>
        <family val="0"/>
        <charset val="1"/>
      </rPr>
      <t xml:space="preserve">11</t>
    </r>
    <r>
      <rPr>
        <sz val="10"/>
        <rFont val="WenQuanYi Zen Hei"/>
        <family val="2"/>
      </rPr>
      <t xml:space="preserve">부 </t>
    </r>
    <r>
      <rPr>
        <sz val="10"/>
        <rFont val="Arial"/>
        <family val="0"/>
        <charset val="1"/>
      </rPr>
      <t xml:space="preserve">10</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</si>
  <si>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3</t>
    </r>
    <r>
      <rPr>
        <sz val="10"/>
        <rFont val="WenQuanYi Zen Hei"/>
        <family val="2"/>
      </rPr>
      <t xml:space="preserve">화 — </t>
    </r>
    <r>
      <rPr>
        <sz val="10"/>
        <rFont val="Arial"/>
        <family val="0"/>
        <charset val="1"/>
      </rPr>
      <t xml:space="preserve">Machado·Bruno</t>
    </r>
    <r>
      <rPr>
        <sz val="10"/>
        <rFont val="WenQuanYi Zen Hei"/>
        <family val="2"/>
      </rPr>
      <t xml:space="preserve">가 같은 화법</t>
    </r>
    <r>
      <rPr>
        <sz val="10"/>
        <rFont val="Arial"/>
        <family val="0"/>
        <charset val="1"/>
      </rPr>
      <t xml:space="preserve">(</t>
    </r>
    <r>
      <rPr>
        <sz val="10"/>
        <rFont val="WenQuanYi Zen Hei"/>
        <family val="2"/>
      </rPr>
      <t xml:space="preserve">정확한 반박</t>
    </r>
    <r>
      <rPr>
        <sz val="10"/>
        <rFont val="Arial"/>
        <family val="0"/>
        <charset val="1"/>
      </rPr>
      <t xml:space="preserve">)</t>
    </r>
    <r>
      <rPr>
        <sz val="10"/>
        <rFont val="WenQuanYi Zen Hei"/>
        <family val="2"/>
      </rPr>
      <t xml:space="preserve">을 물려받음</t>
    </r>
  </si>
  <si>
    <t xml:space="preserve">Dom Pedro, Bruno</t>
  </si>
  <si>
    <r>
      <rPr>
        <sz val="10"/>
        <rFont val="Arial"/>
        <family val="0"/>
        <charset val="1"/>
      </rPr>
      <t xml:space="preserve">7</t>
    </r>
    <r>
      <rPr>
        <sz val="10"/>
        <rFont val="WenQuanYi Zen Hei"/>
        <family val="2"/>
      </rPr>
      <t xml:space="preserve">부의 도청 논쟁</t>
    </r>
  </si>
  <si>
    <r>
      <rPr>
        <sz val="10"/>
        <rFont val="Arial"/>
        <family val="0"/>
        <charset val="1"/>
      </rPr>
      <t xml:space="preserve">7</t>
    </r>
    <r>
      <rPr>
        <sz val="10"/>
        <rFont val="WenQuanYi Zen Hei"/>
        <family val="2"/>
      </rPr>
      <t xml:space="preserve">부 </t>
    </r>
    <r>
      <rPr>
        <sz val="10"/>
        <rFont val="Arial"/>
        <family val="0"/>
        <charset val="1"/>
      </rPr>
      <t xml:space="preserve">8</t>
    </r>
    <r>
      <rPr>
        <sz val="10"/>
        <rFont val="WenQuanYi Zen Hei"/>
        <family val="2"/>
      </rPr>
      <t xml:space="preserve">화</t>
    </r>
  </si>
  <si>
    <r>
      <rPr>
        <sz val="10"/>
        <rFont val="Arial"/>
        <family val="0"/>
        <charset val="1"/>
      </rPr>
      <t xml:space="preserve">12</t>
    </r>
    <r>
      <rPr>
        <sz val="10"/>
        <rFont val="WenQuanYi Zen Hei"/>
        <family val="2"/>
      </rPr>
      <t xml:space="preserve">부 </t>
    </r>
    <r>
      <rPr>
        <sz val="10"/>
        <rFont val="Arial"/>
        <family val="0"/>
        <charset val="1"/>
      </rPr>
      <t xml:space="preserve">5</t>
    </r>
    <r>
      <rPr>
        <sz val="10"/>
        <rFont val="WenQuanYi Zen Hei"/>
        <family val="2"/>
      </rPr>
      <t xml:space="preserve">화 — 개인 간 도청 논쟁이 국가적 스캔들로 확장</t>
    </r>
  </si>
  <si>
    <t xml:space="preserve">Freire, Rafael, Dumont</t>
  </si>
  <si>
    <r>
      <rPr>
        <sz val="10"/>
        <rFont val="Arial"/>
        <family val="0"/>
        <charset val="1"/>
      </rPr>
      <t xml:space="preserve">Dumont</t>
    </r>
    <r>
      <rPr>
        <sz val="10"/>
        <rFont val="WenQuanYi Zen Hei"/>
        <family val="2"/>
      </rPr>
      <t xml:space="preserve">의 </t>
    </r>
    <r>
      <rPr>
        <sz val="10"/>
        <rFont val="Arial"/>
        <family val="0"/>
        <charset val="1"/>
      </rPr>
      <t xml:space="preserve">«Preciso de duas fontes»</t>
    </r>
  </si>
  <si>
    <r>
      <rPr>
        <sz val="10"/>
        <rFont val="Arial"/>
        <family val="0"/>
        <charset val="1"/>
      </rPr>
      <t xml:space="preserve">1</t>
    </r>
    <r>
      <rPr>
        <sz val="10"/>
        <rFont val="WenQuanYi Zen Hei"/>
        <family val="2"/>
      </rPr>
      <t xml:space="preserve">부 </t>
    </r>
    <r>
      <rPr>
        <sz val="10"/>
        <rFont val="Arial"/>
        <family val="0"/>
        <charset val="1"/>
      </rPr>
      <t xml:space="preserve">11</t>
    </r>
    <r>
      <rPr>
        <sz val="10"/>
        <rFont val="WenQuanYi Zen Hei"/>
        <family val="2"/>
      </rPr>
      <t xml:space="preserve">화</t>
    </r>
  </si>
  <si>
    <r>
      <rPr>
        <sz val="10"/>
        <rFont val="Arial"/>
        <family val="0"/>
        <charset val="1"/>
      </rPr>
      <t xml:space="preserve">9</t>
    </r>
    <r>
      <rPr>
        <sz val="10"/>
        <rFont val="WenQuanYi Zen Hei"/>
        <family val="2"/>
      </rPr>
      <t xml:space="preserve">부 </t>
    </r>
    <r>
      <rPr>
        <sz val="10"/>
        <rFont val="Arial"/>
        <family val="0"/>
        <charset val="1"/>
      </rPr>
      <t xml:space="preserve">8</t>
    </r>
    <r>
      <rPr>
        <sz val="10"/>
        <rFont val="WenQuanYi Zen Hei"/>
        <family val="2"/>
      </rPr>
      <t xml:space="preserve">화 — 폭로 기사에서 두 개의 출처를 갖추는 장면</t>
    </r>
  </si>
  <si>
    <t xml:space="preserve">Dumont, Freire</t>
  </si>
  <si>
    <t xml:space="preserve">평균 간격(부)</t>
  </si>
  <si>
    <t xml:space="preserve">가장 긴 복선(부)</t>
  </si>
  <si>
    <t xml:space="preserve">복선 개수</t>
  </si>
  <si>
    <t xml:space="preserve">브라질 현안 18개 배치표</t>
  </si>
  <si>
    <t xml:space="preserve">현재 브라질의 쟁점을 이야기 곳곳에 녹이는 계획. 현실의 정당·정치인·참사 희생자는 특정하지 않고 가상 설정으로 각색하며, 제도와 통계만 현실 기준으로 쓴다.</t>
  </si>
  <si>
    <t xml:space="preserve">ID</t>
  </si>
  <si>
    <t xml:space="preserve">분야</t>
  </si>
  <si>
    <t xml:space="preserve">포르투갈어 키워드</t>
  </si>
  <si>
    <t xml:space="preserve">이야기 속 가상 설정</t>
  </si>
  <si>
    <t xml:space="preserve">주요 배치 (전용 화)</t>
  </si>
  <si>
    <t xml:space="preserve">곁가지 배치</t>
  </si>
  <si>
    <t xml:space="preserve">권한 소재</t>
  </si>
  <si>
    <t xml:space="preserve">관련 제도·법</t>
  </si>
  <si>
    <t xml:space="preserve">낭독 어휘</t>
  </si>
  <si>
    <t xml:space="preserve">균형·민감도 유의</t>
  </si>
  <si>
    <t xml:space="preserve">현실 기준값·확인</t>
  </si>
  <si>
    <t xml:space="preserve">연립 대통령제와 의회 거래(Centrão)</t>
  </si>
  <si>
    <t xml:space="preserve">presidencialismo de coalizão, Centrão, base aliada, cargos, emendas</t>
  </si>
  <si>
    <t xml:space="preserve">대통령은 직선이지만 의회 과반은 수십 개 정당으로 쪼개져 있다. 법안마다 장관직·예산 수정(emendas)을 주고받는 거래 비용이 든다. Casa Comum도 하원 48석으로 중도 연합(PCN)과 지역정당을 끌어안아야 한다.</t>
  </si>
  <si>
    <r>
      <rPr>
        <sz val="10"/>
        <rFont val="Arial"/>
        <family val="0"/>
        <charset val="1"/>
      </rPr>
      <t xml:space="preserve">9</t>
    </r>
    <r>
      <rPr>
        <sz val="10"/>
        <rFont val="WenQuanYi Zen Hei"/>
        <family val="2"/>
      </rPr>
      <t xml:space="preserve">부 </t>
    </r>
    <r>
      <rPr>
        <sz val="10"/>
        <rFont val="Arial"/>
        <family val="0"/>
        <charset val="1"/>
      </rPr>
      <t xml:space="preserve">5</t>
    </r>
    <r>
      <rPr>
        <sz val="10"/>
        <rFont val="WenQuanYi Zen Hei"/>
        <family val="2"/>
      </rPr>
      <t xml:space="preserve">화 불편한 동맹</t>
    </r>
    <r>
      <rPr>
        <sz val="10"/>
        <rFont val="Arial"/>
        <family val="0"/>
        <charset val="1"/>
      </rPr>
      <t xml:space="preserve">, 10</t>
    </r>
    <r>
      <rPr>
        <sz val="10"/>
        <rFont val="WenQuanYi Zen Hei"/>
        <family val="2"/>
      </rPr>
      <t xml:space="preserve">부 </t>
    </r>
    <r>
      <rPr>
        <sz val="10"/>
        <rFont val="Arial"/>
        <family val="0"/>
        <charset val="1"/>
      </rPr>
      <t xml:space="preserve">11</t>
    </r>
    <r>
      <rPr>
        <sz val="10"/>
        <rFont val="WenQuanYi Zen Hei"/>
        <family val="2"/>
      </rPr>
      <t xml:space="preserve">화 정권 인수</t>
    </r>
    <r>
      <rPr>
        <sz val="10"/>
        <rFont val="Arial"/>
        <family val="0"/>
        <charset val="1"/>
      </rPr>
      <t xml:space="preserve">·</t>
    </r>
    <r>
      <rPr>
        <sz val="10"/>
        <rFont val="WenQuanYi Zen Hei"/>
        <family val="2"/>
      </rPr>
      <t xml:space="preserve">연립 협상</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 합쳐지지 않는 탄핵</t>
    </r>
  </si>
  <si>
    <r>
      <rPr>
        <sz val="10"/>
        <rFont val="Arial"/>
        <family val="0"/>
        <charset val="1"/>
      </rPr>
      <t xml:space="preserve">8</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왜 새 정당인가</t>
    </r>
    <r>
      <rPr>
        <sz val="10"/>
        <rFont val="Arial"/>
        <family val="0"/>
        <charset val="1"/>
      </rPr>
      <t xml:space="preserve">: </t>
    </r>
    <r>
      <rPr>
        <sz val="10"/>
        <rFont val="WenQuanYi Zen Hei"/>
        <family val="2"/>
      </rPr>
      <t xml:space="preserve">거래 정치 피로</t>
    </r>
    <r>
      <rPr>
        <sz val="10"/>
        <rFont val="Arial"/>
        <family val="0"/>
        <charset val="1"/>
      </rPr>
      <t xml:space="preserve">), 13</t>
    </r>
    <r>
      <rPr>
        <sz val="10"/>
        <rFont val="WenQuanYi Zen Hei"/>
        <family val="2"/>
      </rPr>
      <t xml:space="preserve">부</t>
    </r>
  </si>
  <si>
    <t xml:space="preserve">Juliana, Rafael, Edson</t>
  </si>
  <si>
    <t xml:space="preserve">연방의회·시의회</t>
  </si>
  <si>
    <t xml:space="preserve">헌법 제84·85·86조, 예산 수정 규정(헌법 제166조), 정당 간 합의</t>
  </si>
  <si>
    <t xml:space="preserve">base aliada, governabilidade, fisiologismo, emenda parlamentar, bancada</t>
  </si>
  <si>
    <t xml:space="preserve">특정 실존 정당·인물을 비난하는 대사 금지. 가상 정당(UCN·PPS·PCN·HU·TA·TB)으로만.</t>
  </si>
  <si>
    <t xml:space="preserve">현실의 하원은 20개 안팎의 정당으로 나뉘어 있다(반영 전 확인). 이야기에는 실제 정당명을 쓰지 않음</t>
  </si>
  <si>
    <t xml:space="preserve">P2</t>
  </si>
  <si>
    <t xml:space="preserve">연방 갈등: 주 정부 부채 재협상·재정 분권</t>
  </si>
  <si>
    <t xml:space="preserve">pacto federativo, dívida dos estados, renegociação, ICMS, compensação</t>
  </si>
  <si>
    <t xml:space="preserve">지역정당 연합 TB가 지지의 대가로 자기 주의 연방 부채 재협상(사실상 탕감)과 조세개혁 보상 확대를 요구한다. 결선 지지와 탄핵 표결이 여기에 걸린다.</t>
  </si>
  <si>
    <r>
      <rPr>
        <sz val="10"/>
        <rFont val="Arial"/>
        <family val="0"/>
        <charset val="1"/>
      </rPr>
      <t xml:space="preserve">10</t>
    </r>
    <r>
      <rPr>
        <sz val="10"/>
        <rFont val="WenQuanYi Zen Hei"/>
        <family val="2"/>
      </rPr>
      <t xml:space="preserve">부 </t>
    </r>
    <r>
      <rPr>
        <sz val="10"/>
        <rFont val="Arial"/>
        <family val="0"/>
        <charset val="1"/>
      </rPr>
      <t xml:space="preserve">11</t>
    </r>
    <r>
      <rPr>
        <sz val="10"/>
        <rFont val="WenQuanYi Zen Hei"/>
        <family val="2"/>
      </rPr>
      <t xml:space="preserve">화 정권 인수</t>
    </r>
    <r>
      <rPr>
        <sz val="10"/>
        <rFont val="Arial"/>
        <family val="0"/>
        <charset val="1"/>
      </rPr>
      <t xml:space="preserve">·</t>
    </r>
    <r>
      <rPr>
        <sz val="10"/>
        <rFont val="WenQuanYi Zen Hei"/>
        <family val="2"/>
      </rPr>
      <t xml:space="preserve">연립 협상</t>
    </r>
  </si>
  <si>
    <r>
      <rPr>
        <sz val="10"/>
        <rFont val="Arial"/>
        <family val="0"/>
        <charset val="1"/>
      </rPr>
      <t xml:space="preserve">10</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(TV </t>
    </r>
    <r>
      <rPr>
        <sz val="10"/>
        <rFont val="WenQuanYi Zen Hei"/>
        <family val="2"/>
      </rPr>
      <t xml:space="preserve">토론 공격</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t>
    </r>
    <r>
      <rPr>
        <sz val="10"/>
        <rFont val="WenQuanYi Zen Hei"/>
        <family val="2"/>
      </rPr>
      <t xml:space="preserve">탄핵 표결에서 </t>
    </r>
    <r>
      <rPr>
        <sz val="10"/>
        <rFont val="Arial"/>
        <family val="0"/>
        <charset val="1"/>
      </rPr>
      <t xml:space="preserve">TB</t>
    </r>
    <r>
      <rPr>
        <sz val="10"/>
        <rFont val="WenQuanYi Zen Hei"/>
        <family val="2"/>
      </rPr>
      <t xml:space="preserve">의 기권</t>
    </r>
    <r>
      <rPr>
        <sz val="10"/>
        <rFont val="Arial"/>
        <family val="0"/>
        <charset val="1"/>
      </rPr>
      <t xml:space="preserve">)</t>
    </r>
  </si>
  <si>
    <t xml:space="preserve">Rafael, Dom Pedro, Edson, Juliana</t>
  </si>
  <si>
    <t xml:space="preserve">연방·주·연방상원</t>
  </si>
  <si>
    <t xml:space="preserve">헌법 제52조(상원의 부채 한도 권한), 주 부채 재협상 프로그램(LC 212/2025, 확인), 조세개혁(헌법 개정 132/2023)</t>
  </si>
  <si>
    <t xml:space="preserve">dívida, renegociação, compensação, repartição de receitas</t>
  </si>
  <si>
    <t xml:space="preserve">가장 민감. 부채가 많은 주와 성실히 갚은 주의 논거를 각 인물이 나눠 말하게 하고 결론은 열어 둔다(Rafael은 형평 우려, Edson은 주민 복지, Juliana는 현실 협상).</t>
  </si>
  <si>
    <t xml:space="preserve">주 부채 재협상 제도의 최신 상황은 반영 전 확인</t>
  </si>
  <si>
    <t xml:space="preserve">사법 지연·사법–정치 충돌과 공권력 남용</t>
  </si>
  <si>
    <t xml:space="preserve">morosidade, STF, decisão monocrática, abuso de autoridade, violência policial</t>
  </si>
  <si>
    <t xml:space="preserve">연방대법원(STF)과 의회가 권한을 두고 부딪히는 사이 스캔들 수사는 표류하고, 사무소의 고발은 법원에서 지연된다. 사무소를 향한 보복에는 경찰의 과잉 단속도 섞여 있다.</t>
  </si>
  <si>
    <r>
      <rPr>
        <sz val="10"/>
        <rFont val="Arial"/>
        <family val="0"/>
        <charset val="1"/>
      </rPr>
      <t xml:space="preserve">7</t>
    </r>
    <r>
      <rPr>
        <sz val="10"/>
        <rFont val="WenQuanYi Zen Hei"/>
        <family val="2"/>
      </rPr>
      <t xml:space="preserve">부</t>
    </r>
    <r>
      <rPr>
        <sz val="10"/>
        <rFont val="Arial"/>
        <family val="0"/>
        <charset val="1"/>
      </rPr>
      <t xml:space="preserve">(</t>
    </r>
    <r>
      <rPr>
        <sz val="10"/>
        <rFont val="WenQuanYi Zen Hei"/>
        <family val="2"/>
      </rPr>
      <t xml:space="preserve">공익소송</t>
    </r>
    <r>
      <rPr>
        <sz val="10"/>
        <rFont val="Arial"/>
        <family val="0"/>
        <charset val="1"/>
      </rPr>
      <t xml:space="preserve">·</t>
    </r>
    <r>
      <rPr>
        <sz val="10"/>
        <rFont val="WenQuanYi Zen Hei"/>
        <family val="2"/>
      </rPr>
      <t xml:space="preserve">기소 수리</t>
    </r>
    <r>
      <rPr>
        <sz val="10"/>
        <rFont val="Arial"/>
        <family val="0"/>
        <charset val="1"/>
      </rPr>
      <t xml:space="preserve">·</t>
    </r>
    <r>
      <rPr>
        <sz val="10"/>
        <rFont val="WenQuanYi Zen Hei"/>
        <family val="2"/>
      </rPr>
      <t xml:space="preserve">보복</t>
    </r>
    <r>
      <rPr>
        <sz val="10"/>
        <rFont val="Arial"/>
        <family val="0"/>
        <charset val="1"/>
      </rPr>
      <t xml:space="preserve">), 9</t>
    </r>
    <r>
      <rPr>
        <sz val="10"/>
        <rFont val="WenQuanYi Zen Hei"/>
        <family val="2"/>
      </rPr>
      <t xml:space="preserve">부 </t>
    </r>
    <r>
      <rPr>
        <sz val="10"/>
        <rFont val="Arial"/>
        <family val="0"/>
        <charset val="1"/>
      </rPr>
      <t xml:space="preserve">9</t>
    </r>
    <r>
      <rPr>
        <sz val="10"/>
        <rFont val="WenQuanYi Zen Hei"/>
        <family val="2"/>
      </rPr>
      <t xml:space="preserve">화 고발장</t>
    </r>
  </si>
  <si>
    <r>
      <rPr>
        <sz val="10"/>
        <rFont val="Arial"/>
        <family val="0"/>
        <charset val="1"/>
      </rPr>
      <t xml:space="preserve">2</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재판</t>
    </r>
    <r>
      <rPr>
        <sz val="10"/>
        <rFont val="Arial"/>
        <family val="0"/>
        <charset val="1"/>
      </rPr>
      <t xml:space="preserve">), 3</t>
    </r>
    <r>
      <rPr>
        <sz val="10"/>
        <rFont val="WenQuanYi Zen Hei"/>
        <family val="2"/>
      </rPr>
      <t xml:space="preserve">부</t>
    </r>
    <r>
      <rPr>
        <sz val="10"/>
        <rFont val="Arial"/>
        <family val="0"/>
        <charset val="1"/>
      </rPr>
      <t xml:space="preserve">(</t>
    </r>
    <r>
      <rPr>
        <sz val="10"/>
        <rFont val="WenQuanYi Zen Hei"/>
        <family val="2"/>
      </rPr>
      <t xml:space="preserve">징계</t>
    </r>
    <r>
      <rPr>
        <sz val="10"/>
        <rFont val="Arial"/>
        <family val="0"/>
        <charset val="1"/>
      </rPr>
      <t xml:space="preserve">·</t>
    </r>
    <r>
      <rPr>
        <sz val="10"/>
        <rFont val="WenQuanYi Zen Hei"/>
        <family val="2"/>
      </rPr>
      <t xml:space="preserve">위탁</t>
    </r>
    <r>
      <rPr>
        <sz val="10"/>
        <rFont val="Arial"/>
        <family val="0"/>
        <charset val="1"/>
      </rPr>
      <t xml:space="preserve">), 4</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t>
    </r>
    <r>
      <rPr>
        <sz val="10"/>
        <rFont val="WenQuanYi Zen Hei"/>
        <family val="2"/>
      </rPr>
      <t xml:space="preserve">연립 조건</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t>
    </r>
    <r>
      <rPr>
        <sz val="10"/>
        <rFont val="WenQuanYi Zen Hei"/>
        <family val="2"/>
      </rPr>
      <t xml:space="preserve">교착</t>
    </r>
    <r>
      <rPr>
        <sz val="10"/>
        <rFont val="Arial"/>
        <family val="0"/>
        <charset val="1"/>
      </rPr>
      <t xml:space="preserve">)</t>
    </r>
  </si>
  <si>
    <t xml:space="preserve">Rafael, Dumont, Freire</t>
  </si>
  <si>
    <t xml:space="preserve">사법부·연방의회·주 경찰</t>
  </si>
  <si>
    <t xml:space="preserve">헌법 제5조, 직권남용법(Lei 13.869/2019), 연방대법원 권한(헌법 제102조)</t>
  </si>
  <si>
    <t xml:space="preserve">morosidade, prescrição, foro privilegiado, abuso de autoridade</t>
  </si>
  <si>
    <t xml:space="preserve">여야 모두가 사법부를 압박한다는 비판을 각각 담는다. 실제 재판 결과를 단정하지 않는다.</t>
  </si>
  <si>
    <r>
      <rPr>
        <sz val="10"/>
        <rFont val="Noto Sans CJK SC"/>
        <family val="2"/>
        <charset val="1"/>
      </rPr>
      <t xml:space="preserve">STF </t>
    </r>
    <r>
      <rPr>
        <sz val="10"/>
        <rFont val="WenQuanYi Zen Hei"/>
        <family val="2"/>
      </rPr>
      <t xml:space="preserve">권한 논쟁</t>
    </r>
    <r>
      <rPr>
        <sz val="10"/>
        <rFont val="Noto Sans CJK SC"/>
        <family val="2"/>
        <charset val="1"/>
      </rPr>
      <t xml:space="preserve">(</t>
    </r>
    <r>
      <rPr>
        <sz val="10"/>
        <rFont val="WenQuanYi Zen Hei"/>
        <family val="2"/>
      </rPr>
      <t xml:space="preserve">단독 결정 제한 개헌안 등</t>
    </r>
    <r>
      <rPr>
        <sz val="10"/>
        <rFont val="Noto Sans CJK SC"/>
        <family val="2"/>
        <charset val="1"/>
      </rPr>
      <t xml:space="preserve">)</t>
    </r>
    <r>
      <rPr>
        <sz val="10"/>
        <rFont val="WenQuanYi Zen Hei"/>
        <family val="2"/>
      </rPr>
      <t xml:space="preserve">의 최신 상황 확인</t>
    </r>
  </si>
  <si>
    <t xml:space="preserve">경제</t>
  </si>
  <si>
    <t xml:space="preserve">주거난: 도심 공실·강제퇴거·단기 임대</t>
  </si>
  <si>
    <t xml:space="preserve">moradia, despejo, ocupação, aluguel, Airbnb, gentrificação</t>
  </si>
  <si>
    <t xml:space="preserve">월세가 최저임금보다 빨리 오르고, 도심에는 빈 건물과 점거(ocupação)가, 옛 동네에는 단기 임대용 신축이 늘어난다. 소규모 임대인의 입장(Marta의 친구)도 대사에 넣는다.</t>
  </si>
  <si>
    <r>
      <rPr>
        <sz val="10"/>
        <rFont val="Arial"/>
        <family val="0"/>
        <charset val="1"/>
      </rPr>
      <t xml:space="preserve">2</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조항 설계</t>
    </r>
    <r>
      <rPr>
        <sz val="10"/>
        <rFont val="Arial"/>
        <family val="0"/>
        <charset val="1"/>
      </rPr>
      <t xml:space="preserve">), 6</t>
    </r>
    <r>
      <rPr>
        <sz val="10"/>
        <rFont val="WenQuanYi Zen Hei"/>
        <family val="2"/>
      </rPr>
      <t xml:space="preserve">부 </t>
    </r>
    <r>
      <rPr>
        <sz val="10"/>
        <rFont val="Arial"/>
        <family val="0"/>
        <charset val="1"/>
      </rPr>
      <t xml:space="preserve">1·3·8·10</t>
    </r>
    <r>
      <rPr>
        <sz val="10"/>
        <rFont val="WenQuanYi Zen Hei"/>
        <family val="2"/>
      </rPr>
      <t xml:space="preserve">화</t>
    </r>
    <r>
      <rPr>
        <sz val="10"/>
        <rFont val="Arial"/>
        <family val="0"/>
        <charset val="1"/>
      </rPr>
      <t xml:space="preserve">(Brás), 9</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임대료 보조 삭감</t>
    </r>
    <r>
      <rPr>
        <sz val="10"/>
        <rFont val="Arial"/>
        <family val="0"/>
        <charset val="1"/>
      </rPr>
      <t xml:space="preserve">·</t>
    </r>
    <r>
      <rPr>
        <sz val="10"/>
        <rFont val="WenQuanYi Zen Hei"/>
        <family val="2"/>
      </rPr>
      <t xml:space="preserve">용도지역 조항</t>
    </r>
    <r>
      <rPr>
        <sz val="10"/>
        <rFont val="Arial"/>
        <family val="0"/>
        <charset val="1"/>
      </rPr>
      <t xml:space="preserve">), 11</t>
    </r>
    <r>
      <rPr>
        <sz val="10"/>
        <rFont val="WenQuanYi Zen Hei"/>
        <family val="2"/>
      </rPr>
      <t xml:space="preserve">부 </t>
    </r>
    <r>
      <rPr>
        <sz val="10"/>
        <rFont val="Arial"/>
        <family val="0"/>
        <charset val="1"/>
      </rPr>
      <t xml:space="preserve">2·3</t>
    </r>
    <r>
      <rPr>
        <sz val="10"/>
        <rFont val="WenQuanYi Zen Hei"/>
        <family val="2"/>
      </rPr>
      <t xml:space="preserve">화</t>
    </r>
  </si>
  <si>
    <r>
      <rPr>
        <sz val="10"/>
        <rFont val="Arial"/>
        <family val="0"/>
        <charset val="1"/>
      </rPr>
      <t xml:space="preserve">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(Fátima), 8</t>
    </r>
    <r>
      <rPr>
        <sz val="10"/>
        <rFont val="WenQuanYi Zen Hei"/>
        <family val="2"/>
      </rPr>
      <t xml:space="preserve">부 </t>
    </r>
    <r>
      <rPr>
        <sz val="10"/>
        <rFont val="Arial"/>
        <family val="0"/>
        <charset val="1"/>
      </rPr>
      <t xml:space="preserve">1·9</t>
    </r>
    <r>
      <rPr>
        <sz val="10"/>
        <rFont val="WenQuanYi Zen Hei"/>
        <family val="2"/>
      </rPr>
      <t xml:space="preserve">화</t>
    </r>
    <r>
      <rPr>
        <sz val="10"/>
        <rFont val="Arial"/>
        <family val="0"/>
        <charset val="1"/>
      </rPr>
      <t xml:space="preserve">, 13</t>
    </r>
    <r>
      <rPr>
        <sz val="10"/>
        <rFont val="WenQuanYi Zen Hei"/>
        <family val="2"/>
      </rPr>
      <t xml:space="preserve">부</t>
    </r>
  </si>
  <si>
    <t xml:space="preserve">Marta, Larissa, Bruno, Rafael</t>
  </si>
  <si>
    <t xml:space="preserve">시(도시계획·용도지역), 연방(임대차법·주택 재원), 주(주택공사)</t>
  </si>
  <si>
    <t xml:space="preserve">임대차법(Lei 8.245/1991), 도시법(Lei 10.257/2001), 주거 지원(Lei 14.620/2023), 퇴거 조정(ADPF 828)</t>
  </si>
  <si>
    <t xml:space="preserve">aluguel, despejo, ocupação, auxílio-aluguel, pequeno proprietário</t>
  </si>
  <si>
    <t xml:space="preserve">임차인만 피해자로 그리지 않는다. 소규모 임대인·대형 보유자·점거 운동을 구분해서 말한다.</t>
  </si>
  <si>
    <t xml:space="preserve">단기 임대 규제는 시·콘도미니엄 단위로 제각각(확인)</t>
  </si>
  <si>
    <t xml:space="preserve">비공식 경제·영세 사업자와 저생산성</t>
  </si>
  <si>
    <t xml:space="preserve">informalidade, MEI, microempresa, produtividade, crédito</t>
  </si>
  <si>
    <r>
      <rPr>
        <sz val="10"/>
        <rFont val="Arial"/>
        <family val="0"/>
        <charset val="1"/>
      </rPr>
      <t xml:space="preserve">Juliana</t>
    </r>
    <r>
      <rPr>
        <sz val="10"/>
        <rFont val="WenQuanYi Zen Hei"/>
        <family val="2"/>
      </rPr>
      <t xml:space="preserve">가 컨설팅한 규모의 경제 없는 영세 제조업체들</t>
    </r>
    <r>
      <rPr>
        <sz val="10"/>
        <rFont val="Arial"/>
        <family val="0"/>
        <charset val="1"/>
      </rPr>
      <t xml:space="preserve">: </t>
    </r>
    <r>
      <rPr>
        <sz val="10"/>
        <rFont val="WenQuanYi Zen Hei"/>
        <family val="2"/>
      </rPr>
      <t xml:space="preserve">신용 접근도</t>
    </r>
    <r>
      <rPr>
        <sz val="10"/>
        <rFont val="Arial"/>
        <family val="0"/>
        <charset val="1"/>
      </rPr>
      <t xml:space="preserve">, </t>
    </r>
    <r>
      <rPr>
        <sz val="10"/>
        <rFont val="WenQuanYi Zen Hei"/>
        <family val="2"/>
      </rPr>
      <t xml:space="preserve">정식 고용도 어려웠던 과거</t>
    </r>
    <r>
      <rPr>
        <sz val="10"/>
        <rFont val="Arial"/>
        <family val="0"/>
        <charset val="1"/>
      </rPr>
      <t xml:space="preserve">. 11</t>
    </r>
    <r>
      <rPr>
        <sz val="10"/>
        <rFont val="WenQuanYi Zen Hei"/>
        <family val="2"/>
      </rPr>
      <t xml:space="preserve">부에서 영세 사업자 통합</t>
    </r>
    <r>
      <rPr>
        <sz val="10"/>
        <rFont val="Arial"/>
        <family val="0"/>
        <charset val="1"/>
      </rPr>
      <t xml:space="preserve">·</t>
    </r>
    <r>
      <rPr>
        <sz val="10"/>
        <rFont val="WenQuanYi Zen Hei"/>
        <family val="2"/>
      </rPr>
      <t xml:space="preserve">기술 전환 사업을 설계한다</t>
    </r>
    <r>
      <rPr>
        <sz val="10"/>
        <rFont val="Arial"/>
        <family val="0"/>
        <charset val="1"/>
      </rPr>
      <t xml:space="preserve">.</t>
    </r>
  </si>
  <si>
    <r>
      <rPr>
        <sz val="10"/>
        <rFont val="Arial"/>
        <family val="0"/>
        <charset val="1"/>
      </rPr>
      <t xml:space="preserve">5</t>
    </r>
    <r>
      <rPr>
        <sz val="10"/>
        <rFont val="WenQuanYi Zen Hei"/>
        <family val="2"/>
      </rPr>
      <t xml:space="preserve">부 </t>
    </r>
    <r>
      <rPr>
        <sz val="10"/>
        <rFont val="Arial"/>
        <family val="0"/>
        <charset val="1"/>
      </rPr>
      <t xml:space="preserve">3</t>
    </r>
    <r>
      <rPr>
        <sz val="10"/>
        <rFont val="WenQuanYi Zen Hei"/>
        <family val="2"/>
      </rPr>
      <t xml:space="preserve">화 </t>
    </r>
    <r>
      <rPr>
        <sz val="10"/>
        <rFont val="Arial"/>
        <family val="0"/>
        <charset val="1"/>
      </rPr>
      <t xml:space="preserve">Tavares </t>
    </r>
    <r>
      <rPr>
        <sz val="10"/>
        <rFont val="WenQuanYi Zen Hei"/>
        <family val="2"/>
      </rPr>
      <t xml:space="preserve">공방</t>
    </r>
  </si>
  <si>
    <r>
      <rPr>
        <sz val="10"/>
        <rFont val="Arial"/>
        <family val="0"/>
        <charset val="1"/>
      </rPr>
      <t xml:space="preserve">8</t>
    </r>
    <r>
      <rPr>
        <sz val="10"/>
        <rFont val="WenQuanYi Zen Hei"/>
        <family val="2"/>
      </rPr>
      <t xml:space="preserve">부 </t>
    </r>
    <r>
      <rPr>
        <sz val="10"/>
        <rFont val="Arial"/>
        <family val="0"/>
        <charset val="1"/>
      </rPr>
      <t xml:space="preserve">9</t>
    </r>
    <r>
      <rPr>
        <sz val="10"/>
        <rFont val="WenQuanYi Zen Hei"/>
        <family val="2"/>
      </rPr>
      <t xml:space="preserve">화</t>
    </r>
    <r>
      <rPr>
        <sz val="10"/>
        <rFont val="Arial"/>
        <family val="0"/>
        <charset val="1"/>
      </rPr>
      <t xml:space="preserve">(</t>
    </r>
    <r>
      <rPr>
        <sz val="10"/>
        <rFont val="WenQuanYi Zen Hei"/>
        <family val="2"/>
      </rPr>
      <t xml:space="preserve">골목 상권</t>
    </r>
    <r>
      <rPr>
        <sz val="10"/>
        <rFont val="Arial"/>
        <family val="0"/>
        <charset val="1"/>
      </rPr>
      <t xml:space="preserve">), 11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9</t>
    </r>
    <r>
      <rPr>
        <sz val="10"/>
        <rFont val="WenQuanYi Zen Hei"/>
        <family val="2"/>
      </rPr>
      <t xml:space="preserve">화</t>
    </r>
  </si>
  <si>
    <t xml:space="preserve">Juliana, Marta, Edson</t>
  </si>
  <si>
    <t xml:space="preserve">연방·주</t>
  </si>
  <si>
    <t xml:space="preserve">개인 소사업자 제도(MEI, LC 123/2006), 단순과세(Simples Nacional)</t>
  </si>
  <si>
    <t xml:space="preserve">informalidade, formalizar, produtividade, crédito, escalar</t>
  </si>
  <si>
    <r>
      <rPr>
        <sz val="10"/>
        <rFont val="Arial"/>
        <family val="0"/>
        <charset val="1"/>
      </rPr>
      <t xml:space="preserve">'</t>
    </r>
    <r>
      <rPr>
        <sz val="10"/>
        <rFont val="WenQuanYi Zen Hei"/>
        <family val="2"/>
      </rPr>
      <t xml:space="preserve">영세 사업자가 문제</t>
    </r>
    <r>
      <rPr>
        <sz val="10"/>
        <rFont val="Arial"/>
        <family val="0"/>
        <charset val="1"/>
      </rPr>
      <t xml:space="preserve">'</t>
    </r>
    <r>
      <rPr>
        <sz val="10"/>
        <rFont val="WenQuanYi Zen Hei"/>
        <family val="2"/>
      </rPr>
      <t xml:space="preserve">라는 낙인 대신 구조 문제로 설명한다</t>
    </r>
    <r>
      <rPr>
        <sz val="10"/>
        <rFont val="Arial"/>
        <family val="0"/>
        <charset val="1"/>
      </rPr>
      <t xml:space="preserve">.</t>
    </r>
  </si>
  <si>
    <t xml:space="preserve">비공식 고용률 통계는 반영 전 확인(IBGE)</t>
  </si>
  <si>
    <t xml:space="preserve">공공부채·재정규칙과 고금리</t>
  </si>
  <si>
    <t xml:space="preserve">dívida pública, arcabouço fiscal, meta de resultado primário, Selic, previdência</t>
  </si>
  <si>
    <t xml:space="preserve">재정규칙의 지출 상한과 높은 기준금리 사이에서 연금·보건 지출이 늘어난다. Bruno가 숫자로 설명하고 Larissa가 되묻는다.</t>
  </si>
  <si>
    <r>
      <rPr>
        <sz val="10"/>
        <rFont val="Arial"/>
        <family val="0"/>
        <charset val="1"/>
      </rPr>
      <t xml:space="preserve">11</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초고소득 과세</t>
    </r>
    <r>
      <rPr>
        <sz val="10"/>
        <rFont val="Arial"/>
        <family val="0"/>
        <charset val="1"/>
      </rPr>
      <t xml:space="preserve">), 12</t>
    </r>
    <r>
      <rPr>
        <sz val="10"/>
        <rFont val="WenQuanYi Zen Hei"/>
        <family val="2"/>
      </rPr>
      <t xml:space="preserve">부 </t>
    </r>
    <r>
      <rPr>
        <sz val="10"/>
        <rFont val="Arial"/>
        <family val="0"/>
        <charset val="1"/>
      </rPr>
      <t xml:space="preserve">11·12</t>
    </r>
    <r>
      <rPr>
        <sz val="10"/>
        <rFont val="WenQuanYi Zen Hei"/>
        <family val="2"/>
      </rPr>
      <t xml:space="preserve">화</t>
    </r>
    <r>
      <rPr>
        <sz val="10"/>
        <rFont val="Arial"/>
        <family val="0"/>
        <charset val="1"/>
      </rPr>
      <t xml:space="preserve">(</t>
    </r>
    <r>
      <rPr>
        <sz val="10"/>
        <rFont val="WenQuanYi Zen Hei"/>
        <family val="2"/>
      </rPr>
      <t xml:space="preserve">예산안</t>
    </r>
    <r>
      <rPr>
        <sz val="10"/>
        <rFont val="Arial"/>
        <family val="0"/>
        <charset val="1"/>
      </rPr>
      <t xml:space="preserve">)</t>
    </r>
  </si>
  <si>
    <r>
      <rPr>
        <sz val="10"/>
        <rFont val="Arial"/>
        <family val="0"/>
        <charset val="1"/>
      </rPr>
      <t xml:space="preserve">12</t>
    </r>
    <r>
      <rPr>
        <sz val="10"/>
        <rFont val="WenQuanYi Zen Hei"/>
        <family val="2"/>
      </rPr>
      <t xml:space="preserve">부 </t>
    </r>
    <r>
      <rPr>
        <sz val="10"/>
        <rFont val="Arial"/>
        <family val="0"/>
        <charset val="1"/>
      </rPr>
      <t xml:space="preserve">9</t>
    </r>
    <r>
      <rPr>
        <sz val="10"/>
        <rFont val="WenQuanYi Zen Hei"/>
        <family val="2"/>
      </rPr>
      <t xml:space="preserve">화</t>
    </r>
  </si>
  <si>
    <r>
      <rPr>
        <sz val="10"/>
        <rFont val="Arial"/>
        <family val="0"/>
        <charset val="1"/>
      </rPr>
      <t xml:space="preserve">Bruno, Dom Pedro(</t>
    </r>
    <r>
      <rPr>
        <sz val="10"/>
        <rFont val="WenQuanYi Zen Hei"/>
        <family val="2"/>
      </rPr>
      <t xml:space="preserve">메모</t>
    </r>
    <r>
      <rPr>
        <sz val="10"/>
        <rFont val="Arial"/>
        <family val="0"/>
        <charset val="1"/>
      </rPr>
      <t xml:space="preserve">), Sérgio</t>
    </r>
  </si>
  <si>
    <t xml:space="preserve">연방·중앙은행</t>
  </si>
  <si>
    <t xml:space="preserve">재정규칙(LC 200/2023), 재정책임법(LC 101/2000), 예산(헌법 제165~166조)</t>
  </si>
  <si>
    <t xml:space="preserve">dívida, déficit, meta fiscal, juros, sustentabilidade</t>
  </si>
  <si>
    <t xml:space="preserve">긴축 vs 확대 양쪽 논거를 모두 숫자로 제시한다.</t>
  </si>
  <si>
    <t xml:space="preserve">일반정부 총부채 GDP 대비 약 78~80%, 기준금리 두 자릿수(중앙은행, 반영 전 확인)</t>
  </si>
  <si>
    <t xml:space="preserve">사회</t>
  </si>
  <si>
    <t xml:space="preserve">청년 고용 불안: 비공식·인턴 착취·PJ화</t>
  </si>
  <si>
    <t xml:space="preserve">estágio, informalidade, pejotização, nem-nem, salário mínimo</t>
  </si>
  <si>
    <t xml:space="preserve">인턴 계약과 앱 노동, PJ 계약으로 청년의 자립이 늦어진다. Larissa가 그 당사자이자 질문자다.</t>
  </si>
  <si>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4·6</t>
    </r>
    <r>
      <rPr>
        <sz val="10"/>
        <rFont val="WenQuanYi Zen Hei"/>
        <family val="2"/>
      </rPr>
      <t xml:space="preserve">화</t>
    </r>
  </si>
  <si>
    <r>
      <rPr>
        <sz val="10"/>
        <rFont val="Arial"/>
        <family val="0"/>
        <charset val="1"/>
      </rPr>
      <t xml:space="preserve">1</t>
    </r>
    <r>
      <rPr>
        <sz val="10"/>
        <rFont val="WenQuanYi Zen Hei"/>
        <family val="2"/>
      </rPr>
      <t xml:space="preserve">부</t>
    </r>
    <r>
      <rPr>
        <sz val="10"/>
        <rFont val="Arial"/>
        <family val="0"/>
        <charset val="1"/>
      </rPr>
      <t xml:space="preserve">(Larissa·Álvaro), 5</t>
    </r>
    <r>
      <rPr>
        <sz val="10"/>
        <rFont val="WenQuanYi Zen Hei"/>
        <family val="2"/>
      </rPr>
      <t xml:space="preserve">부</t>
    </r>
    <r>
      <rPr>
        <sz val="10"/>
        <rFont val="Arial"/>
        <family val="0"/>
        <charset val="1"/>
      </rPr>
      <t xml:space="preserve">(Juliana</t>
    </r>
    <r>
      <rPr>
        <sz val="10"/>
        <rFont val="WenQuanYi Zen Hei"/>
        <family val="2"/>
      </rPr>
      <t xml:space="preserve">의 인력 감축</t>
    </r>
    <r>
      <rPr>
        <sz val="10"/>
        <rFont val="Arial"/>
        <family val="0"/>
        <charset val="1"/>
      </rPr>
      <t xml:space="preserve">), 8</t>
    </r>
    <r>
      <rPr>
        <sz val="10"/>
        <rFont val="WenQuanYi Zen Hei"/>
        <family val="2"/>
      </rPr>
      <t xml:space="preserve">부</t>
    </r>
    <r>
      <rPr>
        <sz val="10"/>
        <rFont val="Arial"/>
        <family val="0"/>
        <charset val="1"/>
      </rPr>
      <t xml:space="preserve">, 10</t>
    </r>
    <r>
      <rPr>
        <sz val="10"/>
        <rFont val="WenQuanYi Zen Hei"/>
        <family val="2"/>
      </rPr>
      <t xml:space="preserve">부 </t>
    </r>
    <r>
      <rPr>
        <sz val="10"/>
        <rFont val="Arial"/>
        <family val="0"/>
        <charset val="1"/>
      </rPr>
      <t xml:space="preserve">3</t>
    </r>
    <r>
      <rPr>
        <sz val="10"/>
        <rFont val="WenQuanYi Zen Hei"/>
        <family val="2"/>
      </rPr>
      <t xml:space="preserve">화</t>
    </r>
  </si>
  <si>
    <t xml:space="preserve">Larissa, Edson, Juliana</t>
  </si>
  <si>
    <t xml:space="preserve">연방(노동법)·사회적 대화</t>
  </si>
  <si>
    <t xml:space="preserve">인턴법(Lei 11.788/2008), 노동법(CLT), 청년 견습(Lei 10.097/2000)</t>
  </si>
  <si>
    <t xml:space="preserve">estágio, carteira assinada, bico, precariedade, nem-nem</t>
  </si>
  <si>
    <t xml:space="preserve">청년 vs 기성세대 구도로 몰지 않는다(Edson도 Dom Pedro도 청년의 편에서 돕는다).</t>
  </si>
  <si>
    <r>
      <rPr>
        <sz val="10"/>
        <rFont val="Arial"/>
        <family val="0"/>
        <charset val="1"/>
      </rPr>
      <t xml:space="preserve">18~24</t>
    </r>
    <r>
      <rPr>
        <sz val="10"/>
        <rFont val="WenQuanYi Zen Hei"/>
        <family val="2"/>
      </rPr>
      <t xml:space="preserve">세 실업률은 전체의 약 </t>
    </r>
    <r>
      <rPr>
        <sz val="10"/>
        <rFont val="Arial"/>
        <family val="0"/>
        <charset val="1"/>
      </rPr>
      <t xml:space="preserve">2</t>
    </r>
    <r>
      <rPr>
        <sz val="10"/>
        <rFont val="WenQuanYi Zen Hei"/>
        <family val="2"/>
      </rPr>
      <t xml:space="preserve">배</t>
    </r>
    <r>
      <rPr>
        <sz val="10"/>
        <rFont val="Arial"/>
        <family val="0"/>
        <charset val="1"/>
      </rPr>
      <t xml:space="preserve">(IBGE PNAD Contínua, </t>
    </r>
    <r>
      <rPr>
        <sz val="10"/>
        <rFont val="WenQuanYi Zen Hei"/>
        <family val="2"/>
      </rPr>
      <t xml:space="preserve">반영 전 확인</t>
    </r>
    <r>
      <rPr>
        <sz val="10"/>
        <rFont val="Arial"/>
        <family val="0"/>
        <charset val="1"/>
      </rPr>
      <t xml:space="preserve">)</t>
    </r>
  </si>
  <si>
    <t xml:space="preserve">이주민·난민 수용과 노동 착취</t>
  </si>
  <si>
    <t xml:space="preserve">imigrante, refugiado, acolhida, interiorização, trabalho análogo à escravidão</t>
  </si>
  <si>
    <r>
      <rPr>
        <sz val="10"/>
        <rFont val="Arial"/>
        <family val="0"/>
        <charset val="1"/>
      </rPr>
      <t xml:space="preserve">Brás</t>
    </r>
    <r>
      <rPr>
        <sz val="10"/>
        <rFont val="WenQuanYi Zen Hei"/>
        <family val="2"/>
      </rPr>
      <t xml:space="preserve">의 봉제 공장에는 서류 없는 볼리비아</t>
    </r>
    <r>
      <rPr>
        <sz val="10"/>
        <rFont val="Arial"/>
        <family val="0"/>
        <charset val="1"/>
      </rPr>
      <t xml:space="preserve">·</t>
    </r>
    <r>
      <rPr>
        <sz val="10"/>
        <rFont val="WenQuanYi Zen Hei"/>
        <family val="2"/>
      </rPr>
      <t xml:space="preserve">파라과이 출신 노동자가</t>
    </r>
    <r>
      <rPr>
        <sz val="10"/>
        <rFont val="Arial"/>
        <family val="0"/>
        <charset val="1"/>
      </rPr>
      <t xml:space="preserve">, </t>
    </r>
    <r>
      <rPr>
        <sz val="10"/>
        <rFont val="WenQuanYi Zen Hei"/>
        <family val="2"/>
      </rPr>
      <t xml:space="preserve">북부 국경에는 베네수엘라 난민이 몰린다</t>
    </r>
    <r>
      <rPr>
        <sz val="10"/>
        <rFont val="Arial"/>
        <family val="0"/>
        <charset val="1"/>
      </rPr>
      <t xml:space="preserve">. </t>
    </r>
    <r>
      <rPr>
        <sz val="10"/>
        <rFont val="WenQuanYi Zen Hei"/>
        <family val="2"/>
      </rPr>
      <t xml:space="preserve">쉼터 과부하와 주 간 떠넘기기</t>
    </r>
    <r>
      <rPr>
        <sz val="10"/>
        <rFont val="Arial"/>
        <family val="0"/>
        <charset val="1"/>
      </rPr>
      <t xml:space="preserve">, </t>
    </r>
    <r>
      <rPr>
        <sz val="10"/>
        <rFont val="WenQuanYi Zen Hei"/>
        <family val="2"/>
      </rPr>
      <t xml:space="preserve">봉제 공장의 노예 노동 유사 조건</t>
    </r>
    <r>
      <rPr>
        <sz val="10"/>
        <rFont val="Arial"/>
        <family val="0"/>
        <charset val="1"/>
      </rPr>
      <t xml:space="preserve">.</t>
    </r>
  </si>
  <si>
    <r>
      <rPr>
        <sz val="10"/>
        <rFont val="Arial"/>
        <family val="0"/>
        <charset val="1"/>
      </rPr>
      <t xml:space="preserve">6</t>
    </r>
    <r>
      <rPr>
        <sz val="10"/>
        <rFont val="WenQuanYi Zen Hei"/>
        <family val="2"/>
      </rPr>
      <t xml:space="preserve">부 </t>
    </r>
    <r>
      <rPr>
        <sz val="10"/>
        <rFont val="Arial"/>
        <family val="0"/>
        <charset val="1"/>
      </rPr>
      <t xml:space="preserve">8·9</t>
    </r>
    <r>
      <rPr>
        <sz val="10"/>
        <rFont val="WenQuanYi Zen Hei"/>
        <family val="2"/>
      </rPr>
      <t xml:space="preserve">화</t>
    </r>
    <r>
      <rPr>
        <sz val="10"/>
        <rFont val="Arial"/>
        <family val="0"/>
        <charset val="1"/>
      </rPr>
      <t xml:space="preserve">(</t>
    </r>
    <r>
      <rPr>
        <sz val="10"/>
        <rFont val="WenQuanYi Zen Hei"/>
        <family val="2"/>
      </rPr>
      <t xml:space="preserve">퇴거 저지</t>
    </r>
    <r>
      <rPr>
        <sz val="10"/>
        <rFont val="Arial"/>
        <family val="0"/>
        <charset val="1"/>
      </rPr>
      <t xml:space="preserve">·</t>
    </r>
    <r>
      <rPr>
        <sz val="10"/>
        <rFont val="WenQuanYi Zen Hei"/>
        <family val="2"/>
      </rPr>
      <t xml:space="preserve">서류 없는 이웃</t>
    </r>
    <r>
      <rPr>
        <sz val="10"/>
        <rFont val="Arial"/>
        <family val="0"/>
        <charset val="1"/>
      </rPr>
      <t xml:space="preserve">), 7</t>
    </r>
    <r>
      <rPr>
        <sz val="10"/>
        <rFont val="WenQuanYi Zen Hei"/>
        <family val="2"/>
      </rPr>
      <t xml:space="preserve">부 </t>
    </r>
    <r>
      <rPr>
        <sz val="10"/>
        <rFont val="Arial"/>
        <family val="0"/>
        <charset val="1"/>
      </rPr>
      <t xml:space="preserve">4</t>
    </r>
    <r>
      <rPr>
        <sz val="10"/>
        <rFont val="WenQuanYi Zen Hei"/>
        <family val="2"/>
      </rPr>
      <t xml:space="preserve">화</t>
    </r>
    <r>
      <rPr>
        <sz val="10"/>
        <rFont val="Arial"/>
        <family val="0"/>
        <charset val="1"/>
      </rPr>
      <t xml:space="preserve">(</t>
    </r>
    <r>
      <rPr>
        <sz val="10"/>
        <rFont val="WenQuanYi Zen Hei"/>
        <family val="2"/>
      </rPr>
      <t xml:space="preserve">체류 허가</t>
    </r>
    <r>
      <rPr>
        <sz val="10"/>
        <rFont val="Arial"/>
        <family val="0"/>
        <charset val="1"/>
      </rPr>
      <t xml:space="preserve">·</t>
    </r>
    <r>
      <rPr>
        <sz val="10"/>
        <rFont val="WenQuanYi Zen Hei"/>
        <family val="2"/>
      </rPr>
      <t xml:space="preserve">노동 착취</t>
    </r>
    <r>
      <rPr>
        <sz val="10"/>
        <rFont val="Arial"/>
        <family val="0"/>
        <charset val="1"/>
      </rPr>
      <t xml:space="preserve">), 11</t>
    </r>
    <r>
      <rPr>
        <sz val="10"/>
        <rFont val="WenQuanYi Zen Hei"/>
        <family val="2"/>
      </rPr>
      <t xml:space="preserve">부 </t>
    </r>
    <r>
      <rPr>
        <sz val="10"/>
        <rFont val="Arial"/>
        <family val="0"/>
        <charset val="1"/>
      </rPr>
      <t xml:space="preserve">5</t>
    </r>
    <r>
      <rPr>
        <sz val="10"/>
        <rFont val="WenQuanYi Zen Hei"/>
        <family val="2"/>
      </rPr>
      <t xml:space="preserve">화 분담</t>
    </r>
  </si>
  <si>
    <r>
      <rPr>
        <sz val="10"/>
        <rFont val="Arial"/>
        <family val="0"/>
        <charset val="1"/>
      </rPr>
      <t xml:space="preserve">1</t>
    </r>
    <r>
      <rPr>
        <sz val="10"/>
        <rFont val="WenQuanYi Zen Hei"/>
        <family val="2"/>
      </rPr>
      <t xml:space="preserve">부 </t>
    </r>
    <r>
      <rPr>
        <sz val="10"/>
        <rFont val="Arial"/>
        <family val="0"/>
        <charset val="1"/>
      </rPr>
      <t xml:space="preserve">7~8</t>
    </r>
    <r>
      <rPr>
        <sz val="10"/>
        <rFont val="WenQuanYi Zen Hei"/>
        <family val="2"/>
      </rPr>
      <t xml:space="preserve">화</t>
    </r>
    <r>
      <rPr>
        <sz val="10"/>
        <rFont val="Arial"/>
        <family val="0"/>
        <charset val="1"/>
      </rPr>
      <t xml:space="preserve">, 3</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서류 없는 환자</t>
    </r>
    <r>
      <rPr>
        <sz val="10"/>
        <rFont val="Arial"/>
        <family val="0"/>
        <charset val="1"/>
      </rPr>
      <t xml:space="preserve">), 8</t>
    </r>
    <r>
      <rPr>
        <sz val="10"/>
        <rFont val="WenQuanYi Zen Hei"/>
        <family val="2"/>
      </rPr>
      <t xml:space="preserve">부</t>
    </r>
    <r>
      <rPr>
        <sz val="10"/>
        <rFont val="Arial"/>
        <family val="0"/>
        <charset val="1"/>
      </rPr>
      <t xml:space="preserve">(</t>
    </r>
    <r>
      <rPr>
        <sz val="10"/>
        <rFont val="WenQuanYi Zen Hei"/>
        <family val="2"/>
      </rPr>
      <t xml:space="preserve">투표권 없는 이웃</t>
    </r>
    <r>
      <rPr>
        <sz val="10"/>
        <rFont val="Arial"/>
        <family val="0"/>
        <charset val="1"/>
      </rPr>
      <t xml:space="preserve">), 10</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 12</t>
    </r>
    <r>
      <rPr>
        <sz val="10"/>
        <rFont val="WenQuanYi Zen Hei"/>
        <family val="2"/>
      </rPr>
      <t xml:space="preserve">부</t>
    </r>
  </si>
  <si>
    <t xml:space="preserve">Marta, Camila, Rafael, Edson, Isabel</t>
  </si>
  <si>
    <t xml:space="preserve">연방(이민·국경), 주·시(쉼터·아동 보호)</t>
  </si>
  <si>
    <t xml:space="preserve">이민법(Lei 13.445/2017), 난민법(Lei 9.474/1997), 형법 제149조(노예 노동 유사 조건)</t>
  </si>
  <si>
    <t xml:space="preserve">autorização de residência, refúgio, acolhida, oficina de costura</t>
  </si>
  <si>
    <t xml:space="preserve">반이민 여론(HU)과 수용 부담 지역의 실제 어려움을 함께 담고, 이주민을 배경이 아닌 화자로 세운다.</t>
  </si>
  <si>
    <t xml:space="preserve">국경 수용·분산 정책의 현재 규모 확인</t>
  </si>
  <si>
    <t xml:space="preserve">고령화와 지역 의료 격차</t>
  </si>
  <si>
    <t xml:space="preserve">envelhecimento, SUS, fila de espera, vazio assistencial, Mais Médicos</t>
  </si>
  <si>
    <t xml:space="preserve">상파울루 외곽 보건소가 문을 닫고 시는 병원 위탁을 늘린다(9부). Zumbi가 캠프를 이끌며 지나가는 내륙·북동부 마을에는 의사가 없고, 일자리·의료·연금 문제가 되풀이된다(10부).</t>
  </si>
  <si>
    <r>
      <rPr>
        <sz val="10"/>
        <rFont val="Arial"/>
        <family val="0"/>
        <charset val="1"/>
      </rPr>
      <t xml:space="preserve">9</t>
    </r>
    <r>
      <rPr>
        <sz val="10"/>
        <rFont val="WenQuanYi Zen Hei"/>
        <family val="2"/>
      </rPr>
      <t xml:space="preserve">부 </t>
    </r>
    <r>
      <rPr>
        <sz val="10"/>
        <rFont val="Arial"/>
        <family val="0"/>
        <charset val="1"/>
      </rPr>
      <t xml:space="preserve">7</t>
    </r>
    <r>
      <rPr>
        <sz val="10"/>
        <rFont val="WenQuanYi Zen Hei"/>
        <family val="2"/>
      </rPr>
      <t xml:space="preserve">화 시의회의 보건</t>
    </r>
  </si>
  <si>
    <r>
      <rPr>
        <sz val="10"/>
        <rFont val="Arial"/>
        <family val="0"/>
        <charset val="1"/>
      </rPr>
      <t xml:space="preserve">3</t>
    </r>
    <r>
      <rPr>
        <sz val="10"/>
        <rFont val="WenQuanYi Zen Hei"/>
        <family val="2"/>
      </rPr>
      <t xml:space="preserve">부</t>
    </r>
    <r>
      <rPr>
        <sz val="10"/>
        <rFont val="Arial"/>
        <family val="0"/>
        <charset val="1"/>
      </rPr>
      <t xml:space="preserve">(</t>
    </r>
    <r>
      <rPr>
        <sz val="10"/>
        <rFont val="WenQuanYi Zen Hei"/>
        <family val="2"/>
      </rPr>
      <t xml:space="preserve">응급실 고령 환자</t>
    </r>
    <r>
      <rPr>
        <sz val="10"/>
        <rFont val="Arial"/>
        <family val="0"/>
        <charset val="1"/>
      </rPr>
      <t xml:space="preserve">), 10</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t>
    </r>
    <r>
      <rPr>
        <sz val="10"/>
        <rFont val="WenQuanYi Zen Hei"/>
        <family val="2"/>
      </rPr>
      <t xml:space="preserve">의사 없는 마을</t>
    </r>
    <r>
      <rPr>
        <sz val="10"/>
        <rFont val="Arial"/>
        <family val="0"/>
        <charset val="1"/>
      </rPr>
      <t xml:space="preserve">), 11</t>
    </r>
    <r>
      <rPr>
        <sz val="10"/>
        <rFont val="WenQuanYi Zen Hei"/>
        <family val="2"/>
      </rPr>
      <t xml:space="preserve">부 </t>
    </r>
    <r>
      <rPr>
        <sz val="10"/>
        <rFont val="Arial"/>
        <family val="0"/>
        <charset val="1"/>
      </rPr>
      <t xml:space="preserve">4</t>
    </r>
    <r>
      <rPr>
        <sz val="10"/>
        <rFont val="WenQuanYi Zen Hei"/>
        <family val="2"/>
      </rPr>
      <t xml:space="preserve">화</t>
    </r>
    <r>
      <rPr>
        <sz val="10"/>
        <rFont val="Arial"/>
        <family val="0"/>
        <charset val="1"/>
      </rPr>
      <t xml:space="preserve">, 12</t>
    </r>
    <r>
      <rPr>
        <sz val="10"/>
        <rFont val="WenQuanYi Zen Hei"/>
        <family val="2"/>
      </rPr>
      <t xml:space="preserve">부</t>
    </r>
  </si>
  <si>
    <t xml:space="preserve">Zumbi, Camila, Larissa</t>
  </si>
  <si>
    <t xml:space="preserve">시·주·연방(SUS 3자 분담)</t>
  </si>
  <si>
    <r>
      <rPr>
        <sz val="10"/>
        <rFont val="Noto Sans CJK SC"/>
        <family val="2"/>
        <charset val="1"/>
      </rPr>
      <t xml:space="preserve">SUS </t>
    </r>
    <r>
      <rPr>
        <sz val="10"/>
        <rFont val="WenQuanYi Zen Hei"/>
        <family val="2"/>
      </rPr>
      <t xml:space="preserve">기본법</t>
    </r>
    <r>
      <rPr>
        <sz val="10"/>
        <rFont val="Noto Sans CJK SC"/>
        <family val="2"/>
        <charset val="1"/>
      </rPr>
      <t xml:space="preserve">(Lei 8.080/1990), </t>
    </r>
    <r>
      <rPr>
        <sz val="10"/>
        <rFont val="WenQuanYi Zen Hei"/>
        <family val="2"/>
      </rPr>
      <t xml:space="preserve">의사 파견</t>
    </r>
    <r>
      <rPr>
        <sz val="10"/>
        <rFont val="Noto Sans CJK SC"/>
        <family val="2"/>
        <charset val="1"/>
      </rPr>
      <t xml:space="preserve">(Lei 12.871/2013), </t>
    </r>
    <r>
      <rPr>
        <sz val="10"/>
        <rFont val="WenQuanYi Zen Hei"/>
        <family val="2"/>
      </rPr>
      <t xml:space="preserve">노인법</t>
    </r>
    <r>
      <rPr>
        <sz val="10"/>
        <rFont val="Noto Sans CJK SC"/>
        <family val="2"/>
        <charset val="1"/>
      </rPr>
      <t xml:space="preserve">(Lei 10.741/2003)</t>
    </r>
  </si>
  <si>
    <t xml:space="preserve">envelhecimento, fila, posto de saúde, médico de família</t>
  </si>
  <si>
    <r>
      <rPr>
        <sz val="10"/>
        <rFont val="Arial"/>
        <family val="0"/>
        <charset val="1"/>
      </rPr>
      <t xml:space="preserve">'</t>
    </r>
    <r>
      <rPr>
        <sz val="10"/>
        <rFont val="WenQuanYi Zen Hei"/>
        <family val="2"/>
      </rPr>
      <t xml:space="preserve">외딴 마을</t>
    </r>
    <r>
      <rPr>
        <sz val="10"/>
        <rFont val="Arial"/>
        <family val="0"/>
        <charset val="1"/>
      </rPr>
      <t xml:space="preserve">'</t>
    </r>
    <r>
      <rPr>
        <sz val="10"/>
        <rFont val="WenQuanYi Zen Hei"/>
        <family val="2"/>
      </rPr>
      <t xml:space="preserve">을 동정하지 않고 마을 사람들이 직접 말하게 한다</t>
    </r>
    <r>
      <rPr>
        <sz val="10"/>
        <rFont val="Arial"/>
        <family val="0"/>
        <charset val="1"/>
      </rPr>
      <t xml:space="preserve">.</t>
    </r>
  </si>
  <si>
    <t xml:space="preserve">인구·고령화 통계는 반영 전 확인(IBGE)</t>
  </si>
  <si>
    <t xml:space="preserve">폭염·가뭄과 에너지 전환 부담</t>
  </si>
  <si>
    <t xml:space="preserve">onda de calor, seca, estiagem, crise hídrica, queimadas, transição energética</t>
  </si>
  <si>
    <t xml:space="preserve">폭염에 응급실이 넘치고(3부), 저수지가 마른 마을을 지나며(10부), 산불 연기가 도시를 덮는다. 초고소득 과세 재원을 전환 비용에 쓸지 논쟁한다(11부).</t>
  </si>
  <si>
    <r>
      <rPr>
        <sz val="10"/>
        <rFont val="Arial"/>
        <family val="0"/>
        <charset val="1"/>
      </rPr>
      <t xml:space="preserve">3</t>
    </r>
    <r>
      <rPr>
        <sz val="10"/>
        <rFont val="WenQuanYi Zen Hei"/>
        <family val="2"/>
      </rPr>
      <t xml:space="preserve">부 </t>
    </r>
    <r>
      <rPr>
        <sz val="10"/>
        <rFont val="Arial"/>
        <family val="0"/>
        <charset val="1"/>
      </rPr>
      <t xml:space="preserve">3·10</t>
    </r>
    <r>
      <rPr>
        <sz val="10"/>
        <rFont val="WenQuanYi Zen Hei"/>
        <family val="2"/>
      </rPr>
      <t xml:space="preserve">화</t>
    </r>
    <r>
      <rPr>
        <sz val="10"/>
        <rFont val="Arial"/>
        <family val="0"/>
        <charset val="1"/>
      </rPr>
      <t xml:space="preserve">(</t>
    </r>
    <r>
      <rPr>
        <sz val="10"/>
        <rFont val="WenQuanYi Zen Hei"/>
        <family val="2"/>
      </rPr>
      <t xml:space="preserve">폭염 응급실</t>
    </r>
    <r>
      <rPr>
        <sz val="10"/>
        <rFont val="Arial"/>
        <family val="0"/>
        <charset val="1"/>
      </rPr>
      <t xml:space="preserve">)</t>
    </r>
  </si>
  <si>
    <r>
      <rPr>
        <sz val="10"/>
        <rFont val="Arial"/>
        <family val="0"/>
        <charset val="1"/>
      </rPr>
      <t xml:space="preserve">10</t>
    </r>
    <r>
      <rPr>
        <sz val="10"/>
        <rFont val="WenQuanYi Zen Hei"/>
        <family val="2"/>
      </rPr>
      <t xml:space="preserve">부 </t>
    </r>
    <r>
      <rPr>
        <sz val="10"/>
        <rFont val="Arial"/>
        <family val="0"/>
        <charset val="1"/>
      </rPr>
      <t xml:space="preserve">2</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4·8·11</t>
    </r>
    <r>
      <rPr>
        <sz val="10"/>
        <rFont val="WenQuanYi Zen Hei"/>
        <family val="2"/>
      </rPr>
      <t xml:space="preserve">화</t>
    </r>
    <r>
      <rPr>
        <sz val="10"/>
        <rFont val="Arial"/>
        <family val="0"/>
        <charset val="1"/>
      </rPr>
      <t xml:space="preserve">, 12</t>
    </r>
    <r>
      <rPr>
        <sz val="10"/>
        <rFont val="WenQuanYi Zen Hei"/>
        <family val="2"/>
      </rPr>
      <t xml:space="preserve">부</t>
    </r>
  </si>
  <si>
    <t xml:space="preserve">Camila, Zumbi, Bruno</t>
  </si>
  <si>
    <t xml:space="preserve">연방·주·유역위원회</t>
  </si>
  <si>
    <t xml:space="preserve">기후변화 국가정책(Lei 12.187/2009), 수자원법(Lei 9.433/1997)</t>
  </si>
  <si>
    <t xml:space="preserve">seca, onda de calor, INMET, reservatório, transição energética</t>
  </si>
  <si>
    <t xml:space="preserve">기후를 정치적 구호로 쓰지 않고 현장 사건으로 보여 준다.</t>
  </si>
  <si>
    <t xml:space="preserve">최신 가뭄·폭염 통계 확인(INMET·Cemaden)</t>
  </si>
  <si>
    <t xml:space="preserve">N1</t>
  </si>
  <si>
    <t xml:space="preserve">재난</t>
  </si>
  <si>
    <t xml:space="preserve">대홍수와 방재 체계</t>
  </si>
  <si>
    <t xml:space="preserve">enchente, chuva extrema, alerta, Defesa Civil, calamidade pública, desabrigados</t>
  </si>
  <si>
    <t xml:space="preserve">남부에 가상의 폭우·대홍수가 덮친다. 경보 지연, 주–연방 책임 공방, 공공재난사태 인정, 군 투입, 이재민 쉼터와 복구 재원.</t>
  </si>
  <si>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 </t>
    </r>
    <r>
      <rPr>
        <sz val="10"/>
        <rFont val="Arial"/>
        <family val="0"/>
        <charset val="1"/>
      </rPr>
      <t xml:space="preserve">As águas</t>
    </r>
  </si>
  <si>
    <r>
      <rPr>
        <sz val="10"/>
        <rFont val="Arial"/>
        <family val="0"/>
        <charset val="1"/>
      </rPr>
      <t xml:space="preserve">13</t>
    </r>
    <r>
      <rPr>
        <sz val="10"/>
        <rFont val="WenQuanYi Zen Hei"/>
        <family val="2"/>
      </rPr>
      <t xml:space="preserve">부</t>
    </r>
    <r>
      <rPr>
        <sz val="10"/>
        <rFont val="Arial"/>
        <family val="0"/>
        <charset val="1"/>
      </rPr>
      <t xml:space="preserve">(</t>
    </r>
    <r>
      <rPr>
        <sz val="10"/>
        <rFont val="WenQuanYi Zen Hei"/>
        <family val="2"/>
      </rPr>
      <t xml:space="preserve">복구 결산</t>
    </r>
    <r>
      <rPr>
        <sz val="10"/>
        <rFont val="Arial"/>
        <family val="0"/>
        <charset val="1"/>
      </rPr>
      <t xml:space="preserve">)</t>
    </r>
  </si>
  <si>
    <t xml:space="preserve">시·주(1차 대응), 연방(재난 인정·군·특별 예산)</t>
  </si>
  <si>
    <t xml:space="preserve">국가 민방위 정책(Lei 12.608/2012), 특별 예산(헌법 제167조 3항), 휴대전화 긴급 경보</t>
  </si>
  <si>
    <t xml:space="preserve">Defesa Civil, alerta, calamidade pública, desabrigados, reconstrução</t>
  </si>
  <si>
    <t xml:space="preserve">실제 참사와 희생자를 연상시키므로 추모의 톤을 지키고, 특정 정치인 비난 없이 제도의 공백을 보여 준다.</t>
  </si>
  <si>
    <r>
      <rPr>
        <sz val="10"/>
        <rFont val="Noto Sans CJK SC"/>
        <family val="2"/>
        <charset val="1"/>
      </rPr>
      <t xml:space="preserve">2024</t>
    </r>
    <r>
      <rPr>
        <sz val="10"/>
        <rFont val="WenQuanYi Zen Hei"/>
        <family val="2"/>
      </rPr>
      <t xml:space="preserve">년 남부 대홍수 이후 제도 변화</t>
    </r>
    <r>
      <rPr>
        <sz val="10"/>
        <rFont val="Noto Sans CJK SC"/>
        <family val="2"/>
        <charset val="1"/>
      </rPr>
      <t xml:space="preserve">(</t>
    </r>
    <r>
      <rPr>
        <sz val="10"/>
        <rFont val="WenQuanYi Zen Hei"/>
        <family val="2"/>
      </rPr>
      <t xml:space="preserve">부채 유예 등</t>
    </r>
    <r>
      <rPr>
        <sz val="10"/>
        <rFont val="Noto Sans CJK SC"/>
        <family val="2"/>
        <charset val="1"/>
      </rPr>
      <t xml:space="preserve">)</t>
    </r>
    <r>
      <rPr>
        <sz val="10"/>
        <rFont val="WenQuanYi Zen Hei"/>
        <family val="2"/>
      </rPr>
      <t xml:space="preserve">는 반영 전 확인</t>
    </r>
  </si>
  <si>
    <t xml:space="preserve">재정</t>
  </si>
  <si>
    <t xml:space="preserve">의원 예산 수정·특별 이전 예산의 불투명 집행</t>
  </si>
  <si>
    <t xml:space="preserve">emendas parlamentares, emendas Pix, transparência, licitação, execução</t>
  </si>
  <si>
    <t xml:space="preserve">연방 의원들이 시에 보낸 특별 이전 예산이 시 계약으로 흘러가 소수 업체가 독점하고, 행정 병목으로 일부는 집행조차 못 한다. Bruno·Sérgio가 자금 흐름을 추적한다.</t>
  </si>
  <si>
    <r>
      <rPr>
        <sz val="10"/>
        <rFont val="Arial"/>
        <family val="0"/>
        <charset val="1"/>
      </rPr>
      <t xml:space="preserve">9</t>
    </r>
    <r>
      <rPr>
        <sz val="10"/>
        <rFont val="WenQuanYi Zen Hei"/>
        <family val="2"/>
      </rPr>
      <t xml:space="preserve">부 </t>
    </r>
    <r>
      <rPr>
        <sz val="10"/>
        <rFont val="Arial"/>
        <family val="0"/>
        <charset val="1"/>
      </rPr>
      <t xml:space="preserve">4</t>
    </r>
    <r>
      <rPr>
        <sz val="10"/>
        <rFont val="WenQuanYi Zen Hei"/>
        <family val="2"/>
      </rPr>
      <t xml:space="preserve">화 돋보기 아래의 계약들</t>
    </r>
  </si>
  <si>
    <r>
      <rPr>
        <sz val="10"/>
        <rFont val="Arial"/>
        <family val="0"/>
        <charset val="1"/>
      </rPr>
      <t xml:space="preserve">11</t>
    </r>
    <r>
      <rPr>
        <sz val="10"/>
        <rFont val="WenQuanYi Zen Hei"/>
        <family val="2"/>
      </rPr>
      <t xml:space="preserve">부 </t>
    </r>
    <r>
      <rPr>
        <sz val="10"/>
        <rFont val="Arial"/>
        <family val="0"/>
        <charset val="1"/>
      </rPr>
      <t xml:space="preserve">9</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12</t>
    </r>
    <r>
      <rPr>
        <sz val="10"/>
        <rFont val="WenQuanYi Zen Hei"/>
        <family val="2"/>
      </rPr>
      <t xml:space="preserve">화</t>
    </r>
  </si>
  <si>
    <t xml:space="preserve">Bruno, Sérgio, Juliana</t>
  </si>
  <si>
    <t xml:space="preserve">연방의회·시·연방감사원(TCU)</t>
  </si>
  <si>
    <t xml:space="preserve">예산 수정 규정(헌법 제166조), 공공조달법(Lei 14.133/2021), 연방대법원의 투명성 결정(2024)</t>
  </si>
  <si>
    <t xml:space="preserve">emenda, transferência especial, licitação, rastreabilidade</t>
  </si>
  <si>
    <r>
      <rPr>
        <sz val="10"/>
        <rFont val="Arial"/>
        <family val="0"/>
        <charset val="1"/>
      </rPr>
      <t xml:space="preserve">'</t>
    </r>
    <r>
      <rPr>
        <sz val="10"/>
        <rFont val="WenQuanYi Zen Hei"/>
        <family val="2"/>
      </rPr>
      <t xml:space="preserve">의원 예산은 전부 낭비</t>
    </r>
    <r>
      <rPr>
        <sz val="10"/>
        <rFont val="Arial"/>
        <family val="0"/>
        <charset val="1"/>
      </rPr>
      <t xml:space="preserve">'</t>
    </r>
    <r>
      <rPr>
        <sz val="10"/>
        <rFont val="WenQuanYi Zen Hei"/>
        <family val="2"/>
      </rPr>
      <t xml:space="preserve">라는 단정 대신 병목의 원인</t>
    </r>
    <r>
      <rPr>
        <sz val="10"/>
        <rFont val="Arial"/>
        <family val="0"/>
        <charset val="1"/>
      </rPr>
      <t xml:space="preserve">(</t>
    </r>
    <r>
      <rPr>
        <sz val="10"/>
        <rFont val="WenQuanYi Zen Hei"/>
        <family val="2"/>
      </rPr>
      <t xml:space="preserve">절차</t>
    </r>
    <r>
      <rPr>
        <sz val="10"/>
        <rFont val="Arial"/>
        <family val="0"/>
        <charset val="1"/>
      </rPr>
      <t xml:space="preserve">·</t>
    </r>
    <r>
      <rPr>
        <sz val="10"/>
        <rFont val="WenQuanYi Zen Hei"/>
        <family val="2"/>
      </rPr>
      <t xml:space="preserve">인력</t>
    </r>
    <r>
      <rPr>
        <sz val="10"/>
        <rFont val="Arial"/>
        <family val="0"/>
        <charset val="1"/>
      </rPr>
      <t xml:space="preserve">·</t>
    </r>
    <r>
      <rPr>
        <sz val="10"/>
        <rFont val="WenQuanYi Zen Hei"/>
        <family val="2"/>
      </rPr>
      <t xml:space="preserve">투명성</t>
    </r>
    <r>
      <rPr>
        <sz val="10"/>
        <rFont val="Arial"/>
        <family val="0"/>
        <charset val="1"/>
      </rPr>
      <t xml:space="preserve">)</t>
    </r>
    <r>
      <rPr>
        <sz val="10"/>
        <rFont val="WenQuanYi Zen Hei"/>
        <family val="2"/>
      </rPr>
      <t xml:space="preserve">을 나눠서 보여 준다</t>
    </r>
    <r>
      <rPr>
        <sz val="10"/>
        <rFont val="Arial"/>
        <family val="0"/>
        <charset val="1"/>
      </rPr>
      <t xml:space="preserve">.</t>
    </r>
  </si>
  <si>
    <t xml:space="preserve">투명성 규정의 최신 적용 상황 확인</t>
  </si>
  <si>
    <t xml:space="preserve">통상·외교</t>
  </si>
  <si>
    <r>
      <rPr>
        <sz val="10"/>
        <rFont val="Noto Sans CJK SC"/>
        <family val="2"/>
        <charset val="1"/>
      </rPr>
      <t xml:space="preserve">Mercosul–EU </t>
    </r>
    <r>
      <rPr>
        <sz val="10"/>
        <rFont val="WenQuanYi Zen Hei"/>
        <family val="2"/>
      </rPr>
      <t xml:space="preserve">협정과 관세 압박</t>
    </r>
  </si>
  <si>
    <t xml:space="preserve">acordo Mercosul-UE, salvaguardas, EUDR, tarifas, desmatamento</t>
  </si>
  <si>
    <r>
      <rPr>
        <sz val="10"/>
        <rFont val="Arial"/>
        <family val="0"/>
        <charset val="1"/>
      </rPr>
      <t xml:space="preserve">Mercosul–EU </t>
    </r>
    <r>
      <rPr>
        <sz val="10"/>
        <rFont val="WenQuanYi Zen Hei"/>
        <family val="2"/>
      </rPr>
      <t xml:space="preserve">협정 비준이 </t>
    </r>
    <r>
      <rPr>
        <sz val="10"/>
        <rFont val="Arial"/>
        <family val="0"/>
        <charset val="1"/>
      </rPr>
      <t xml:space="preserve">EU </t>
    </r>
    <r>
      <rPr>
        <sz val="10"/>
        <rFont val="WenQuanYi Zen Hei"/>
        <family val="2"/>
      </rPr>
      <t xml:space="preserve">농민 반발과 산림전용방지규정</t>
    </r>
    <r>
      <rPr>
        <sz val="10"/>
        <rFont val="Arial"/>
        <family val="0"/>
        <charset val="1"/>
      </rPr>
      <t xml:space="preserve">(EUDR)</t>
    </r>
    <r>
      <rPr>
        <sz val="10"/>
        <rFont val="WenQuanYi Zen Hei"/>
        <family val="2"/>
      </rPr>
      <t xml:space="preserve">에 걸리고</t>
    </r>
    <r>
      <rPr>
        <sz val="10"/>
        <rFont val="Arial"/>
        <family val="0"/>
        <charset val="1"/>
      </rPr>
      <t xml:space="preserve">, </t>
    </r>
    <r>
      <rPr>
        <sz val="10"/>
        <rFont val="WenQuanYi Zen Hei"/>
        <family val="2"/>
      </rPr>
      <t xml:space="preserve">북쪽의 관세 압박이 수출을 흔든다</t>
    </r>
    <r>
      <rPr>
        <sz val="10"/>
        <rFont val="Arial"/>
        <family val="0"/>
        <charset val="1"/>
      </rPr>
      <t xml:space="preserve">. Dom Pedro</t>
    </r>
    <r>
      <rPr>
        <sz val="10"/>
        <rFont val="WenQuanYi Zen Hei"/>
        <family val="2"/>
      </rPr>
      <t xml:space="preserve">가 </t>
    </r>
    <r>
      <rPr>
        <sz val="10"/>
        <rFont val="Arial"/>
        <family val="0"/>
        <charset val="1"/>
      </rPr>
      <t xml:space="preserve">11</t>
    </r>
    <r>
      <rPr>
        <sz val="10"/>
        <rFont val="WenQuanYi Zen Hei"/>
        <family val="2"/>
      </rPr>
      <t xml:space="preserve">부에서 직접 나서 위성 검증 방식의 이행 경로를 얻어내고</t>
    </r>
    <r>
      <rPr>
        <sz val="10"/>
        <rFont val="Arial"/>
        <family val="0"/>
        <charset val="1"/>
      </rPr>
      <t xml:space="preserve">, 12</t>
    </r>
    <r>
      <rPr>
        <sz val="10"/>
        <rFont val="WenQuanYi Zen Hei"/>
        <family val="2"/>
      </rPr>
      <t xml:space="preserve">부에서 그 경로를 예산에 반영하는 논쟁이 이어진다</t>
    </r>
    <r>
      <rPr>
        <sz val="10"/>
        <rFont val="Arial"/>
        <family val="0"/>
        <charset val="1"/>
      </rPr>
      <t xml:space="preserve">.</t>
    </r>
  </si>
  <si>
    <r>
      <rPr>
        <sz val="10"/>
        <rFont val="Arial"/>
        <family val="0"/>
        <charset val="1"/>
      </rPr>
      <t xml:space="preserve">11</t>
    </r>
    <r>
      <rPr>
        <sz val="10"/>
        <rFont val="WenQuanYi Zen Hei"/>
        <family val="2"/>
      </rPr>
      <t xml:space="preserve">부 </t>
    </r>
    <r>
      <rPr>
        <sz val="10"/>
        <rFont val="Arial"/>
        <family val="0"/>
        <charset val="1"/>
      </rPr>
      <t xml:space="preserve">9~11</t>
    </r>
    <r>
      <rPr>
        <sz val="10"/>
        <rFont val="WenQuanYi Zen Hei"/>
        <family val="2"/>
      </rPr>
      <t xml:space="preserve">화</t>
    </r>
    <r>
      <rPr>
        <sz val="10"/>
        <rFont val="Arial"/>
        <family val="0"/>
        <charset val="1"/>
      </rPr>
      <t xml:space="preserve">(Dom Pedro</t>
    </r>
    <r>
      <rPr>
        <sz val="10"/>
        <rFont val="WenQuanYi Zen Hei"/>
        <family val="2"/>
      </rPr>
      <t xml:space="preserve">의 직접 협상</t>
    </r>
    <r>
      <rPr>
        <sz val="10"/>
        <rFont val="Arial"/>
        <family val="0"/>
        <charset val="1"/>
      </rPr>
      <t xml:space="preserve">), 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t>
    </r>
    <r>
      <rPr>
        <sz val="10"/>
        <rFont val="WenQuanYi Zen Hei"/>
        <family val="2"/>
      </rPr>
      <t xml:space="preserve">사망</t>
    </r>
    <r>
      <rPr>
        <sz val="10"/>
        <rFont val="Arial"/>
        <family val="0"/>
        <charset val="1"/>
      </rPr>
      <t xml:space="preserve">)</t>
    </r>
  </si>
  <si>
    <r>
      <rPr>
        <sz val="10"/>
        <rFont val="Arial"/>
        <family val="0"/>
        <charset val="1"/>
      </rPr>
      <t xml:space="preserve">10</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(TV </t>
    </r>
    <r>
      <rPr>
        <sz val="10"/>
        <rFont val="WenQuanYi Zen Hei"/>
        <family val="2"/>
      </rPr>
      <t xml:space="preserve">토론</t>
    </r>
    <r>
      <rPr>
        <sz val="10"/>
        <rFont val="Arial"/>
        <family val="0"/>
        <charset val="1"/>
      </rPr>
      <t xml:space="preserve">), 12</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t>
    </r>
    <r>
      <rPr>
        <sz val="10"/>
        <rFont val="WenQuanYi Zen Hei"/>
        <family val="2"/>
      </rPr>
      <t xml:space="preserve">후속 협상</t>
    </r>
    <r>
      <rPr>
        <sz val="10"/>
        <rFont val="Arial"/>
        <family val="0"/>
        <charset val="1"/>
      </rPr>
      <t xml:space="preserve">), 12</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t>
    </r>
    <r>
      <rPr>
        <sz val="10"/>
        <rFont val="WenQuanYi Zen Hei"/>
        <family val="2"/>
      </rPr>
      <t xml:space="preserve">예산 반영</t>
    </r>
    <r>
      <rPr>
        <sz val="10"/>
        <rFont val="Arial"/>
        <family val="0"/>
        <charset val="1"/>
      </rPr>
      <t xml:space="preserve">)</t>
    </r>
  </si>
  <si>
    <t xml:space="preserve">Dom Pedro, Bruno, Machado, Zumbi, Rafael</t>
  </si>
  <si>
    <t xml:space="preserve">연방·Mercosul·EU</t>
  </si>
  <si>
    <t xml:space="preserve">조약 비준(헌법 제49조 I), EUDR(규정 2023/1115), 위성 산림 감시(INPE)</t>
  </si>
  <si>
    <t xml:space="preserve">acordo, ratificação, salvaguarda, desmatamento, tarifa</t>
  </si>
  <si>
    <t xml:space="preserve">수출 농업계와 환경·원주민 측 두 입장을 모두 설득력 있게 들려준다.</t>
  </si>
  <si>
    <t xml:space="preserve">협정 서명·비준 단계와 EUDR 시행 일정은 최근 변동이 잦음(반영 전 확인)</t>
  </si>
  <si>
    <t xml:space="preserve">젠더</t>
  </si>
  <si>
    <t xml:space="preserve">젠더 폭력과 부모소외법 논란</t>
  </si>
  <si>
    <t xml:space="preserve">alienação parental, guarda, violência doméstica, Lei Maria da Penha, medida protetiva</t>
  </si>
  <si>
    <t xml:space="preserve">자녀 보호를 위해 만든 부모소외법이 학대를 신고한 어머니에게서 양육권을 빼앗는 데 쓰인다는 비판. 사무소가 피해자 사건을 돕고 Rafael은 좋은 뜻의 나쁜 법을 마주한다.</t>
  </si>
  <si>
    <r>
      <rPr>
        <sz val="10"/>
        <rFont val="Arial"/>
        <family val="0"/>
        <charset val="1"/>
      </rPr>
      <t xml:space="preserve">7</t>
    </r>
    <r>
      <rPr>
        <sz val="10"/>
        <rFont val="WenQuanYi Zen Hei"/>
        <family val="2"/>
      </rPr>
      <t xml:space="preserve">부 </t>
    </r>
    <r>
      <rPr>
        <sz val="10"/>
        <rFont val="Arial"/>
        <family val="0"/>
        <charset val="1"/>
      </rPr>
      <t xml:space="preserve">3</t>
    </r>
    <r>
      <rPr>
        <sz val="10"/>
        <rFont val="WenQuanYi Zen Hei"/>
        <family val="2"/>
      </rPr>
      <t xml:space="preserve">화 피해자를 벌한 법</t>
    </r>
  </si>
  <si>
    <r>
      <rPr>
        <sz val="10"/>
        <rFont val="Arial"/>
        <family val="0"/>
        <charset val="1"/>
      </rPr>
      <t xml:space="preserve">8</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성별 할당</t>
    </r>
    <r>
      <rPr>
        <sz val="10"/>
        <rFont val="Arial"/>
        <family val="0"/>
        <charset val="1"/>
      </rPr>
      <t xml:space="preserve">·</t>
    </r>
    <r>
      <rPr>
        <sz val="10"/>
        <rFont val="WenQuanYi Zen Hei"/>
        <family val="2"/>
      </rPr>
      <t xml:space="preserve">유령 후보</t>
    </r>
    <r>
      <rPr>
        <sz val="10"/>
        <rFont val="Arial"/>
        <family val="0"/>
        <charset val="1"/>
      </rPr>
      <t xml:space="preserve">), 10</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(TV </t>
    </r>
    <r>
      <rPr>
        <sz val="10"/>
        <rFont val="WenQuanYi Zen Hei"/>
        <family val="2"/>
      </rPr>
      <t xml:space="preserve">토론</t>
    </r>
    <r>
      <rPr>
        <sz val="10"/>
        <rFont val="Arial"/>
        <family val="0"/>
        <charset val="1"/>
      </rPr>
      <t xml:space="preserve">)</t>
    </r>
  </si>
  <si>
    <t xml:space="preserve">연방(가족법)·가정법원</t>
  </si>
  <si>
    <t xml:space="preserve">부모소외법(Lei 12.318/2010, 2022년 개정 Lei 14.340), 가정폭력법(Lei 11.340/2006)</t>
  </si>
  <si>
    <t xml:space="preserve">guarda compartilhada, alienação parental, medida protetiva, vítima</t>
  </si>
  <si>
    <t xml:space="preserve">폐지 주장과 개정 주장을 각자의 가장 강한 논거로 제시한다. 아동 피해자의 목소리는 직접 쓰지 않고 어른들의 대사로만 전한다.</t>
  </si>
  <si>
    <t xml:space="preserve">폐지 법안 논의 경과는 반영 전 확인</t>
  </si>
  <si>
    <t xml:space="preserve">N5</t>
  </si>
  <si>
    <t xml:space="preserve">에너지</t>
  </si>
  <si>
    <t xml:space="preserve">재생에너지 입지 갈등(녹색 대 녹색)</t>
  </si>
  <si>
    <t xml:space="preserve">parque eólico, energia solar, comunidade quilombola, licenciamento, consulta prévia</t>
  </si>
  <si>
    <t xml:space="preserve">북동부 킬롬부 공동체 옆 대형 풍력단지 계획: 일자리·세수 vs 소음·토지·어업. 공동체의 찬반이 갈리고 Zumbi가 중재한다.</t>
  </si>
  <si>
    <r>
      <rPr>
        <sz val="10"/>
        <rFont val="Arial"/>
        <family val="0"/>
        <charset val="1"/>
      </rPr>
      <t xml:space="preserve">10</t>
    </r>
    <r>
      <rPr>
        <sz val="10"/>
        <rFont val="WenQuanYi Zen Hei"/>
        <family val="2"/>
      </rPr>
      <t xml:space="preserve">부 </t>
    </r>
    <r>
      <rPr>
        <sz val="10"/>
        <rFont val="Arial"/>
        <family val="0"/>
        <charset val="1"/>
      </rPr>
      <t xml:space="preserve">2</t>
    </r>
    <r>
      <rPr>
        <sz val="10"/>
        <rFont val="WenQuanYi Zen Hei"/>
        <family val="2"/>
      </rPr>
      <t xml:space="preserve">화 </t>
    </r>
    <r>
      <rPr>
        <sz val="10"/>
        <rFont val="Arial"/>
        <family val="0"/>
        <charset val="1"/>
      </rPr>
      <t xml:space="preserve">45</t>
    </r>
    <r>
      <rPr>
        <sz val="10"/>
        <rFont val="WenQuanYi Zen Hei"/>
        <family val="2"/>
      </rPr>
      <t xml:space="preserve">일의 유세</t>
    </r>
    <r>
      <rPr>
        <sz val="10"/>
        <rFont val="Arial"/>
        <family val="0"/>
        <charset val="1"/>
      </rPr>
      <t xml:space="preserve">(</t>
    </r>
    <r>
      <rPr>
        <sz val="10"/>
        <rFont val="WenQuanYi Zen Hei"/>
        <family val="2"/>
      </rPr>
      <t xml:space="preserve">북동부 풍력단지 마을</t>
    </r>
    <r>
      <rPr>
        <sz val="10"/>
        <rFont val="Arial"/>
        <family val="0"/>
        <charset val="1"/>
      </rPr>
      <t xml:space="preserve">)</t>
    </r>
  </si>
  <si>
    <r>
      <rPr>
        <sz val="10"/>
        <rFont val="Arial"/>
        <family val="0"/>
        <charset val="1"/>
      </rPr>
      <t xml:space="preserve">11</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과세 재원</t>
    </r>
    <r>
      <rPr>
        <sz val="10"/>
        <rFont val="Arial"/>
        <family val="0"/>
        <charset val="1"/>
      </rPr>
      <t xml:space="preserve">), 12</t>
    </r>
    <r>
      <rPr>
        <sz val="10"/>
        <rFont val="WenQuanYi Zen Hei"/>
        <family val="2"/>
      </rPr>
      <t xml:space="preserve">부 </t>
    </r>
    <r>
      <rPr>
        <sz val="10"/>
        <rFont val="Arial"/>
        <family val="0"/>
        <charset val="1"/>
      </rPr>
      <t xml:space="preserve">11</t>
    </r>
    <r>
      <rPr>
        <sz val="10"/>
        <rFont val="WenQuanYi Zen Hei"/>
        <family val="2"/>
      </rPr>
      <t xml:space="preserve">화</t>
    </r>
  </si>
  <si>
    <t xml:space="preserve">Zumbi, Machado, Larissa, Isabel</t>
  </si>
  <si>
    <t xml:space="preserve">연방(송전·경매), 주(환경 인허가), 시</t>
  </si>
  <si>
    <t xml:space="preserve">환경 인허가(Resolução CONAMA 237/1997), ILO 협약 169호 사전 협의, 헌법 부칙 제68조(킬롬부 토지)</t>
  </si>
  <si>
    <t xml:space="preserve">parque eólico, licenciamento ambiental, consulta prévia, arrendamento</t>
  </si>
  <si>
    <t xml:space="preserve">어느 쪽도 악역으로 만들지 않는다. 공동체 안의 두 목소리가 모두 옳다는 형태로.</t>
  </si>
  <si>
    <t xml:space="preserve">인허가 권한 배분은 사업 규모별로 확인</t>
  </si>
  <si>
    <t xml:space="preserve">노동</t>
  </si>
  <si>
    <t xml:space="preserve">앱 노동(운전기사·배달원) 갈등</t>
  </si>
  <si>
    <t xml:space="preserve">motorista de aplicativo, entregador, algoritmo, breque, vínculo empregatício</t>
  </si>
  <si>
    <t xml:space="preserve">앱 배달원과 운전기사가 알고리즘 배차·일방적 계정 차단에 항의한다. 앱 노동 법안 논의 이후에도 고용 지위 분쟁이 계속됨을 Edson이 현장에서 겪는다.</t>
  </si>
  <si>
    <r>
      <rPr>
        <sz val="10"/>
        <rFont val="Arial"/>
        <family val="0"/>
        <charset val="1"/>
      </rPr>
      <t xml:space="preserve">12</t>
    </r>
    <r>
      <rPr>
        <sz val="10"/>
        <rFont val="WenQuanYi Zen Hei"/>
        <family val="2"/>
      </rPr>
      <t xml:space="preserve">부 </t>
    </r>
    <r>
      <rPr>
        <sz val="10"/>
        <rFont val="Arial"/>
        <family val="0"/>
        <charset val="1"/>
      </rPr>
      <t xml:space="preserve">4</t>
    </r>
    <r>
      <rPr>
        <sz val="10"/>
        <rFont val="WenQuanYi Zen Hei"/>
        <family val="2"/>
      </rPr>
      <t xml:space="preserve">화 </t>
    </r>
    <r>
      <rPr>
        <sz val="10"/>
        <rFont val="Arial"/>
        <family val="0"/>
        <charset val="1"/>
      </rPr>
      <t xml:space="preserve">O aplicativo que decide</t>
    </r>
  </si>
  <si>
    <r>
      <rPr>
        <sz val="10"/>
        <rFont val="Arial"/>
        <family val="0"/>
        <charset val="1"/>
      </rPr>
      <t xml:space="preserve">5</t>
    </r>
    <r>
      <rPr>
        <sz val="10"/>
        <rFont val="WenQuanYi Zen Hei"/>
        <family val="2"/>
      </rPr>
      <t xml:space="preserve">부</t>
    </r>
    <r>
      <rPr>
        <sz val="10"/>
        <rFont val="Arial"/>
        <family val="0"/>
        <charset val="1"/>
      </rPr>
      <t xml:space="preserve">(Juliana</t>
    </r>
    <r>
      <rPr>
        <sz val="10"/>
        <rFont val="WenQuanYi Zen Hei"/>
        <family val="2"/>
      </rPr>
      <t xml:space="preserve">의 과거</t>
    </r>
    <r>
      <rPr>
        <sz val="10"/>
        <rFont val="Arial"/>
        <family val="0"/>
        <charset val="1"/>
      </rPr>
      <t xml:space="preserve">, </t>
    </r>
    <r>
      <rPr>
        <sz val="10"/>
        <rFont val="WenQuanYi Zen Hei"/>
        <family val="2"/>
      </rPr>
      <t xml:space="preserve">곁가지</t>
    </r>
    <r>
      <rPr>
        <sz val="10"/>
        <rFont val="Arial"/>
        <family val="0"/>
        <charset val="1"/>
      </rPr>
      <t xml:space="preserve">)</t>
    </r>
  </si>
  <si>
    <t xml:space="preserve">연방(노동법)·노동법원·STF</t>
  </si>
  <si>
    <t xml:space="preserve">앱 운전기사 법안(PLP 12/2024), 노동법(CLT) 고용 관계 판단</t>
  </si>
  <si>
    <t xml:space="preserve">algoritmo, bloqueio, plataforma, vínculo, autônomo</t>
  </si>
  <si>
    <t xml:space="preserve">플랫폼 vs 노동자 구도를 단순화하지 않는다. 독립 사업자를 원하는 운전기사의 목소리도 담는다.</t>
  </si>
  <si>
    <t xml:space="preserve">법안 처리 상황과 STF 고용 지위 판결은 반영 전 확인</t>
  </si>
  <si>
    <t xml:space="preserve">사법·통제</t>
  </si>
  <si>
    <t xml:space="preserve">정보기관 불법 사찰·스파이웨어 스캔들</t>
  </si>
  <si>
    <t xml:space="preserve">espionagem ilegal, spyware, Abin, controle externo, CPI</t>
  </si>
  <si>
    <t xml:space="preserve">야당 정치인과 언론인 휴대전화가 위치추적 스파이웨어로 감시당했다는 의혹. 군사정권 시절 감시받던 Freire가 그 수법을 알아채고 Rafael은 합법적 감독 경로를 고집한다.</t>
  </si>
  <si>
    <r>
      <rPr>
        <sz val="10"/>
        <rFont val="Arial"/>
        <family val="0"/>
        <charset val="1"/>
      </rPr>
      <t xml:space="preserve">12</t>
    </r>
    <r>
      <rPr>
        <sz val="10"/>
        <rFont val="WenQuanYi Zen Hei"/>
        <family val="2"/>
      </rPr>
      <t xml:space="preserve">부 </t>
    </r>
    <r>
      <rPr>
        <sz val="10"/>
        <rFont val="Arial"/>
        <family val="0"/>
        <charset val="1"/>
      </rPr>
      <t xml:space="preserve">5</t>
    </r>
    <r>
      <rPr>
        <sz val="10"/>
        <rFont val="WenQuanYi Zen Hei"/>
        <family val="2"/>
      </rPr>
      <t xml:space="preserve">화 </t>
    </r>
    <r>
      <rPr>
        <sz val="10"/>
        <rFont val="Arial"/>
        <family val="0"/>
        <charset val="1"/>
      </rPr>
      <t xml:space="preserve">O software que ninguém autorizou</t>
    </r>
  </si>
  <si>
    <r>
      <rPr>
        <sz val="10"/>
        <rFont val="Arial"/>
        <family val="0"/>
        <charset val="1"/>
      </rPr>
      <t xml:space="preserve">7</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t>
    </r>
    <r>
      <rPr>
        <sz val="10"/>
        <rFont val="WenQuanYi Zen Hei"/>
        <family val="2"/>
      </rPr>
      <t xml:space="preserve">도청 논쟁</t>
    </r>
    <r>
      <rPr>
        <sz val="10"/>
        <rFont val="Arial"/>
        <family val="0"/>
        <charset val="1"/>
      </rPr>
      <t xml:space="preserve">)</t>
    </r>
    <r>
      <rPr>
        <sz val="10"/>
        <rFont val="WenQuanYi Zen Hei"/>
        <family val="2"/>
      </rPr>
      <t xml:space="preserve">와 연결</t>
    </r>
    <r>
      <rPr>
        <sz val="10"/>
        <rFont val="Arial"/>
        <family val="0"/>
        <charset val="1"/>
      </rPr>
      <t xml:space="preserve">·</t>
    </r>
    <r>
      <rPr>
        <sz val="10"/>
        <rFont val="WenQuanYi Zen Hei"/>
        <family val="2"/>
      </rPr>
      <t xml:space="preserve">확장</t>
    </r>
  </si>
  <si>
    <t xml:space="preserve">정보청(Abin, 수석장관실 소속)·사법부·연방의회</t>
  </si>
  <si>
    <t xml:space="preserve">정보청법(Lei 9.883/1999), 의회 정보활동통제위원회(CCAI), 감청법(Lei 9.296/1996)</t>
  </si>
  <si>
    <t xml:space="preserve">espionagem, controle externo, geolocalização, CPI</t>
  </si>
  <si>
    <t xml:space="preserve">실제 사건을 특정하지 않는다. 가상의 스캔들로 각색하고 여야 모두를 향한 감독 공백을 보여 준다.</t>
  </si>
  <si>
    <t xml:space="preserve">정보기관의 위치추적 소프트웨어 사용 의혹 등 실제 사례가 있음. 세부는 반영 전 확인</t>
  </si>
  <si>
    <t xml:space="preserve">청년 정신건강 위기와 온라인 도박</t>
  </si>
  <si>
    <t xml:space="preserve">saúde mental, ansiedade, fila, CAPS, bets, endividamento</t>
  </si>
  <si>
    <t xml:space="preserve">청년 정신건강 상담 대기가 몇 달씩 밀리고, 온라인 도박(bets) 빚이 불안을 키운다. CVV 자원봉사자 Isabel이 현장에서, Larissa가 자신의 불안을 처음 인정하며 함께 부딪힌다.</t>
  </si>
  <si>
    <r>
      <rPr>
        <sz val="10"/>
        <rFont val="Arial"/>
        <family val="0"/>
        <charset val="1"/>
      </rPr>
      <t xml:space="preserve">12</t>
    </r>
    <r>
      <rPr>
        <sz val="10"/>
        <rFont val="WenQuanYi Zen Hei"/>
        <family val="2"/>
      </rPr>
      <t xml:space="preserve">부 </t>
    </r>
    <r>
      <rPr>
        <sz val="10"/>
        <rFont val="Arial"/>
        <family val="0"/>
        <charset val="1"/>
      </rPr>
      <t xml:space="preserve">6</t>
    </r>
    <r>
      <rPr>
        <sz val="10"/>
        <rFont val="WenQuanYi Zen Hei"/>
        <family val="2"/>
      </rPr>
      <t xml:space="preserve">화 </t>
    </r>
    <r>
      <rPr>
        <sz val="10"/>
        <rFont val="Arial"/>
        <family val="0"/>
        <charset val="1"/>
      </rPr>
      <t xml:space="preserve">As filas de espera</t>
    </r>
  </si>
  <si>
    <r>
      <rPr>
        <sz val="10"/>
        <rFont val="Arial"/>
        <family val="0"/>
        <charset val="1"/>
      </rPr>
      <t xml:space="preserve">1</t>
    </r>
    <r>
      <rPr>
        <sz val="10"/>
        <rFont val="WenQuanYi Zen Hei"/>
        <family val="2"/>
      </rPr>
      <t xml:space="preserve">부</t>
    </r>
    <r>
      <rPr>
        <sz val="10"/>
        <rFont val="Arial"/>
        <family val="0"/>
        <charset val="1"/>
      </rPr>
      <t xml:space="preserve">(Larissa</t>
    </r>
    <r>
      <rPr>
        <sz val="10"/>
        <rFont val="WenQuanYi Zen Hei"/>
        <family val="2"/>
      </rPr>
      <t xml:space="preserve">의 폭발과 연결 가능</t>
    </r>
    <r>
      <rPr>
        <sz val="10"/>
        <rFont val="Arial"/>
        <family val="0"/>
        <charset val="1"/>
      </rPr>
      <t xml:space="preserve">, </t>
    </r>
    <r>
      <rPr>
        <sz val="10"/>
        <rFont val="WenQuanYi Zen Hei"/>
        <family val="2"/>
      </rPr>
      <t xml:space="preserve">곁가지</t>
    </r>
    <r>
      <rPr>
        <sz val="10"/>
        <rFont val="Arial"/>
        <family val="0"/>
        <charset val="1"/>
      </rPr>
      <t xml:space="preserve">)</t>
    </r>
  </si>
  <si>
    <t xml:space="preserve">시(CAPS)·연방(재원·도박 규제)</t>
  </si>
  <si>
    <t xml:space="preserve">정신보건법(Lei 10.216/2001), 정신보건 네트워크(RAPS), 온라인 도박 규제법(Lei 14.790/2023)</t>
  </si>
  <si>
    <t xml:space="preserve">saúde mental, ansiedade, terapia, fila de espera, aposta</t>
  </si>
  <si>
    <t xml:space="preserve">청년 정신건강을 극적 소재로만 소비하지 않는다. 낙인 없이, 도움을 구하는 것이 자연스럽다는 톤으로.</t>
  </si>
  <si>
    <t xml:space="preserve">온라인 도박 규제 이후 통계는 반영 전 확인</t>
  </si>
  <si>
    <t xml:space="preserve">현실 기준값 (브라질판 전환 시 재확인 필요 — 수치는 반영 전 최신 통계로 교체)</t>
  </si>
  <si>
    <t xml:space="preserve">구분</t>
  </si>
  <si>
    <t xml:space="preserve">항목</t>
  </si>
  <si>
    <t xml:space="preserve">값</t>
  </si>
  <si>
    <t xml:space="preserve">출처·비고</t>
  </si>
  <si>
    <t xml:space="preserve">일반정부 총부채 / GDP</t>
  </si>
  <si>
    <t xml:space="preserve">약 78~80% (반영 전 확인)</t>
  </si>
  <si>
    <t xml:space="preserve">브라질 중앙은행(BCB) 재정 통계. 스페인판의 약 100%와 달리 비율은 낮지만 금리가 높아 이자 부담이 크다.</t>
  </si>
  <si>
    <r>
      <rPr>
        <sz val="10"/>
        <rFont val="Arial"/>
        <family val="0"/>
        <charset val="1"/>
      </rPr>
      <t xml:space="preserve">18~24</t>
    </r>
    <r>
      <rPr>
        <sz val="10"/>
        <rFont val="WenQuanYi Zen Hei"/>
        <family val="2"/>
      </rPr>
      <t xml:space="preserve">세 실업률</t>
    </r>
  </si>
  <si>
    <t xml:space="preserve">전체 실업률의 약 2배 (반영 전 확인)</t>
  </si>
  <si>
    <r>
      <rPr>
        <sz val="10"/>
        <rFont val="Arial"/>
        <family val="0"/>
        <charset val="1"/>
      </rPr>
      <t xml:space="preserve">IBGE </t>
    </r>
    <r>
      <rPr>
        <sz val="10"/>
        <rFont val="WenQuanYi Zen Hei"/>
        <family val="2"/>
      </rPr>
      <t xml:space="preserve">연속 가계조사</t>
    </r>
    <r>
      <rPr>
        <sz val="10"/>
        <rFont val="Arial"/>
        <family val="0"/>
        <charset val="1"/>
      </rPr>
      <t xml:space="preserve">(PNAD Contínua). </t>
    </r>
    <r>
      <rPr>
        <sz val="10"/>
        <rFont val="WenQuanYi Zen Hei"/>
        <family val="2"/>
      </rPr>
      <t xml:space="preserve">비공식 고용 비중도 함께 확인</t>
    </r>
    <r>
      <rPr>
        <sz val="10"/>
        <rFont val="Arial"/>
        <family val="0"/>
        <charset val="1"/>
      </rPr>
      <t xml:space="preserve">.</t>
    </r>
  </si>
  <si>
    <t xml:space="preserve">정부 형태</t>
  </si>
  <si>
    <t xml:space="preserve">대통령제 + 다당 연립(연립 대통령제)</t>
  </si>
  <si>
    <t xml:space="preserve">이야기에는 실존 정당·인물을 쓰지 않는다. 표현은 '여소야대'가 아니라 '연립 정부의 과반 관리'.</t>
  </si>
  <si>
    <t xml:space="preserve">확인 필요</t>
  </si>
  <si>
    <t xml:space="preserve">변동이 잦은 항목</t>
  </si>
  <si>
    <t xml:space="preserve">주 부채 재협상, 앱 노동 법안, Mercosul–EU 비준, EUDR 시행 일정, 초고소득 과세법, 의원 예산 투명성 규정</t>
  </si>
  <si>
    <t xml:space="preserve">교재에 넣기 직전 최신 상태를 확인한다.</t>
  </si>
  <si>
    <t xml:space="preserve">현안 분포표 (부 × 현안)</t>
  </si>
  <si>
    <r>
      <rPr>
        <i val="true"/>
        <sz val="9"/>
        <color rgb="FF595959"/>
        <rFont val="Arial"/>
        <family val="0"/>
        <charset val="1"/>
      </rPr>
      <t xml:space="preserve">● = </t>
    </r>
    <r>
      <rPr>
        <i val="true"/>
        <sz val="9"/>
        <color rgb="FF595959"/>
        <rFont val="WenQuanYi Zen Hei"/>
        <family val="2"/>
      </rPr>
      <t xml:space="preserve">그 화의 주된 사건</t>
    </r>
    <r>
      <rPr>
        <i val="true"/>
        <sz val="9"/>
        <color rgb="FF595959"/>
        <rFont val="Arial"/>
        <family val="0"/>
        <charset val="1"/>
      </rPr>
      <t xml:space="preserve">(</t>
    </r>
    <r>
      <rPr>
        <i val="true"/>
        <sz val="9"/>
        <color rgb="FF595959"/>
        <rFont val="WenQuanYi Zen Hei"/>
        <family val="2"/>
      </rPr>
      <t xml:space="preserve">전용 화</t>
    </r>
    <r>
      <rPr>
        <i val="true"/>
        <sz val="9"/>
        <color rgb="FF595959"/>
        <rFont val="Arial"/>
        <family val="0"/>
        <charset val="1"/>
      </rPr>
      <t xml:space="preserve">), ○ = </t>
    </r>
    <r>
      <rPr>
        <i val="true"/>
        <sz val="9"/>
        <color rgb="FF595959"/>
        <rFont val="WenQuanYi Zen Hei"/>
        <family val="2"/>
      </rPr>
      <t xml:space="preserve">곁가지</t>
    </r>
    <r>
      <rPr>
        <i val="true"/>
        <sz val="9"/>
        <color rgb="FF595959"/>
        <rFont val="Arial"/>
        <family val="0"/>
        <charset val="1"/>
      </rPr>
      <t xml:space="preserve">(</t>
    </r>
    <r>
      <rPr>
        <i val="true"/>
        <sz val="9"/>
        <color rgb="FF595959"/>
        <rFont val="WenQuanYi Zen Hei"/>
        <family val="2"/>
      </rPr>
      <t xml:space="preserve">대사</t>
    </r>
    <r>
      <rPr>
        <i val="true"/>
        <sz val="9"/>
        <color rgb="FF595959"/>
        <rFont val="Arial"/>
        <family val="0"/>
        <charset val="1"/>
      </rPr>
      <t xml:space="preserve">·</t>
    </r>
    <r>
      <rPr>
        <i val="true"/>
        <sz val="9"/>
        <color rgb="FF595959"/>
        <rFont val="WenQuanYi Zen Hei"/>
        <family val="2"/>
      </rPr>
      <t xml:space="preserve">서브플롯</t>
    </r>
    <r>
      <rPr>
        <i val="true"/>
        <sz val="9"/>
        <color rgb="FF595959"/>
        <rFont val="Arial"/>
        <family val="0"/>
        <charset val="1"/>
      </rPr>
      <t xml:space="preserve">). </t>
    </r>
    <r>
      <rPr>
        <i val="true"/>
        <sz val="9"/>
        <color rgb="FF595959"/>
        <rFont val="WenQuanYi Zen Hei"/>
        <family val="2"/>
      </rPr>
      <t xml:space="preserve">기호를 바꾸면 아래 집계가 자동 갱신됩니다</t>
    </r>
    <r>
      <rPr>
        <i val="true"/>
        <sz val="9"/>
        <color rgb="FF595959"/>
        <rFont val="Arial"/>
        <family val="0"/>
        <charset val="1"/>
      </rPr>
      <t xml:space="preserve">.</t>
    </r>
  </si>
  <si>
    <t xml:space="preserve">● 수</t>
  </si>
  <si>
    <t xml:space="preserve">○ 수</t>
  </si>
  <si>
    <t xml:space="preserve">연립 대통령제·의회 거래</t>
  </si>
  <si>
    <t xml:space="preserve">○</t>
  </si>
  <si>
    <t xml:space="preserve">●</t>
  </si>
  <si>
    <t xml:space="preserve">연방 갈등·주 부채 재협상</t>
  </si>
  <si>
    <t xml:space="preserve">사법 지연·공권력 남용</t>
  </si>
  <si>
    <t xml:space="preserve">주거난·퇴거·단기 임대</t>
  </si>
  <si>
    <t xml:space="preserve">비공식 경제·영세 사업자</t>
  </si>
  <si>
    <t xml:space="preserve">부채·재정규칙·고금리</t>
  </si>
  <si>
    <t xml:space="preserve">청년 고용 불안</t>
  </si>
  <si>
    <t xml:space="preserve">이주민·난민·노동 착취</t>
  </si>
  <si>
    <t xml:space="preserve">고령화·지역 의료 격차</t>
  </si>
  <si>
    <t xml:space="preserve">폭염·가뭄·에너지 전환</t>
  </si>
  <si>
    <t xml:space="preserve">대홍수·방재</t>
  </si>
  <si>
    <t xml:space="preserve">의원 예산 불투명 집행</t>
  </si>
  <si>
    <r>
      <rPr>
        <sz val="10"/>
        <rFont val="Noto Sans CJK SC"/>
        <family val="2"/>
        <charset val="1"/>
      </rPr>
      <t xml:space="preserve">Mercosul–EU·</t>
    </r>
    <r>
      <rPr>
        <sz val="10"/>
        <rFont val="WenQuanYi Zen Hei"/>
        <family val="2"/>
      </rPr>
      <t xml:space="preserve">관세</t>
    </r>
  </si>
  <si>
    <t xml:space="preserve">젠더 폭력·부모소외법</t>
  </si>
  <si>
    <t xml:space="preserve">녹색 대 녹색(풍력단지)</t>
  </si>
  <si>
    <t xml:space="preserve">앱 노동</t>
  </si>
  <si>
    <t xml:space="preserve">정보기관 사찰 스캔들</t>
  </si>
  <si>
    <t xml:space="preserve">청년 정신건강·온라인 도박</t>
  </si>
  <si>
    <t xml:space="preserve">부별 ● 수</t>
  </si>
  <si>
    <t xml:space="preserve">부별 ○ 수</t>
  </si>
  <si>
    <t xml:space="preserve">읽는 법: 1~5부는 곁가지 중심이라 B1~B2 난이도를 지키고, 8·9·11·12부에서 전용 화가 몰린다. 화당 전용 현안은 1개(+곁가지 1~2개)로 제한해 낭독 분량을 지킨다. N6~N8은 12부의 신규 현안으로 각 1개 전용 화를 받는다.</t>
  </si>
  <si>
    <t xml:space="preserve">현안 ID와 설명은 '현안_배치' 시트, 화별 반영은 '화별목차_전체'의 '반영 현안' 열을 참고.</t>
  </si>
  <si>
    <t xml:space="preserve">현실 정치 제도 기준표 (브라질)</t>
  </si>
  <si>
    <r>
      <rPr>
        <i val="true"/>
        <sz val="9"/>
        <color rgb="FF595959"/>
        <rFont val="Arial"/>
        <family val="0"/>
        <charset val="1"/>
      </rPr>
      <t xml:space="preserve">8~13</t>
    </r>
    <r>
      <rPr>
        <i val="true"/>
        <sz val="9"/>
        <color rgb="FF595959"/>
        <rFont val="WenQuanYi Zen Hei"/>
        <family val="2"/>
      </rPr>
      <t xml:space="preserve">부에 반영한 실제 제도</t>
    </r>
    <r>
      <rPr>
        <i val="true"/>
        <sz val="9"/>
        <color rgb="FF595959"/>
        <rFont val="Arial"/>
        <family val="0"/>
        <charset val="1"/>
      </rPr>
      <t xml:space="preserve">. </t>
    </r>
    <r>
      <rPr>
        <i val="true"/>
        <sz val="9"/>
        <color rgb="FF595959"/>
        <rFont val="WenQuanYi Zen Hei"/>
        <family val="2"/>
      </rPr>
      <t xml:space="preserve">정당</t>
    </r>
    <r>
      <rPr>
        <i val="true"/>
        <sz val="9"/>
        <color rgb="FF595959"/>
        <rFont val="Arial"/>
        <family val="0"/>
        <charset val="1"/>
      </rPr>
      <t xml:space="preserve">·</t>
    </r>
    <r>
      <rPr>
        <i val="true"/>
        <sz val="9"/>
        <color rgb="FF595959"/>
        <rFont val="WenQuanYi Zen Hei"/>
        <family val="2"/>
      </rPr>
      <t xml:space="preserve">정치인은 전부 가상이며 실존 정치인의 대사는 쓰지 않는다</t>
    </r>
    <r>
      <rPr>
        <i val="true"/>
        <sz val="9"/>
        <color rgb="FF595959"/>
        <rFont val="Arial"/>
        <family val="0"/>
        <charset val="1"/>
      </rPr>
      <t xml:space="preserve">. </t>
    </r>
    <r>
      <rPr>
        <i val="true"/>
        <sz val="9"/>
        <color rgb="FF595959"/>
        <rFont val="WenQuanYi Zen Hei"/>
        <family val="2"/>
      </rPr>
      <t xml:space="preserve">확인 상태가 </t>
    </r>
    <r>
      <rPr>
        <i val="true"/>
        <sz val="9"/>
        <color rgb="FF595959"/>
        <rFont val="Arial"/>
        <family val="0"/>
        <charset val="1"/>
      </rPr>
      <t xml:space="preserve">'</t>
    </r>
    <r>
      <rPr>
        <i val="true"/>
        <sz val="9"/>
        <color rgb="FF595959"/>
        <rFont val="WenQuanYi Zen Hei"/>
        <family val="2"/>
      </rPr>
      <t xml:space="preserve">기획 시점 지식</t>
    </r>
    <r>
      <rPr>
        <i val="true"/>
        <sz val="9"/>
        <color rgb="FF595959"/>
        <rFont val="Arial"/>
        <family val="0"/>
        <charset val="1"/>
      </rPr>
      <t xml:space="preserve">'</t>
    </r>
    <r>
      <rPr>
        <i val="true"/>
        <sz val="9"/>
        <color rgb="FF595959"/>
        <rFont val="WenQuanYi Zen Hei"/>
        <family val="2"/>
      </rPr>
      <t xml:space="preserve">인 항목은 교재 반영 전 </t>
    </r>
    <r>
      <rPr>
        <i val="true"/>
        <sz val="9"/>
        <color rgb="FF595959"/>
        <rFont val="Arial"/>
        <family val="0"/>
        <charset val="1"/>
      </rPr>
      <t xml:space="preserve">Planalto </t>
    </r>
    <r>
      <rPr>
        <i val="true"/>
        <sz val="9"/>
        <color rgb="FF595959"/>
        <rFont val="WenQuanYi Zen Hei"/>
        <family val="2"/>
      </rPr>
      <t xml:space="preserve">법령 사이트</t>
    </r>
    <r>
      <rPr>
        <i val="true"/>
        <sz val="9"/>
        <color rgb="FF595959"/>
        <rFont val="Arial"/>
        <family val="0"/>
        <charset val="1"/>
      </rPr>
      <t xml:space="preserve">·</t>
    </r>
    <r>
      <rPr>
        <i val="true"/>
        <sz val="9"/>
        <color rgb="FF595959"/>
        <rFont val="WenQuanYi Zen Hei"/>
        <family val="2"/>
      </rPr>
      <t xml:space="preserve">선거법원</t>
    </r>
    <r>
      <rPr>
        <i val="true"/>
        <sz val="9"/>
        <color rgb="FF595959"/>
        <rFont val="Arial"/>
        <family val="0"/>
        <charset val="1"/>
      </rPr>
      <t xml:space="preserve">(TSE) </t>
    </r>
    <r>
      <rPr>
        <i val="true"/>
        <sz val="9"/>
        <color rgb="FF595959"/>
        <rFont val="WenQuanYi Zen Hei"/>
        <family val="2"/>
      </rPr>
      <t xml:space="preserve">자료로 확인한다</t>
    </r>
    <r>
      <rPr>
        <i val="true"/>
        <sz val="9"/>
        <color rgb="FF595959"/>
        <rFont val="Arial"/>
        <family val="0"/>
        <charset val="1"/>
      </rPr>
      <t xml:space="preserve">.</t>
    </r>
  </si>
  <si>
    <t xml:space="preserve">영역</t>
  </si>
  <si>
    <t xml:space="preserve">제도·규칙</t>
  </si>
  <si>
    <t xml:space="preserve">근거</t>
  </si>
  <si>
    <t xml:space="preserve">이야기 반영</t>
  </si>
  <si>
    <t xml:space="preserve">확인 상태</t>
  </si>
  <si>
    <t xml:space="preserve">정당·선거</t>
  </si>
  <si>
    <t xml:space="preserve">정당 창당</t>
  </si>
  <si>
    <t xml:space="preserve">창립자들이 창립 문서와 정관을 민사 등기소(브라질리아)에 등록해 법인격을 얻은 뒤, 2년 안에 직전 하원선거 유효표의 0.5% 이상에 해당하는 비당원 유권자 지지 서명을 9개 주 이상(각 주 유권자 0.1% 이상)에서 모아 선거법원(TSE)에 등록해야 선거에 나갈 수 있다.</t>
  </si>
  <si>
    <t xml:space="preserve">정당법(Lei 9.096/1995) 제7~9조, TSE 정당 등록 결의</t>
  </si>
  <si>
    <r>
      <rPr>
        <sz val="10"/>
        <rFont val="Arial"/>
        <family val="0"/>
        <charset val="1"/>
      </rPr>
      <t xml:space="preserve">8</t>
    </r>
    <r>
      <rPr>
        <sz val="10"/>
        <rFont val="WenQuanYi Zen Hei"/>
        <family val="2"/>
      </rPr>
      <t xml:space="preserve">부 </t>
    </r>
    <r>
      <rPr>
        <sz val="10"/>
        <rFont val="Arial"/>
        <family val="0"/>
        <charset val="1"/>
      </rPr>
      <t xml:space="preserve">5</t>
    </r>
    <r>
      <rPr>
        <sz val="10"/>
        <rFont val="WenQuanYi Zen Hei"/>
        <family val="2"/>
      </rPr>
      <t xml:space="preserve">화</t>
    </r>
  </si>
  <si>
    <t xml:space="preserve">ata de fundação, estatuto, apoiamento, registro no TSE</t>
  </si>
  <si>
    <t xml:space="preserve">기획 시점 지식 — Planalto 현행본 확인 필요</t>
  </si>
  <si>
    <t xml:space="preserve">정당 자율과 내부 운영</t>
  </si>
  <si>
    <t xml:space="preserve">정당은 내부 조직·운영을 자율로 정하되, 정관에 당원 규율과 충실 의무를 둔다. 전국적 성격을 가져야 한다.</t>
  </si>
  <si>
    <t xml:space="preserve">헌법 제17조</t>
  </si>
  <si>
    <r>
      <rPr>
        <sz val="10"/>
        <rFont val="Arial"/>
        <family val="0"/>
        <charset val="1"/>
      </rPr>
      <t xml:space="preserve">8</t>
    </r>
    <r>
      <rPr>
        <sz val="10"/>
        <rFont val="WenQuanYi Zen Hei"/>
        <family val="2"/>
      </rPr>
      <t xml:space="preserve">부 </t>
    </r>
    <r>
      <rPr>
        <sz val="10"/>
        <rFont val="Arial"/>
        <family val="0"/>
        <charset val="1"/>
      </rPr>
      <t xml:space="preserve">6</t>
    </r>
    <r>
      <rPr>
        <sz val="10"/>
        <rFont val="WenQuanYi Zen Hei"/>
        <family val="2"/>
      </rPr>
      <t xml:space="preserve">화</t>
    </r>
  </si>
  <si>
    <t xml:space="preserve">autonomia partidária, filiado, fidelidade partidária</t>
  </si>
  <si>
    <t xml:space="preserve">정당·선거 재정</t>
  </si>
  <si>
    <t xml:space="preserve">기업 후원은 금지(STF 2015 위헌 결정). 공적 재원은 정당기금(Fundo Partidário)과 선거기금(FEFC)이며 대부분 하원 의석·득표에 비례해 배분. 개인 후원은 소득 10% 한도, 온라인 모금 허용. 회계는 선거법원에 보고.</t>
  </si>
  <si>
    <t xml:space="preserve">정당법 제38조 이하, 선거법(Lei 9.504/1997) 제16-C·23조, STF ADI 4650</t>
  </si>
  <si>
    <r>
      <rPr>
        <sz val="10"/>
        <rFont val="Arial"/>
        <family val="0"/>
        <charset val="1"/>
      </rPr>
      <t xml:space="preserve">8</t>
    </r>
    <r>
      <rPr>
        <sz val="10"/>
        <rFont val="WenQuanYi Zen Hei"/>
        <family val="2"/>
      </rPr>
      <t xml:space="preserve">부 </t>
    </r>
    <r>
      <rPr>
        <sz val="10"/>
        <rFont val="Arial"/>
        <family val="0"/>
        <charset val="1"/>
      </rPr>
      <t xml:space="preserve">7</t>
    </r>
    <r>
      <rPr>
        <sz val="10"/>
        <rFont val="WenQuanYi Zen Hei"/>
        <family val="2"/>
      </rPr>
      <t xml:space="preserve">화</t>
    </r>
  </si>
  <si>
    <t xml:space="preserve">Fundo Partidário, FEFC, doação, vaquinha, prestação de contas</t>
  </si>
  <si>
    <t xml:space="preserve">집회 사전 통지</t>
  </si>
  <si>
    <t xml:space="preserve">평화적 비무장 집회는 허가 없이 할 수 있고, 같은 장소의 다른 집회를 방해하지 않도록 관할 당국에 미리 알리기만 하면 된다.</t>
  </si>
  <si>
    <t xml:space="preserve">헌법 제5조 XVI</t>
  </si>
  <si>
    <r>
      <rPr>
        <sz val="10"/>
        <rFont val="Arial"/>
        <family val="0"/>
        <charset val="1"/>
      </rPr>
      <t xml:space="preserve">8</t>
    </r>
    <r>
      <rPr>
        <sz val="10"/>
        <rFont val="WenQuanYi Zen Hei"/>
        <family val="2"/>
      </rPr>
      <t xml:space="preserve">부 </t>
    </r>
    <r>
      <rPr>
        <sz val="10"/>
        <rFont val="Arial"/>
        <family val="0"/>
        <charset val="1"/>
      </rPr>
      <t xml:space="preserve">1</t>
    </r>
    <r>
      <rPr>
        <sz val="10"/>
        <rFont val="WenQuanYi Zen Hei"/>
        <family val="2"/>
      </rPr>
      <t xml:space="preserve">화</t>
    </r>
  </si>
  <si>
    <t xml:space="preserve">aviso prévio, manifestação, ato público</t>
  </si>
  <si>
    <t xml:space="preserve">국민발안 (iniciativa popular)</t>
  </si>
  <si>
    <t xml:space="preserve">전국 유권자 1% 이상, 5개 주 이상(각 주 유권자 0.3% 이상)의 서명으로 하원에 법안을 낼 수 있다. 현실에서는 서명 검증이 어려워 의원이 대리 발의하는 경우가 많다(선례: 클린기록법).</t>
  </si>
  <si>
    <t xml:space="preserve">헌법 제61조 2항, Lei 9.709/1998</t>
  </si>
  <si>
    <r>
      <rPr>
        <sz val="10"/>
        <rFont val="Arial"/>
        <family val="0"/>
        <charset val="1"/>
      </rPr>
      <t xml:space="preserve">8</t>
    </r>
    <r>
      <rPr>
        <sz val="10"/>
        <rFont val="WenQuanYi Zen Hei"/>
        <family val="2"/>
      </rPr>
      <t xml:space="preserve">부 </t>
    </r>
    <r>
      <rPr>
        <sz val="10"/>
        <rFont val="Arial"/>
        <family val="0"/>
        <charset val="1"/>
      </rPr>
      <t xml:space="preserve">3~4</t>
    </r>
    <r>
      <rPr>
        <sz val="10"/>
        <rFont val="WenQuanYi Zen Hei"/>
        <family val="2"/>
      </rPr>
      <t xml:space="preserve">화</t>
    </r>
  </si>
  <si>
    <t xml:space="preserve">iniciativa popular, assinaturas, projeto de lei</t>
  </si>
  <si>
    <t xml:space="preserve">대통령 선거</t>
  </si>
  <si>
    <t xml:space="preserve">대통령·부통령은 한 조로 직선. 유효표(백표·무효표 제외) 과반을 얻으면 1차에서 당선, 아니면 상위 2인이 결선. 1차는 10월 첫 일요일, 결선은 10월 마지막 일요일.</t>
  </si>
  <si>
    <t xml:space="preserve">헌법 제77조</t>
  </si>
  <si>
    <r>
      <rPr>
        <sz val="10"/>
        <rFont val="Arial"/>
        <family val="0"/>
        <charset val="1"/>
      </rPr>
      <t xml:space="preserve">10</t>
    </r>
    <r>
      <rPr>
        <sz val="10"/>
        <rFont val="WenQuanYi Zen Hei"/>
        <family val="2"/>
      </rPr>
      <t xml:space="preserve">부 </t>
    </r>
    <r>
      <rPr>
        <sz val="10"/>
        <rFont val="Arial"/>
        <family val="0"/>
        <charset val="1"/>
      </rPr>
      <t xml:space="preserve">4·10</t>
    </r>
    <r>
      <rPr>
        <sz val="10"/>
        <rFont val="WenQuanYi Zen Hei"/>
        <family val="2"/>
      </rPr>
      <t xml:space="preserve">화</t>
    </r>
  </si>
  <si>
    <t xml:space="preserve">primeiro turno, segundo turno, votos válidos, chapa</t>
  </si>
  <si>
    <t xml:space="preserve">하원 선거</t>
  </si>
  <si>
    <t xml:space="preserve">하원 513석, 주별 비례대표(최소 8석·최대 70석). 개방형 명부: 유권자가 후보 개인에게 투표하고, 정당(또는 정당 연합체) 득표로 의석을 나눈 뒤 개인 득표순으로 당선. 선거지수(quociente eleitoral)가 기준.</t>
  </si>
  <si>
    <t xml:space="preserve">헌법 제45조, 선거법(Código Eleitoral, Lei 4.737/1965)</t>
  </si>
  <si>
    <r>
      <rPr>
        <sz val="10"/>
        <rFont val="Arial"/>
        <family val="0"/>
        <charset val="1"/>
      </rPr>
      <t xml:space="preserve">10</t>
    </r>
    <r>
      <rPr>
        <sz val="10"/>
        <rFont val="WenQuanYi Zen Hei"/>
        <family val="2"/>
      </rPr>
      <t xml:space="preserve">부 </t>
    </r>
    <r>
      <rPr>
        <sz val="10"/>
        <rFont val="Arial"/>
        <family val="0"/>
        <charset val="1"/>
      </rPr>
      <t xml:space="preserve">4~5</t>
    </r>
    <r>
      <rPr>
        <sz val="10"/>
        <rFont val="WenQuanYi Zen Hei"/>
        <family val="2"/>
      </rPr>
      <t xml:space="preserve">화</t>
    </r>
  </si>
  <si>
    <t xml:space="preserve">quociente eleitoral, lista aberta, bancada, federação partidária</t>
  </si>
  <si>
    <t xml:space="preserve">정당 성과 기준 (cláusula de desempenho)</t>
  </si>
  <si>
    <t xml:space="preserve">일정 득표율 또는 연방의원 수 기준을 넘지 못한 정당은 정당기금과 무료 방송 시간을 잃는다. 기준은 선거마다 단계적으로 높아진다.</t>
  </si>
  <si>
    <t xml:space="preserve">헌법 개정 97/2017</t>
  </si>
  <si>
    <r>
      <rPr>
        <sz val="10"/>
        <rFont val="Arial"/>
        <family val="0"/>
        <charset val="1"/>
      </rPr>
      <t xml:space="preserve">10</t>
    </r>
    <r>
      <rPr>
        <sz val="10"/>
        <rFont val="WenQuanYi Zen Hei"/>
        <family val="2"/>
      </rPr>
      <t xml:space="preserve">부 </t>
    </r>
    <r>
      <rPr>
        <sz val="10"/>
        <rFont val="Arial"/>
        <family val="0"/>
        <charset val="1"/>
      </rPr>
      <t xml:space="preserve">5</t>
    </r>
    <r>
      <rPr>
        <sz val="10"/>
        <rFont val="WenQuanYi Zen Hei"/>
        <family val="2"/>
      </rPr>
      <t xml:space="preserve">화</t>
    </r>
  </si>
  <si>
    <t xml:space="preserve">cláusula de barreira, Fundo Partidário, tempo de TV</t>
  </si>
  <si>
    <t xml:space="preserve">후보 등록과 피선거권</t>
  </si>
  <si>
    <t xml:space="preserve">후보는 선거 6개월 전까지 당적을 보유하고, 전당대회(7월 20일~8월 5일)에서 선출된 뒤 8월 15일까지 선거법원에 등록한다. 클린기록법에 따라 확정 유죄 등은 결격.</t>
  </si>
  <si>
    <t xml:space="preserve">선거법(Lei 9.504/1997) 제8·9·11조, LC 64/1990, LC 135/2010</t>
  </si>
  <si>
    <r>
      <rPr>
        <sz val="10"/>
        <rFont val="Arial"/>
        <family val="0"/>
        <charset val="1"/>
      </rPr>
      <t xml:space="preserve">9</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1</t>
    </r>
    <r>
      <rPr>
        <sz val="10"/>
        <rFont val="WenQuanYi Zen Hei"/>
        <family val="2"/>
      </rPr>
      <t xml:space="preserve">화</t>
    </r>
  </si>
  <si>
    <t xml:space="preserve">convenção, registro de candidatura, Ficha Limpa, inelegibilidade</t>
  </si>
  <si>
    <t xml:space="preserve">선거운동 일정</t>
  </si>
  <si>
    <t xml:space="preserve">공식 선거운동은 8월 16일부터. 무료 선거방송(HGPE)은 투표 35일 전부터 이틀 전까지. 투표일에는 투표소 앞 선거운동(boca de urna)이 범죄. 여론조사는 선거법원 등록 후 공표 가능(투표일 전 공표 금지 기간 없음).</t>
  </si>
  <si>
    <t xml:space="preserve">선거법 제36·39·47조 등</t>
  </si>
  <si>
    <r>
      <rPr>
        <sz val="10"/>
        <rFont val="Arial"/>
        <family val="0"/>
        <charset val="1"/>
      </rPr>
      <t xml:space="preserve">8</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 10</t>
    </r>
    <r>
      <rPr>
        <sz val="10"/>
        <rFont val="WenQuanYi Zen Hei"/>
        <family val="2"/>
      </rPr>
      <t xml:space="preserve">부</t>
    </r>
  </si>
  <si>
    <t xml:space="preserve">propaganda eleitoral, horário eleitoral gratuito, boca de urna, pesquisa registrada</t>
  </si>
  <si>
    <t xml:space="preserve">지방선거</t>
  </si>
  <si>
    <t xml:space="preserve">시장·시의원 선거는 총선 2년 뒤 따로 치른다(4년 주기). 상파울루 시의회는 55석(개방형 비례대표). 유권자 20만 명 이상 도시의 시장은 결선제.</t>
  </si>
  <si>
    <t xml:space="preserve">헌법 제29조, 상파울루시 조직법</t>
  </si>
  <si>
    <r>
      <rPr>
        <sz val="10"/>
        <rFont val="Arial"/>
        <family val="0"/>
        <charset val="1"/>
      </rPr>
      <t xml:space="preserve">8</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 9</t>
    </r>
    <r>
      <rPr>
        <sz val="10"/>
        <rFont val="WenQuanYi Zen Hei"/>
        <family val="2"/>
      </rPr>
      <t xml:space="preserve">부</t>
    </r>
  </si>
  <si>
    <t xml:space="preserve">vereador, prefeito, Câmara Municipal, segundo turno</t>
  </si>
  <si>
    <t xml:space="preserve">성별 할당</t>
  </si>
  <si>
    <t xml:space="preserve">비례대표 명부의 각 성별 후보는 최소 30%. 할당을 채우려 내세우는 '유령 후보(laranja)'는 선거 사기로 명부 전체가 무효가 될 수 있다.</t>
  </si>
  <si>
    <t xml:space="preserve">선거법 제10조 3항</t>
  </si>
  <si>
    <r>
      <rPr>
        <sz val="10"/>
        <rFont val="Arial"/>
        <family val="0"/>
        <charset val="1"/>
      </rPr>
      <t xml:space="preserve">8</t>
    </r>
    <r>
      <rPr>
        <sz val="10"/>
        <rFont val="WenQuanYi Zen Hei"/>
        <family val="2"/>
      </rPr>
      <t xml:space="preserve">부 </t>
    </r>
    <r>
      <rPr>
        <sz val="10"/>
        <rFont val="Arial"/>
        <family val="0"/>
        <charset val="1"/>
      </rPr>
      <t xml:space="preserve">8</t>
    </r>
    <r>
      <rPr>
        <sz val="10"/>
        <rFont val="WenQuanYi Zen Hei"/>
        <family val="2"/>
      </rPr>
      <t xml:space="preserve">화</t>
    </r>
  </si>
  <si>
    <t xml:space="preserve">cota de gênero, candidatura laranja, fraude</t>
  </si>
  <si>
    <t xml:space="preserve">선거 분쟁·가짜뉴스</t>
  </si>
  <si>
    <t xml:space="preserve">선거법원(TSE·TRE)이 선거를 관리하고 후보 등록 이의·선전물 삭제·반론권을 심판한다. AI로 만든 딥페이크 선전은 금지.</t>
  </si>
  <si>
    <t xml:space="preserve">선거법 제57-D·58조, TSE 결의(2024, AI 선전 규정)</t>
  </si>
  <si>
    <r>
      <rPr>
        <sz val="10"/>
        <rFont val="Arial"/>
        <family val="0"/>
        <charset val="1"/>
      </rPr>
      <t xml:space="preserve">8</t>
    </r>
    <r>
      <rPr>
        <sz val="10"/>
        <rFont val="WenQuanYi Zen Hei"/>
        <family val="2"/>
      </rPr>
      <t xml:space="preserve">부 </t>
    </r>
    <r>
      <rPr>
        <sz val="10"/>
        <rFont val="Arial"/>
        <family val="0"/>
        <charset val="1"/>
      </rPr>
      <t xml:space="preserve">10</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7</t>
    </r>
    <r>
      <rPr>
        <sz val="10"/>
        <rFont val="WenQuanYi Zen Hei"/>
        <family val="2"/>
      </rPr>
      <t xml:space="preserve">화</t>
    </r>
  </si>
  <si>
    <t xml:space="preserve">Justiça Eleitoral, direito de resposta, deepfake, remoção de conteúdo</t>
  </si>
  <si>
    <r>
      <rPr>
        <sz val="10"/>
        <rFont val="Arial"/>
        <family val="0"/>
        <charset val="1"/>
      </rPr>
      <t xml:space="preserve">TV </t>
    </r>
    <r>
      <rPr>
        <sz val="10"/>
        <rFont val="WenQuanYi Zen Hei"/>
        <family val="2"/>
      </rPr>
      <t xml:space="preserve">토론 초청</t>
    </r>
  </si>
  <si>
    <t xml:space="preserve">방송사는 하원 5석 이상 정당의 후보를 토론에 초청해야 한다. 그 밖의 후보 초청은 방송사와 다른 후보 3분의 2의 합의에 달려 있다.</t>
  </si>
  <si>
    <t xml:space="preserve">선거법 제46조</t>
  </si>
  <si>
    <r>
      <rPr>
        <sz val="10"/>
        <rFont val="Arial"/>
        <family val="0"/>
        <charset val="1"/>
      </rPr>
      <t xml:space="preserve">10</t>
    </r>
    <r>
      <rPr>
        <sz val="10"/>
        <rFont val="WenQuanYi Zen Hei"/>
        <family val="2"/>
      </rPr>
      <t xml:space="preserve">부 </t>
    </r>
    <r>
      <rPr>
        <sz val="10"/>
        <rFont val="Arial"/>
        <family val="0"/>
        <charset val="1"/>
      </rPr>
      <t xml:space="preserve">3</t>
    </r>
    <r>
      <rPr>
        <sz val="10"/>
        <rFont val="WenQuanYi Zen Hei"/>
        <family val="2"/>
      </rPr>
      <t xml:space="preserve">화</t>
    </r>
  </si>
  <si>
    <t xml:space="preserve">debate, convite obrigatório, regras do debate</t>
  </si>
  <si>
    <t xml:space="preserve">반론권</t>
  </si>
  <si>
    <t xml:space="preserve">허위·왜곡 보도의 피해자는 해당 매체에 반론 게재를 청구할 수 있다. 선거 기간에는 선거법원이 짧은 기한으로 심판한다.</t>
  </si>
  <si>
    <r>
      <rPr>
        <sz val="10"/>
        <rFont val="Noto Sans CJK SC"/>
        <family val="2"/>
        <charset val="1"/>
      </rPr>
      <t xml:space="preserve">Lei 13.188/2015, </t>
    </r>
    <r>
      <rPr>
        <sz val="10"/>
        <rFont val="WenQuanYi Zen Hei"/>
        <family val="2"/>
      </rPr>
      <t xml:space="preserve">선거법 제</t>
    </r>
    <r>
      <rPr>
        <sz val="10"/>
        <rFont val="Noto Sans CJK SC"/>
        <family val="2"/>
        <charset val="1"/>
      </rPr>
      <t xml:space="preserve">58</t>
    </r>
    <r>
      <rPr>
        <sz val="10"/>
        <rFont val="WenQuanYi Zen Hei"/>
        <family val="2"/>
      </rPr>
      <t xml:space="preserve">조</t>
    </r>
  </si>
  <si>
    <r>
      <rPr>
        <sz val="10"/>
        <rFont val="Arial"/>
        <family val="0"/>
        <charset val="1"/>
      </rPr>
      <t xml:space="preserve">8</t>
    </r>
    <r>
      <rPr>
        <sz val="10"/>
        <rFont val="WenQuanYi Zen Hei"/>
        <family val="2"/>
      </rPr>
      <t xml:space="preserve">부 </t>
    </r>
    <r>
      <rPr>
        <sz val="10"/>
        <rFont val="Arial"/>
        <family val="0"/>
        <charset val="1"/>
      </rPr>
      <t xml:space="preserve">10</t>
    </r>
    <r>
      <rPr>
        <sz val="10"/>
        <rFont val="WenQuanYi Zen Hei"/>
        <family val="2"/>
      </rPr>
      <t xml:space="preserve">화</t>
    </r>
  </si>
  <si>
    <t xml:space="preserve">direito de resposta, retratação</t>
  </si>
  <si>
    <t xml:space="preserve">의회</t>
  </si>
  <si>
    <t xml:space="preserve">연방의회 (Congresso Nacional)</t>
  </si>
  <si>
    <t xml:space="preserve">하원(513석)과 상원(81석, 주당 3석)의 양원제. 법안은 양원을 모두 통과해야 하고, 대통령은 15일 안에 재가하거나 거부(veto)할 수 있다. 거부권은 양원 합동회의 과반으로 뒤집힌다.</t>
  </si>
  <si>
    <t xml:space="preserve">헌법 제44~66조</t>
  </si>
  <si>
    <r>
      <rPr>
        <sz val="10"/>
        <rFont val="Arial"/>
        <family val="0"/>
        <charset val="1"/>
      </rPr>
      <t xml:space="preserve">10~12</t>
    </r>
    <r>
      <rPr>
        <sz val="10"/>
        <rFont val="WenQuanYi Zen Hei"/>
        <family val="2"/>
      </rPr>
      <t xml:space="preserve">부</t>
    </r>
  </si>
  <si>
    <t xml:space="preserve">Câmara dos Deputados, Senado, sanção, veto</t>
  </si>
  <si>
    <t xml:space="preserve">의원단과 의장단</t>
  </si>
  <si>
    <t xml:space="preserve">각 원은 2년 임기의 의장단(Mesa)을 뽑는다. 하원의장은 의사일정과 탄핵 청구 수리 권한을 가져 가장 강력한 자리 중 하나다.</t>
  </si>
  <si>
    <t xml:space="preserve">하원 의사규칙</t>
  </si>
  <si>
    <r>
      <rPr>
        <sz val="10"/>
        <rFont val="Arial"/>
        <family val="0"/>
        <charset val="1"/>
      </rPr>
      <t xml:space="preserve">8</t>
    </r>
    <r>
      <rPr>
        <sz val="10"/>
        <rFont val="WenQuanYi Zen Hei"/>
        <family val="2"/>
      </rPr>
      <t xml:space="preserve">부 </t>
    </r>
    <r>
      <rPr>
        <sz val="10"/>
        <rFont val="Arial"/>
        <family val="0"/>
        <charset val="1"/>
      </rPr>
      <t xml:space="preserve">4</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</si>
  <si>
    <t xml:space="preserve">Mesa Diretora, presidente da Câmara, líder de bancada, pauta</t>
  </si>
  <si>
    <t xml:space="preserve">입법 절차</t>
  </si>
  <si>
    <t xml:space="preserve">정부·의원·국민발안 법안 → 위원회(헌법사법위원회 등) → 본회의 → 상대 원 → 재가·거부 → 관보 공포.</t>
  </si>
  <si>
    <t xml:space="preserve">헌법 제59~69조</t>
  </si>
  <si>
    <r>
      <rPr>
        <sz val="10"/>
        <rFont val="Arial"/>
        <family val="0"/>
        <charset val="1"/>
      </rPr>
      <t xml:space="preserve">11</t>
    </r>
    <r>
      <rPr>
        <sz val="10"/>
        <rFont val="WenQuanYi Zen Hei"/>
        <family val="2"/>
      </rPr>
      <t xml:space="preserve">부</t>
    </r>
  </si>
  <si>
    <t xml:space="preserve">projeto de lei, comissão, plenário, sanção, Diário Oficial</t>
  </si>
  <si>
    <t xml:space="preserve">보충법률과 헌법 개정</t>
  </si>
  <si>
    <t xml:space="preserve">보충법률(lei complementar)은 절대과반(하원 257표). 헌법 개정(PEC)은 양원에서 각각 두 차례 5분의 3(하원 308표) 찬성이 필요.</t>
  </si>
  <si>
    <t xml:space="preserve">헌법 제60·69조</t>
  </si>
  <si>
    <r>
      <rPr>
        <sz val="10"/>
        <rFont val="Arial"/>
        <family val="0"/>
        <charset val="1"/>
      </rPr>
      <t xml:space="preserve">11</t>
    </r>
    <r>
      <rPr>
        <sz val="10"/>
        <rFont val="WenQuanYi Zen Hei"/>
        <family val="2"/>
      </rPr>
      <t xml:space="preserve">부 </t>
    </r>
    <r>
      <rPr>
        <sz val="10"/>
        <rFont val="Arial"/>
        <family val="0"/>
        <charset val="1"/>
      </rPr>
      <t xml:space="preserve">3</t>
    </r>
    <r>
      <rPr>
        <sz val="10"/>
        <rFont val="WenQuanYi Zen Hei"/>
        <family val="2"/>
      </rPr>
      <t xml:space="preserve">화</t>
    </r>
  </si>
  <si>
    <t xml:space="preserve">lei complementar, PEC, maioria absoluta, três quintos</t>
  </si>
  <si>
    <t xml:space="preserve">임시조치 (Medida Provisória)</t>
  </si>
  <si>
    <t xml:space="preserve">대통령이 긴급하고 중대한 경우 법률의 효력을 갖는 임시조치를 발령. 60+60일 안에 의회가 법률로 전환하지 않으면 효력을 잃는다. 세금을 신설·인상하는 임시조치는 연내 법률로 전환돼야 이듬해부터 효력.</t>
  </si>
  <si>
    <t xml:space="preserve">헌법 제62조</t>
  </si>
  <si>
    <r>
      <rPr>
        <sz val="10"/>
        <rFont val="Arial"/>
        <family val="0"/>
        <charset val="1"/>
      </rPr>
      <t xml:space="preserve">11</t>
    </r>
    <r>
      <rPr>
        <sz val="10"/>
        <rFont val="WenQuanYi Zen Hei"/>
        <family val="2"/>
      </rPr>
      <t xml:space="preserve">부 </t>
    </r>
    <r>
      <rPr>
        <sz val="10"/>
        <rFont val="Arial"/>
        <family val="0"/>
        <charset val="1"/>
      </rPr>
      <t xml:space="preserve">8</t>
    </r>
    <r>
      <rPr>
        <sz val="10"/>
        <rFont val="WenQuanYi Zen Hei"/>
        <family val="2"/>
      </rPr>
      <t xml:space="preserve">화</t>
    </r>
  </si>
  <si>
    <t xml:space="preserve">medida provisória, conversão em lei, urgência e relevância</t>
  </si>
  <si>
    <t xml:space="preserve">예산</t>
  </si>
  <si>
    <t xml:space="preserve">정부는 다년계획·예산지침법·연간 예산안을 제출하며 연간 예산안은 8월 31일까지 의회에 보낸다. 의원들의 예산 수정(emendas)은 일부가 의무 집행된다. 연말까지 통과되지 않으면 예산지침법에 따라 잠정 집행.</t>
  </si>
  <si>
    <t xml:space="preserve">헌법 제165~166조, 헌법 부칙 제35조</t>
  </si>
  <si>
    <r>
      <rPr>
        <sz val="10"/>
        <rFont val="Arial"/>
        <family val="0"/>
        <charset val="1"/>
      </rPr>
      <t xml:space="preserve">12</t>
    </r>
    <r>
      <rPr>
        <sz val="10"/>
        <rFont val="WenQuanYi Zen Hei"/>
        <family val="2"/>
      </rPr>
      <t xml:space="preserve">부 </t>
    </r>
    <r>
      <rPr>
        <sz val="10"/>
        <rFont val="Arial"/>
        <family val="0"/>
        <charset val="1"/>
      </rPr>
      <t xml:space="preserve">11~12</t>
    </r>
    <r>
      <rPr>
        <sz val="10"/>
        <rFont val="WenQuanYi Zen Hei"/>
        <family val="2"/>
      </rPr>
      <t xml:space="preserve">화</t>
    </r>
  </si>
  <si>
    <t xml:space="preserve">PLOA, LDO, emenda parlamentar, execução provisória</t>
  </si>
  <si>
    <t xml:space="preserve">의원 특권</t>
  </si>
  <si>
    <t xml:space="preserve">의원은 발언·표결에 대해 면책이며, 현행범이 아니면 체포되지 않는다. 형사 재판은 연방대법원(STF) 관할.</t>
  </si>
  <si>
    <t xml:space="preserve">헌법 제53조</t>
  </si>
  <si>
    <t xml:space="preserve">imunidade parlamentar, foro privilegiado</t>
  </si>
  <si>
    <t xml:space="preserve">의회조사위원회 (CPI)</t>
  </si>
  <si>
    <t xml:space="preserve">각 원(시의회 포함) 의원 3분의 1의 서명으로 CPI를 만들 수 있고, 증인 소환 등 사법기관에 준하는 조사권을 가진다. 결과는 검찰에 보낸다.</t>
  </si>
  <si>
    <t xml:space="preserve">헌법 제58조 3항, 시 조직법</t>
  </si>
  <si>
    <r>
      <rPr>
        <sz val="10"/>
        <rFont val="Arial"/>
        <family val="0"/>
        <charset val="1"/>
      </rPr>
      <t xml:space="preserve">9</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5</t>
    </r>
    <r>
      <rPr>
        <sz val="10"/>
        <rFont val="WenQuanYi Zen Hei"/>
        <family val="2"/>
      </rPr>
      <t xml:space="preserve">화</t>
    </r>
  </si>
  <si>
    <t xml:space="preserve">CPI, convocação, depoimento, relatório final</t>
  </si>
  <si>
    <t xml:space="preserve">대통령·정부</t>
  </si>
  <si>
    <t xml:space="preserve">대통령 취임</t>
  </si>
  <si>
    <t xml:space="preserve">선거법원이 12월에 당선증을 수여(diplomação)하고, 1월 5일 연방의회 합동회의에서 헌법 수호를 선서하며 취임한다. 이어 Planalto에서 대통령 휘장을 받는 의전이 있다.</t>
  </si>
  <si>
    <t xml:space="preserve">헌법 제78·82조(헌법 개정 111/2021로 1월 5일)</t>
  </si>
  <si>
    <r>
      <rPr>
        <sz val="10"/>
        <rFont val="Arial"/>
        <family val="0"/>
        <charset val="1"/>
      </rPr>
      <t xml:space="preserve">10</t>
    </r>
    <r>
      <rPr>
        <sz val="10"/>
        <rFont val="WenQuanYi Zen Hei"/>
        <family val="2"/>
      </rPr>
      <t xml:space="preserve">부 </t>
    </r>
    <r>
      <rPr>
        <sz val="10"/>
        <rFont val="Arial"/>
        <family val="0"/>
        <charset val="1"/>
      </rPr>
      <t xml:space="preserve">12</t>
    </r>
    <r>
      <rPr>
        <sz val="10"/>
        <rFont val="WenQuanYi Zen Hei"/>
        <family val="2"/>
      </rPr>
      <t xml:space="preserve">화</t>
    </r>
  </si>
  <si>
    <t xml:space="preserve">diplomação, posse, compromisso constitucional, faixa presidencial</t>
  </si>
  <si>
    <t xml:space="preserve">장관과 대통령실</t>
  </si>
  <si>
    <t xml:space="preserve">장관은 대통령이 자유롭게 임명·해임. 수석장관실(Casa Civil)이 정부 조정과 법안 검토를 맡고, 정보청(Abin)도 현재 수석장관실 소속. 대변인은 대통령실 소속.</t>
  </si>
  <si>
    <t xml:space="preserve">헌법 제84·87조, 정부조직법(Lei 14.600/2023)</t>
  </si>
  <si>
    <r>
      <rPr>
        <sz val="10"/>
        <rFont val="Arial"/>
        <family val="0"/>
        <charset val="1"/>
      </rPr>
      <t xml:space="preserve">11</t>
    </r>
    <r>
      <rPr>
        <sz val="10"/>
        <rFont val="WenQuanYi Zen Hei"/>
        <family val="2"/>
      </rPr>
      <t xml:space="preserve">부 </t>
    </r>
    <r>
      <rPr>
        <sz val="10"/>
        <rFont val="Arial"/>
        <family val="0"/>
        <charset val="1"/>
      </rPr>
      <t xml:space="preserve">1</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5</t>
    </r>
    <r>
      <rPr>
        <sz val="10"/>
        <rFont val="WenQuanYi Zen Hei"/>
        <family val="2"/>
      </rPr>
      <t xml:space="preserve">화</t>
    </r>
  </si>
  <si>
    <t xml:space="preserve">ministro, Casa Civil, Secom, porta-voz, reunião ministerial</t>
  </si>
  <si>
    <t xml:space="preserve">연립 대통령제</t>
  </si>
  <si>
    <t xml:space="preserve">대통령당이 의회 과반을 갖는 경우가 거의 없어 여러 정당에 장관직·예산을 나눠 주고 '정부 지지 기반(base aliada)'을 만든다. 법안 표결마다 기반이 흔들린다.</t>
  </si>
  <si>
    <t xml:space="preserve">관행 (정치학 용어 presidencialismo de coalizão)</t>
  </si>
  <si>
    <r>
      <rPr>
        <sz val="10"/>
        <rFont val="Arial"/>
        <family val="0"/>
        <charset val="1"/>
      </rPr>
      <t xml:space="preserve">10</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 11~12</t>
    </r>
    <r>
      <rPr>
        <sz val="10"/>
        <rFont val="WenQuanYi Zen Hei"/>
        <family val="2"/>
      </rPr>
      <t xml:space="preserve">부</t>
    </r>
  </si>
  <si>
    <t xml:space="preserve">base aliada, governabilidade, Centrão, ministérios</t>
  </si>
  <si>
    <t xml:space="preserve">탄핵 (impeachment)</t>
  </si>
  <si>
    <t xml:space="preserve">누구나 하원에 탄핵을 청구할 수 있고, 하원의장이 수리 여부를 정한다. 하원 3분의 2(342표)가 승인하면 상원이 심판하며, 상원 3분의 2(54표)로 파면. 불신임 투표 제도는 없다.</t>
  </si>
  <si>
    <t xml:space="preserve">헌법 제85·86조, 책임범죄법(Lei 1.079/1950)</t>
  </si>
  <si>
    <r>
      <rPr>
        <sz val="10"/>
        <rFont val="Arial"/>
        <family val="0"/>
        <charset val="1"/>
      </rPr>
      <t xml:space="preserve">12</t>
    </r>
    <r>
      <rPr>
        <sz val="10"/>
        <rFont val="WenQuanYi Zen Hei"/>
        <family val="2"/>
      </rPr>
      <t xml:space="preserve">부 </t>
    </r>
    <r>
      <rPr>
        <sz val="10"/>
        <rFont val="Arial"/>
        <family val="0"/>
        <charset val="1"/>
      </rPr>
      <t xml:space="preserve">7</t>
    </r>
    <r>
      <rPr>
        <sz val="10"/>
        <rFont val="WenQuanYi Zen Hei"/>
        <family val="2"/>
      </rPr>
      <t xml:space="preserve">화</t>
    </r>
  </si>
  <si>
    <t xml:space="preserve">impeachment, crime de responsabilidade, admissibilidade, dois terços</t>
  </si>
  <si>
    <t xml:space="preserve">당선인은 인수팀을 꾸려 정부 자료에 접근할 수 있다.</t>
  </si>
  <si>
    <t xml:space="preserve">Lei 10.609/2002</t>
  </si>
  <si>
    <r>
      <rPr>
        <sz val="10"/>
        <rFont val="Arial"/>
        <family val="0"/>
        <charset val="1"/>
      </rPr>
      <t xml:space="preserve">10</t>
    </r>
    <r>
      <rPr>
        <sz val="10"/>
        <rFont val="WenQuanYi Zen Hei"/>
        <family val="2"/>
      </rPr>
      <t xml:space="preserve">부 </t>
    </r>
    <r>
      <rPr>
        <sz val="10"/>
        <rFont val="Arial"/>
        <family val="0"/>
        <charset val="1"/>
      </rPr>
      <t xml:space="preserve">11</t>
    </r>
    <r>
      <rPr>
        <sz val="10"/>
        <rFont val="WenQuanYi Zen Hei"/>
        <family val="2"/>
      </rPr>
      <t xml:space="preserve">화</t>
    </r>
  </si>
  <si>
    <t xml:space="preserve">equipe de transição, gabinete de transição</t>
  </si>
  <si>
    <t xml:space="preserve">공직자 이해충돌</t>
  </si>
  <si>
    <t xml:space="preserve">장관 등 고위직은 겸직·민간 활동이 제한되고 퇴임 후 일정 기간 제한(quarentena)이 있다. 대통령 등 행정부 수장은 변호사 업무가 금지된다.</t>
  </si>
  <si>
    <r>
      <rPr>
        <sz val="10"/>
        <rFont val="Arial"/>
        <family val="0"/>
        <charset val="1"/>
      </rPr>
      <t xml:space="preserve">Lei 12.813/2013, </t>
    </r>
    <r>
      <rPr>
        <sz val="10"/>
        <rFont val="WenQuanYi Zen Hei"/>
        <family val="2"/>
      </rPr>
      <t xml:space="preserve">변호사법</t>
    </r>
    <r>
      <rPr>
        <sz val="10"/>
        <rFont val="Arial"/>
        <family val="0"/>
        <charset val="1"/>
      </rPr>
      <t xml:space="preserve">(Lei 8.906/1994) </t>
    </r>
    <r>
      <rPr>
        <sz val="10"/>
        <rFont val="WenQuanYi Zen Hei"/>
        <family val="2"/>
      </rPr>
      <t xml:space="preserve">제</t>
    </r>
    <r>
      <rPr>
        <sz val="10"/>
        <rFont val="Arial"/>
        <family val="0"/>
        <charset val="1"/>
      </rPr>
      <t xml:space="preserve">28</t>
    </r>
    <r>
      <rPr>
        <sz val="10"/>
        <rFont val="WenQuanYi Zen Hei"/>
        <family val="2"/>
      </rPr>
      <t xml:space="preserve">조</t>
    </r>
  </si>
  <si>
    <r>
      <rPr>
        <sz val="10"/>
        <rFont val="Arial"/>
        <family val="0"/>
        <charset val="1"/>
      </rPr>
      <t xml:space="preserve">13</t>
    </r>
    <r>
      <rPr>
        <sz val="10"/>
        <rFont val="WenQuanYi Zen Hei"/>
        <family val="2"/>
      </rPr>
      <t xml:space="preserve">부 </t>
    </r>
    <r>
      <rPr>
        <sz val="10"/>
        <rFont val="Arial"/>
        <family val="0"/>
        <charset val="1"/>
      </rPr>
      <t xml:space="preserve">1·4</t>
    </r>
    <r>
      <rPr>
        <sz val="10"/>
        <rFont val="WenQuanYi Zen Hei"/>
        <family val="2"/>
      </rPr>
      <t xml:space="preserve">화</t>
    </r>
  </si>
  <si>
    <t xml:space="preserve">conflito de interesses, quarentena, incompatibilidade</t>
  </si>
  <si>
    <t xml:space="preserve">사회적 대화</t>
  </si>
  <si>
    <t xml:space="preserve">정부·노조 연합·경영계가 청년 고용·최저임금·앱 노동을 협의하는 틀. 대통령 자문 기구(경제사회개발위원회)도 있다.</t>
  </si>
  <si>
    <t xml:space="preserve">관행 및 각종 협약</t>
  </si>
  <si>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9</t>
    </r>
    <r>
      <rPr>
        <sz val="10"/>
        <rFont val="WenQuanYi Zen Hei"/>
        <family val="2"/>
      </rPr>
      <t xml:space="preserve">화</t>
    </r>
  </si>
  <si>
    <t xml:space="preserve">diálogo social, centrais sindicais, setor empresarial, pacto</t>
  </si>
  <si>
    <t xml:space="preserve">연방</t>
  </si>
  <si>
    <t xml:space="preserve">권한 배분</t>
  </si>
  <si>
    <t xml:space="preserve">보건(SUS)은 연방·주·시가 함께 책임지며, 병원 운영과 위탁 계약은 대개 주·시 몫이다. 도시계획·용도지역은 시 권한. 주거는 공동 권한이라 연방은 재원과 기본법으로 개입한다.</t>
  </si>
  <si>
    <t xml:space="preserve">헌법 제23·24·30·182·198조</t>
  </si>
  <si>
    <r>
      <rPr>
        <sz val="10"/>
        <rFont val="Arial"/>
        <family val="0"/>
        <charset val="1"/>
      </rPr>
      <t xml:space="preserve">9</t>
    </r>
    <r>
      <rPr>
        <sz val="10"/>
        <rFont val="WenQuanYi Zen Hei"/>
        <family val="2"/>
      </rPr>
      <t xml:space="preserve">부 </t>
    </r>
    <r>
      <rPr>
        <sz val="10"/>
        <rFont val="Arial"/>
        <family val="0"/>
        <charset val="1"/>
      </rPr>
      <t xml:space="preserve">7</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3~5</t>
    </r>
    <r>
      <rPr>
        <sz val="10"/>
        <rFont val="WenQuanYi Zen Hei"/>
        <family val="2"/>
      </rPr>
      <t xml:space="preserve">화</t>
    </r>
  </si>
  <si>
    <t xml:space="preserve">competência comum, competência concorrente, municipal, SUS tripartite</t>
  </si>
  <si>
    <r>
      <rPr>
        <sz val="10"/>
        <rFont val="Noto Sans CJK SC"/>
        <family val="2"/>
        <charset val="1"/>
      </rPr>
      <t xml:space="preserve">SUS </t>
    </r>
    <r>
      <rPr>
        <sz val="10"/>
        <rFont val="WenQuanYi Zen Hei"/>
        <family val="2"/>
      </rPr>
      <t xml:space="preserve">협의체</t>
    </r>
  </si>
  <si>
    <t xml:space="preserve">연방–주–시 보건 협의는 3자 협의체(CIT)와 주별 2자 협의체(CIB)에서 합의로 이뤄진다.</t>
  </si>
  <si>
    <r>
      <rPr>
        <sz val="10"/>
        <rFont val="Noto Sans CJK SC"/>
        <family val="2"/>
        <charset val="1"/>
      </rPr>
      <t xml:space="preserve">SUS </t>
    </r>
    <r>
      <rPr>
        <sz val="10"/>
        <rFont val="WenQuanYi Zen Hei"/>
        <family val="2"/>
      </rPr>
      <t xml:space="preserve">기본법</t>
    </r>
    <r>
      <rPr>
        <sz val="10"/>
        <rFont val="Noto Sans CJK SC"/>
        <family val="2"/>
        <charset val="1"/>
      </rPr>
      <t xml:space="preserve">(Lei 8.080/1990), Lei 12.466/2011</t>
    </r>
  </si>
  <si>
    <r>
      <rPr>
        <sz val="10"/>
        <rFont val="Arial"/>
        <family val="0"/>
        <charset val="1"/>
      </rPr>
      <t xml:space="preserve">11</t>
    </r>
    <r>
      <rPr>
        <sz val="10"/>
        <rFont val="WenQuanYi Zen Hei"/>
        <family val="2"/>
      </rPr>
      <t xml:space="preserve">부 </t>
    </r>
    <r>
      <rPr>
        <sz val="10"/>
        <rFont val="Arial"/>
        <family val="0"/>
        <charset val="1"/>
      </rPr>
      <t xml:space="preserve">4</t>
    </r>
    <r>
      <rPr>
        <sz val="10"/>
        <rFont val="WenQuanYi Zen Hei"/>
        <family val="2"/>
      </rPr>
      <t xml:space="preserve">화</t>
    </r>
  </si>
  <si>
    <t xml:space="preserve">CIT, CIB, pactuação, repasse fundo a fundo</t>
  </si>
  <si>
    <t xml:space="preserve">상파울루 시정</t>
  </si>
  <si>
    <t xml:space="preserve">시장(Prefeito)과 시의회(Câmara Municipal, Palácio Anchieta). 시 감사원(TCM-SP)이 시 재정을 감사. 시 주택공사(COHAB-SP) 등 산하 기관 계약은 공공조달법 적용.</t>
  </si>
  <si>
    <t xml:space="preserve">상파울루시 조직법, 공공조달법(Lei 14.133/2021)</t>
  </si>
  <si>
    <r>
      <rPr>
        <sz val="10"/>
        <rFont val="Arial"/>
        <family val="0"/>
        <charset val="1"/>
      </rPr>
      <t xml:space="preserve">9</t>
    </r>
    <r>
      <rPr>
        <sz val="10"/>
        <rFont val="WenQuanYi Zen Hei"/>
        <family val="2"/>
      </rPr>
      <t xml:space="preserve">부</t>
    </r>
  </si>
  <si>
    <t xml:space="preserve">prefeito, vereador, sessão plenária, requerimento, edital</t>
  </si>
  <si>
    <t xml:space="preserve">주 정부 부채</t>
  </si>
  <si>
    <t xml:space="preserve">주들은 연방에 큰 부채를 지고 있어 재협상 프로그램이 반복된다. 상원이 주 부채 한도를 정한다.</t>
  </si>
  <si>
    <t xml:space="preserve">헌법 제52조, 주 부채 재협상법(LC 212/2025, 확인)</t>
  </si>
  <si>
    <r>
      <rPr>
        <sz val="10"/>
        <rFont val="Arial"/>
        <family val="0"/>
        <charset val="1"/>
      </rPr>
      <t xml:space="preserve">10</t>
    </r>
    <r>
      <rPr>
        <sz val="10"/>
        <rFont val="WenQuanYi Zen Hei"/>
        <family val="2"/>
      </rPr>
      <t xml:space="preserve">부 </t>
    </r>
    <r>
      <rPr>
        <sz val="10"/>
        <rFont val="Arial"/>
        <family val="0"/>
        <charset val="1"/>
      </rPr>
      <t xml:space="preserve">11</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</si>
  <si>
    <t xml:space="preserve">dívida dos estados, renegociação, Senado, pacto federativo</t>
  </si>
  <si>
    <t xml:space="preserve">재난·민방위</t>
  </si>
  <si>
    <t xml:space="preserve">재난 1차 대응은 시·주 민방위, 연방은 재난 상황·공공재난사태를 인정하고 재원·군을 지원한다. 특별 예산은 임시조치로 편성 가능. 휴대전화 긴급 경보 체계가 있다.</t>
  </si>
  <si>
    <t xml:space="preserve">국가 민방위 정책(Lei 12.608/2012), 헌법 제167조 3항</t>
  </si>
  <si>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t>
    </r>
  </si>
  <si>
    <t xml:space="preserve">Defesa Civil, situação de emergência, calamidade pública, crédito extraordinário</t>
  </si>
  <si>
    <t xml:space="preserve">연방대법원과 위헌 소송</t>
  </si>
  <si>
    <t xml:space="preserve">연방대법원(STF, 11인)이 헌법 재판을 맡는다. 위헌소송(ADI)은 대통령, 상·하원 의장단, 주지사, 검찰총장, 정당(의석 보유) 등이 제기할 수 있다.</t>
  </si>
  <si>
    <t xml:space="preserve">헌법 제102·103조</t>
  </si>
  <si>
    <r>
      <rPr>
        <sz val="10"/>
        <rFont val="Arial"/>
        <family val="0"/>
        <charset val="1"/>
      </rPr>
      <t xml:space="preserve">11</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</si>
  <si>
    <t xml:space="preserve">STF, ADI, ADPF, ministro, decisão monocrática</t>
  </si>
  <si>
    <t xml:space="preserve">공익소송·시민소송</t>
  </si>
  <si>
    <t xml:space="preserve">형사 기소는 검찰 독점이지만, 시민단체·검찰은 공익소송(ação civil pública)으로, 유권자 개인은 시민소송(ação popular)으로 공공 재산 훼손을 다툴 수 있다.</t>
  </si>
  <si>
    <r>
      <rPr>
        <sz val="10"/>
        <rFont val="Arial"/>
        <family val="0"/>
        <charset val="1"/>
      </rPr>
      <t xml:space="preserve">Lei 7.347/1985, Lei 4.717/1965, </t>
    </r>
    <r>
      <rPr>
        <sz val="10"/>
        <rFont val="WenQuanYi Zen Hei"/>
        <family val="2"/>
      </rPr>
      <t xml:space="preserve">헌법 제</t>
    </r>
    <r>
      <rPr>
        <sz val="10"/>
        <rFont val="Arial"/>
        <family val="0"/>
        <charset val="1"/>
      </rPr>
      <t xml:space="preserve">5</t>
    </r>
    <r>
      <rPr>
        <sz val="10"/>
        <rFont val="WenQuanYi Zen Hei"/>
        <family val="2"/>
      </rPr>
      <t xml:space="preserve">조 </t>
    </r>
    <r>
      <rPr>
        <sz val="10"/>
        <rFont val="Arial"/>
        <family val="0"/>
        <charset val="1"/>
      </rPr>
      <t xml:space="preserve">LXXIII·</t>
    </r>
    <r>
      <rPr>
        <sz val="10"/>
        <rFont val="WenQuanYi Zen Hei"/>
        <family val="2"/>
      </rPr>
      <t xml:space="preserve">제</t>
    </r>
    <r>
      <rPr>
        <sz val="10"/>
        <rFont val="Arial"/>
        <family val="0"/>
        <charset val="1"/>
      </rPr>
      <t xml:space="preserve">129</t>
    </r>
    <r>
      <rPr>
        <sz val="10"/>
        <rFont val="WenQuanYi Zen Hei"/>
        <family val="2"/>
      </rPr>
      <t xml:space="preserve">조</t>
    </r>
  </si>
  <si>
    <r>
      <rPr>
        <sz val="10"/>
        <rFont val="Arial"/>
        <family val="0"/>
        <charset val="1"/>
      </rPr>
      <t xml:space="preserve">7</t>
    </r>
    <r>
      <rPr>
        <sz val="10"/>
        <rFont val="WenQuanYi Zen Hei"/>
        <family val="2"/>
      </rPr>
      <t xml:space="preserve">부</t>
    </r>
    <r>
      <rPr>
        <sz val="10"/>
        <rFont val="Arial"/>
        <family val="0"/>
        <charset val="1"/>
      </rPr>
      <t xml:space="preserve">, 9</t>
    </r>
    <r>
      <rPr>
        <sz val="10"/>
        <rFont val="WenQuanYi Zen Hei"/>
        <family val="2"/>
      </rPr>
      <t xml:space="preserve">부 </t>
    </r>
    <r>
      <rPr>
        <sz val="10"/>
        <rFont val="Arial"/>
        <family val="0"/>
        <charset val="1"/>
      </rPr>
      <t xml:space="preserve">9</t>
    </r>
    <r>
      <rPr>
        <sz val="10"/>
        <rFont val="WenQuanYi Zen Hei"/>
        <family val="2"/>
      </rPr>
      <t xml:space="preserve">화</t>
    </r>
  </si>
  <si>
    <t xml:space="preserve">ação civil pública, ação popular, representação, Ministério Público</t>
  </si>
  <si>
    <t xml:space="preserve">내부고발자 보호</t>
  </si>
  <si>
    <t xml:space="preserve">신고자의 신원 보호와 보복 금지, 일정한 경우 보상을 규정한다.</t>
  </si>
  <si>
    <r>
      <rPr>
        <sz val="10"/>
        <rFont val="Arial"/>
        <family val="0"/>
        <charset val="1"/>
      </rPr>
      <t xml:space="preserve">Lei 13.608/2018 (Lei 13.964/2019</t>
    </r>
    <r>
      <rPr>
        <sz val="10"/>
        <rFont val="WenQuanYi Zen Hei"/>
        <family val="2"/>
      </rPr>
      <t xml:space="preserve">로 개정</t>
    </r>
    <r>
      <rPr>
        <sz val="10"/>
        <rFont val="Arial"/>
        <family val="0"/>
        <charset val="1"/>
      </rPr>
      <t xml:space="preserve">)</t>
    </r>
  </si>
  <si>
    <r>
      <rPr>
        <sz val="10"/>
        <rFont val="Arial"/>
        <family val="0"/>
        <charset val="1"/>
      </rPr>
      <t xml:space="preserve">7</t>
    </r>
    <r>
      <rPr>
        <sz val="10"/>
        <rFont val="WenQuanYi Zen Hei"/>
        <family val="2"/>
      </rPr>
      <t xml:space="preserve">부</t>
    </r>
    <r>
      <rPr>
        <sz val="10"/>
        <rFont val="Arial"/>
        <family val="0"/>
        <charset val="1"/>
      </rPr>
      <t xml:space="preserve">, 9</t>
    </r>
    <r>
      <rPr>
        <sz val="10"/>
        <rFont val="WenQuanYi Zen Hei"/>
        <family val="2"/>
      </rPr>
      <t xml:space="preserve">부 </t>
    </r>
    <r>
      <rPr>
        <sz val="10"/>
        <rFont val="Arial"/>
        <family val="0"/>
        <charset val="1"/>
      </rPr>
      <t xml:space="preserve">8</t>
    </r>
    <r>
      <rPr>
        <sz val="10"/>
        <rFont val="WenQuanYi Zen Hei"/>
        <family val="2"/>
      </rPr>
      <t xml:space="preserve">화</t>
    </r>
  </si>
  <si>
    <t xml:space="preserve">whistleblower, denunciante, canal de denúncias, retaliação</t>
  </si>
  <si>
    <t xml:space="preserve">위법 수집 증거와 감청</t>
  </si>
  <si>
    <t xml:space="preserve">위법하게 얻은 증거는 쓸 수 없다. 통신 감청은 형사 수사를 위해 법원 허가가 있을 때만 가능.</t>
  </si>
  <si>
    <t xml:space="preserve">헌법 제5조 XII·LVI, 형사소송법 제157조, 감청법(Lei 9.296/1996)</t>
  </si>
  <si>
    <r>
      <rPr>
        <sz val="10"/>
        <rFont val="Arial"/>
        <family val="0"/>
        <charset val="1"/>
      </rPr>
      <t xml:space="preserve">7</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11</t>
    </r>
    <r>
      <rPr>
        <sz val="10"/>
        <rFont val="WenQuanYi Zen Hei"/>
        <family val="2"/>
      </rPr>
      <t xml:space="preserve">부 </t>
    </r>
    <r>
      <rPr>
        <sz val="10"/>
        <rFont val="Arial"/>
        <family val="0"/>
        <charset val="1"/>
      </rPr>
      <t xml:space="preserve">7</t>
    </r>
    <r>
      <rPr>
        <sz val="10"/>
        <rFont val="WenQuanYi Zen Hei"/>
        <family val="2"/>
      </rPr>
      <t xml:space="preserve">화</t>
    </r>
  </si>
  <si>
    <t xml:space="preserve">prova ilícita, interceptação telefônica, autorização judicial</t>
  </si>
  <si>
    <t xml:space="preserve">정보기관 통제</t>
  </si>
  <si>
    <t xml:space="preserve">정보청(Abin)이 국가정보체계(Sisbin)를 이끌며, 의회의 정보활동통제위원회(CCAI)가 외부 통제를 맡는다. 감청 권한은 없다.</t>
  </si>
  <si>
    <t xml:space="preserve">정보청법(Lei 9.883/1999)</t>
  </si>
  <si>
    <r>
      <rPr>
        <sz val="10"/>
        <rFont val="Arial"/>
        <family val="0"/>
        <charset val="1"/>
      </rPr>
      <t xml:space="preserve">12</t>
    </r>
    <r>
      <rPr>
        <sz val="10"/>
        <rFont val="WenQuanYi Zen Hei"/>
        <family val="2"/>
      </rPr>
      <t xml:space="preserve">부 </t>
    </r>
    <r>
      <rPr>
        <sz val="10"/>
        <rFont val="Arial"/>
        <family val="0"/>
        <charset val="1"/>
      </rPr>
      <t xml:space="preserve">5</t>
    </r>
    <r>
      <rPr>
        <sz val="10"/>
        <rFont val="WenQuanYi Zen Hei"/>
        <family val="2"/>
      </rPr>
      <t xml:space="preserve">화</t>
    </r>
  </si>
  <si>
    <t xml:space="preserve">Abin, Sisbin, CCAI, controle externo</t>
  </si>
  <si>
    <t xml:space="preserve">정보 공개</t>
  </si>
  <si>
    <t xml:space="preserve">누구나 이유를 밝히지 않고 공공기관에 정보 공개를 청구할 수 있다. 기밀은 최장 25년(극비) 등 등급별 기한이 있다.</t>
  </si>
  <si>
    <t xml:space="preserve">정보접근법(Lei 12.527/2011)</t>
  </si>
  <si>
    <r>
      <rPr>
        <sz val="10"/>
        <rFont val="Arial"/>
        <family val="0"/>
        <charset val="1"/>
      </rPr>
      <t xml:space="preserve">12</t>
    </r>
    <r>
      <rPr>
        <sz val="10"/>
        <rFont val="WenQuanYi Zen Hei"/>
        <family val="2"/>
      </rPr>
      <t xml:space="preserve">부 </t>
    </r>
    <r>
      <rPr>
        <sz val="10"/>
        <rFont val="Arial"/>
        <family val="0"/>
        <charset val="1"/>
      </rPr>
      <t xml:space="preserve">5</t>
    </r>
    <r>
      <rPr>
        <sz val="10"/>
        <rFont val="WenQuanYi Zen Hei"/>
        <family val="2"/>
      </rPr>
      <t xml:space="preserve">화</t>
    </r>
    <r>
      <rPr>
        <sz val="10"/>
        <rFont val="Arial"/>
        <family val="0"/>
        <charset val="1"/>
      </rPr>
      <t xml:space="preserve">, 13</t>
    </r>
    <r>
      <rPr>
        <sz val="10"/>
        <rFont val="WenQuanYi Zen Hei"/>
        <family val="2"/>
      </rPr>
      <t xml:space="preserve">부</t>
    </r>
  </si>
  <si>
    <t xml:space="preserve">Lei de Acesso à Informação, sigilo, pedido de informação</t>
  </si>
  <si>
    <t xml:space="preserve">이민·난민</t>
  </si>
  <si>
    <t xml:space="preserve">체류 허가·난민 인정은 연방 권한이지만 도착 지역의 쉼터·아동 보호는 주·시가 맡아 분담 갈등이 생긴다. 서류와 관계없이 SUS·공교육 접근권이 있다.</t>
  </si>
  <si>
    <t xml:space="preserve">이민법(Lei 13.445/2017), 난민법(Lei 9.474/1997)</t>
  </si>
  <si>
    <r>
      <rPr>
        <sz val="10"/>
        <rFont val="Arial"/>
        <family val="0"/>
        <charset val="1"/>
      </rPr>
      <t xml:space="preserve">6·7</t>
    </r>
    <r>
      <rPr>
        <sz val="10"/>
        <rFont val="WenQuanYi Zen Hei"/>
        <family val="2"/>
      </rPr>
      <t xml:space="preserve">부</t>
    </r>
    <r>
      <rPr>
        <sz val="10"/>
        <rFont val="Arial"/>
        <family val="0"/>
        <charset val="1"/>
      </rPr>
      <t xml:space="preserve">, 11</t>
    </r>
    <r>
      <rPr>
        <sz val="10"/>
        <rFont val="WenQuanYi Zen Hei"/>
        <family val="2"/>
      </rPr>
      <t xml:space="preserve">부 </t>
    </r>
    <r>
      <rPr>
        <sz val="10"/>
        <rFont val="Arial"/>
        <family val="0"/>
        <charset val="1"/>
      </rPr>
      <t xml:space="preserve">5</t>
    </r>
    <r>
      <rPr>
        <sz val="10"/>
        <rFont val="WenQuanYi Zen Hei"/>
        <family val="2"/>
      </rPr>
      <t xml:space="preserve">화</t>
    </r>
  </si>
  <si>
    <t xml:space="preserve">autorização de residência, refúgio, acolhida, interiorização</t>
  </si>
  <si>
    <t xml:space="preserve">부모소외법과 젠더 폭력</t>
  </si>
  <si>
    <t xml:space="preserve">부모소외법은 자녀를 다른 부모에게서 떼어 놓는 행위를 제재하지만, 학대를 신고한 어머니에게 불리하게 쓰인다는 비판으로 2022년 개정됐고 폐지 논의가 이어진다.</t>
  </si>
  <si>
    <t xml:space="preserve">Lei 12.318/2010, Lei 14.340/2022, Lei 11.340/2006</t>
  </si>
  <si>
    <r>
      <rPr>
        <sz val="10"/>
        <rFont val="Arial"/>
        <family val="0"/>
        <charset val="1"/>
      </rPr>
      <t xml:space="preserve">7</t>
    </r>
    <r>
      <rPr>
        <sz val="10"/>
        <rFont val="WenQuanYi Zen Hei"/>
        <family val="2"/>
      </rPr>
      <t xml:space="preserve">부 </t>
    </r>
    <r>
      <rPr>
        <sz val="10"/>
        <rFont val="Arial"/>
        <family val="0"/>
        <charset val="1"/>
      </rPr>
      <t xml:space="preserve">3</t>
    </r>
    <r>
      <rPr>
        <sz val="10"/>
        <rFont val="WenQuanYi Zen Hei"/>
        <family val="2"/>
      </rPr>
      <t xml:space="preserve">화</t>
    </r>
    <r>
      <rPr>
        <sz val="10"/>
        <rFont val="Arial"/>
        <family val="0"/>
        <charset val="1"/>
      </rPr>
      <t xml:space="preserve">, 10</t>
    </r>
    <r>
      <rPr>
        <sz val="10"/>
        <rFont val="WenQuanYi Zen Hei"/>
        <family val="2"/>
      </rPr>
      <t xml:space="preserve">부 </t>
    </r>
    <r>
      <rPr>
        <sz val="10"/>
        <rFont val="Arial"/>
        <family val="0"/>
        <charset val="1"/>
      </rPr>
      <t xml:space="preserve">3</t>
    </r>
    <r>
      <rPr>
        <sz val="10"/>
        <rFont val="WenQuanYi Zen Hei"/>
        <family val="2"/>
      </rPr>
      <t xml:space="preserve">화</t>
    </r>
  </si>
  <si>
    <t xml:space="preserve">alienação parental, guarda, medida protetiva</t>
  </si>
  <si>
    <t xml:space="preserve">조약 체결과 비준</t>
  </si>
  <si>
    <t xml:space="preserve">대통령이 조약을 체결하고, 국가에 부담을 지우는 조약은 연방의회의 입법명령으로 동의받는다.</t>
  </si>
  <si>
    <t xml:space="preserve">헌법 제84조 VIII, 제49조 I</t>
  </si>
  <si>
    <r>
      <rPr>
        <sz val="10"/>
        <rFont val="Arial"/>
        <family val="0"/>
        <charset val="1"/>
      </rPr>
      <t xml:space="preserve">11</t>
    </r>
    <r>
      <rPr>
        <sz val="10"/>
        <rFont val="WenQuanYi Zen Hei"/>
        <family val="2"/>
      </rPr>
      <t xml:space="preserve">부 </t>
    </r>
    <r>
      <rPr>
        <sz val="10"/>
        <rFont val="Arial"/>
        <family val="0"/>
        <charset val="1"/>
      </rPr>
      <t xml:space="preserve">9~11</t>
    </r>
    <r>
      <rPr>
        <sz val="10"/>
        <rFont val="WenQuanYi Zen Hei"/>
        <family val="2"/>
      </rPr>
      <t xml:space="preserve">화</t>
    </r>
    <r>
      <rPr>
        <sz val="10"/>
        <rFont val="Arial"/>
        <family val="0"/>
        <charset val="1"/>
      </rPr>
      <t xml:space="preserve">, 12</t>
    </r>
    <r>
      <rPr>
        <sz val="10"/>
        <rFont val="WenQuanYi Zen Hei"/>
        <family val="2"/>
      </rPr>
      <t xml:space="preserve">부 </t>
    </r>
    <r>
      <rPr>
        <sz val="10"/>
        <rFont val="Arial"/>
        <family val="0"/>
        <charset val="1"/>
      </rPr>
      <t xml:space="preserve">3</t>
    </r>
    <r>
      <rPr>
        <sz val="10"/>
        <rFont val="WenQuanYi Zen Hei"/>
        <family val="2"/>
      </rPr>
      <t xml:space="preserve">화</t>
    </r>
  </si>
  <si>
    <t xml:space="preserve">tratado, ratificação, decreto legislativo, Itamaraty</t>
  </si>
  <si>
    <r>
      <rPr>
        <sz val="10"/>
        <rFont val="Noto Sans CJK SC"/>
        <family val="2"/>
        <charset val="1"/>
      </rPr>
      <t xml:space="preserve">Mercosul–EU </t>
    </r>
    <r>
      <rPr>
        <sz val="10"/>
        <rFont val="WenQuanYi Zen Hei"/>
        <family val="2"/>
      </rPr>
      <t xml:space="preserve">협정과 </t>
    </r>
    <r>
      <rPr>
        <sz val="10"/>
        <rFont val="Noto Sans CJK SC"/>
        <family val="2"/>
        <charset val="1"/>
      </rPr>
      <t xml:space="preserve">EUDR</t>
    </r>
  </si>
  <si>
    <r>
      <rPr>
        <sz val="10"/>
        <rFont val="Noto Sans CJK SC"/>
        <family val="2"/>
        <charset val="1"/>
      </rPr>
      <t xml:space="preserve">Mercosul</t>
    </r>
    <r>
      <rPr>
        <sz val="10"/>
        <rFont val="WenQuanYi Zen Hei"/>
        <family val="2"/>
      </rPr>
      <t xml:space="preserve">과 </t>
    </r>
    <r>
      <rPr>
        <sz val="10"/>
        <rFont val="Noto Sans CJK SC"/>
        <family val="2"/>
        <charset val="1"/>
      </rPr>
      <t xml:space="preserve">EU</t>
    </r>
    <r>
      <rPr>
        <sz val="10"/>
        <rFont val="WenQuanYi Zen Hei"/>
        <family val="2"/>
      </rPr>
      <t xml:space="preserve">의 무역협정은 긴급수입제한 조항과 </t>
    </r>
    <r>
      <rPr>
        <sz val="10"/>
        <rFont val="Noto Sans CJK SC"/>
        <family val="2"/>
        <charset val="1"/>
      </rPr>
      <t xml:space="preserve">EU </t>
    </r>
    <r>
      <rPr>
        <sz val="10"/>
        <rFont val="WenQuanYi Zen Hei"/>
        <family val="2"/>
      </rPr>
      <t xml:space="preserve">산림전용방지규정</t>
    </r>
    <r>
      <rPr>
        <sz val="10"/>
        <rFont val="Noto Sans CJK SC"/>
        <family val="2"/>
        <charset val="1"/>
      </rPr>
      <t xml:space="preserve">(EUDR, </t>
    </r>
    <r>
      <rPr>
        <sz val="10"/>
        <rFont val="WenQuanYi Zen Hei"/>
        <family val="2"/>
      </rPr>
      <t xml:space="preserve">삼림 파괴와 연관된 상품의 </t>
    </r>
    <r>
      <rPr>
        <sz val="10"/>
        <rFont val="Noto Sans CJK SC"/>
        <family val="2"/>
        <charset val="1"/>
      </rPr>
      <t xml:space="preserve">EU </t>
    </r>
    <r>
      <rPr>
        <sz val="10"/>
        <rFont val="WenQuanYi Zen Hei"/>
        <family val="2"/>
      </rPr>
      <t xml:space="preserve">수입 제한</t>
    </r>
    <r>
      <rPr>
        <sz val="10"/>
        <rFont val="Noto Sans CJK SC"/>
        <family val="2"/>
        <charset val="1"/>
      </rPr>
      <t xml:space="preserve">)</t>
    </r>
    <r>
      <rPr>
        <sz val="10"/>
        <rFont val="WenQuanYi Zen Hei"/>
        <family val="2"/>
      </rPr>
      <t xml:space="preserve">을 둘러싸고 비준 과정에서 갈등이 이어진다</t>
    </r>
    <r>
      <rPr>
        <sz val="10"/>
        <rFont val="Noto Sans CJK SC"/>
        <family val="2"/>
        <charset val="1"/>
      </rPr>
      <t xml:space="preserve">. </t>
    </r>
    <r>
      <rPr>
        <sz val="10"/>
        <rFont val="WenQuanYi Zen Hei"/>
        <family val="2"/>
      </rPr>
      <t xml:space="preserve">이야기에서는 </t>
    </r>
    <r>
      <rPr>
        <sz val="10"/>
        <rFont val="Noto Sans CJK SC"/>
        <family val="2"/>
        <charset val="1"/>
      </rPr>
      <t xml:space="preserve">Dom Pedro</t>
    </r>
    <r>
      <rPr>
        <sz val="10"/>
        <rFont val="WenQuanYi Zen Hei"/>
        <family val="2"/>
      </rPr>
      <t xml:space="preserve">가 위성 검증 방식의 이행 경로로 절충한다</t>
    </r>
    <r>
      <rPr>
        <sz val="10"/>
        <rFont val="Noto Sans CJK SC"/>
        <family val="2"/>
        <charset val="1"/>
      </rPr>
      <t xml:space="preserve">.</t>
    </r>
  </si>
  <si>
    <r>
      <rPr>
        <sz val="10"/>
        <rFont val="Arial"/>
        <family val="0"/>
        <charset val="1"/>
      </rPr>
      <t xml:space="preserve">Mercosul–EU </t>
    </r>
    <r>
      <rPr>
        <sz val="10"/>
        <rFont val="WenQuanYi Zen Hei"/>
        <family val="2"/>
      </rPr>
      <t xml:space="preserve">협정문</t>
    </r>
    <r>
      <rPr>
        <sz val="10"/>
        <rFont val="Arial"/>
        <family val="0"/>
        <charset val="1"/>
      </rPr>
      <t xml:space="preserve">, EU </t>
    </r>
    <r>
      <rPr>
        <sz val="10"/>
        <rFont val="WenQuanYi Zen Hei"/>
        <family val="2"/>
      </rPr>
      <t xml:space="preserve">규정 </t>
    </r>
    <r>
      <rPr>
        <sz val="10"/>
        <rFont val="Arial"/>
        <family val="0"/>
        <charset val="1"/>
      </rPr>
      <t xml:space="preserve">2023/1115(EUDR)</t>
    </r>
  </si>
  <si>
    <r>
      <rPr>
        <sz val="10"/>
        <rFont val="Arial"/>
        <family val="0"/>
        <charset val="1"/>
      </rPr>
      <t xml:space="preserve">11</t>
    </r>
    <r>
      <rPr>
        <sz val="10"/>
        <rFont val="WenQuanYi Zen Hei"/>
        <family val="2"/>
      </rPr>
      <t xml:space="preserve">부 </t>
    </r>
    <r>
      <rPr>
        <sz val="10"/>
        <rFont val="Arial"/>
        <family val="0"/>
        <charset val="1"/>
      </rPr>
      <t xml:space="preserve">9~11</t>
    </r>
    <r>
      <rPr>
        <sz val="10"/>
        <rFont val="WenQuanYi Zen Hei"/>
        <family val="2"/>
      </rPr>
      <t xml:space="preserve">화</t>
    </r>
    <r>
      <rPr>
        <sz val="10"/>
        <rFont val="Arial"/>
        <family val="0"/>
        <charset val="1"/>
      </rPr>
      <t xml:space="preserve">(Dom Pedro</t>
    </r>
    <r>
      <rPr>
        <sz val="10"/>
        <rFont val="WenQuanYi Zen Hei"/>
        <family val="2"/>
      </rPr>
      <t xml:space="preserve">의 직접 협상</t>
    </r>
    <r>
      <rPr>
        <sz val="10"/>
        <rFont val="Arial"/>
        <family val="0"/>
        <charset val="1"/>
      </rPr>
      <t xml:space="preserve">), 12</t>
    </r>
    <r>
      <rPr>
        <sz val="10"/>
        <rFont val="WenQuanYi Zen Hei"/>
        <family val="2"/>
      </rPr>
      <t xml:space="preserve">부 </t>
    </r>
    <r>
      <rPr>
        <sz val="10"/>
        <rFont val="Arial"/>
        <family val="0"/>
        <charset val="1"/>
      </rPr>
      <t xml:space="preserve">3·11</t>
    </r>
    <r>
      <rPr>
        <sz val="10"/>
        <rFont val="WenQuanYi Zen Hei"/>
        <family val="2"/>
      </rPr>
      <t xml:space="preserve">화</t>
    </r>
    <r>
      <rPr>
        <sz val="10"/>
        <rFont val="Arial"/>
        <family val="0"/>
        <charset val="1"/>
      </rPr>
      <t xml:space="preserve">(</t>
    </r>
    <r>
      <rPr>
        <sz val="10"/>
        <rFont val="WenQuanYi Zen Hei"/>
        <family val="2"/>
      </rPr>
      <t xml:space="preserve">후속</t>
    </r>
    <r>
      <rPr>
        <sz val="10"/>
        <rFont val="Arial"/>
        <family val="0"/>
        <charset val="1"/>
      </rPr>
      <t xml:space="preserve">)</t>
    </r>
  </si>
  <si>
    <t xml:space="preserve">acordo Mercosul-UE, salvaguarda, EUDR, desmatamento</t>
  </si>
  <si>
    <t xml:space="preserve">기획 시점 지식 — 비준·시행 일정은 최근 변동이 잦으므로 반영 전 확인</t>
  </si>
  <si>
    <t xml:space="preserve">재정규칙</t>
  </si>
  <si>
    <t xml:space="preserve">지출 증가율 상한과 기초수지 목표를 두는 재정 틀. 목표를 어기면 다음 해 지출 증가가 더 제한된다.</t>
  </si>
  <si>
    <r>
      <rPr>
        <sz val="10"/>
        <rFont val="Noto Sans CJK SC"/>
        <family val="2"/>
        <charset val="1"/>
      </rPr>
      <t xml:space="preserve">LC 200/2023, </t>
    </r>
    <r>
      <rPr>
        <sz val="10"/>
        <rFont val="WenQuanYi Zen Hei"/>
        <family val="2"/>
      </rPr>
      <t xml:space="preserve">재정책임법</t>
    </r>
    <r>
      <rPr>
        <sz val="10"/>
        <rFont val="Noto Sans CJK SC"/>
        <family val="2"/>
        <charset val="1"/>
      </rPr>
      <t xml:space="preserve">(LC 101/2000)</t>
    </r>
  </si>
  <si>
    <r>
      <rPr>
        <sz val="10"/>
        <rFont val="Arial"/>
        <family val="0"/>
        <charset val="1"/>
      </rPr>
      <t xml:space="preserve">12</t>
    </r>
    <r>
      <rPr>
        <sz val="10"/>
        <rFont val="WenQuanYi Zen Hei"/>
        <family val="2"/>
      </rPr>
      <t xml:space="preserve">부 </t>
    </r>
    <r>
      <rPr>
        <sz val="10"/>
        <rFont val="Arial"/>
        <family val="0"/>
        <charset val="1"/>
      </rPr>
      <t xml:space="preserve">11</t>
    </r>
    <r>
      <rPr>
        <sz val="10"/>
        <rFont val="WenQuanYi Zen Hei"/>
        <family val="2"/>
      </rPr>
      <t xml:space="preserve">화</t>
    </r>
  </si>
  <si>
    <t xml:space="preserve">arcabouço fiscal, meta de primário, teto de gastos</t>
  </si>
  <si>
    <t xml:space="preserve">의원 예산 수정의 투명성</t>
  </si>
  <si>
    <t xml:space="preserve">의원 예산 수정 가운데 특별 이전(transferência especial)은 용처 추적이 어렵다는 비판을 받아 연방대법원이 투명성·추적 가능성을 요구했다.</t>
  </si>
  <si>
    <t xml:space="preserve">헌법 제166-A조, STF 결정(2024)</t>
  </si>
  <si>
    <r>
      <rPr>
        <sz val="10"/>
        <rFont val="Arial"/>
        <family val="0"/>
        <charset val="1"/>
      </rPr>
      <t xml:space="preserve">9</t>
    </r>
    <r>
      <rPr>
        <sz val="10"/>
        <rFont val="WenQuanYi Zen Hei"/>
        <family val="2"/>
      </rPr>
      <t xml:space="preserve">부 </t>
    </r>
    <r>
      <rPr>
        <sz val="10"/>
        <rFont val="Arial"/>
        <family val="0"/>
        <charset val="1"/>
      </rPr>
      <t xml:space="preserve">4</t>
    </r>
    <r>
      <rPr>
        <sz val="10"/>
        <rFont val="WenQuanYi Zen Hei"/>
        <family val="2"/>
      </rPr>
      <t xml:space="preserve">화</t>
    </r>
  </si>
  <si>
    <t xml:space="preserve">emenda Pix, transferência especial, rastreabilidade</t>
  </si>
  <si>
    <t xml:space="preserve">※ 법령 번호·조항은 교재에 넣기 전에 Planalto 법령 사이트(planalto.gov.br/legislacao)의 현행 통합본(texto compilado)과 선거법원(tse.jus.br) 결의로 반드시 확인하세요. 스페인판의 '검색 확인' 표시는 브라질 제도에는 해당하지 않아 모두 '기획 시점 지식'으로 되돌렸습니다.</t>
  </si>
  <si>
    <t xml:space="preserve">정치 경로와 가상 득표·의석 시뮬레이션</t>
  </si>
  <si>
    <t xml:space="preserve">창당에서 대통령까지의 경로를 브라질 현실 제도에 맞춰 단계화했다. 정당·득표·의석 수는 전부 가상의 교육용 수치이며, 파란 숫자는 수정하면 결과가 자동 갱신된다.</t>
  </si>
  <si>
    <r>
      <rPr>
        <b val="true"/>
        <sz val="10"/>
        <rFont val="Arial"/>
        <family val="0"/>
        <charset val="1"/>
      </rPr>
      <t xml:space="preserve">1. </t>
    </r>
    <r>
      <rPr>
        <b val="true"/>
        <sz val="10"/>
        <rFont val="WenQuanYi Zen Hei"/>
        <family val="2"/>
      </rPr>
      <t xml:space="preserve">정치 경로 </t>
    </r>
    <r>
      <rPr>
        <b val="true"/>
        <sz val="10"/>
        <rFont val="Arial"/>
        <family val="0"/>
        <charset val="1"/>
      </rPr>
      <t xml:space="preserve">(</t>
    </r>
    <r>
      <rPr>
        <b val="true"/>
        <sz val="10"/>
        <rFont val="WenQuanYi Zen Hei"/>
        <family val="2"/>
      </rPr>
      <t xml:space="preserve">창당 → 대통령</t>
    </r>
    <r>
      <rPr>
        <b val="true"/>
        <sz val="10"/>
        <rFont val="Arial"/>
        <family val="0"/>
        <charset val="1"/>
      </rPr>
      <t xml:space="preserve">)</t>
    </r>
  </si>
  <si>
    <t xml:space="preserve">단계</t>
  </si>
  <si>
    <t xml:space="preserve">부·화</t>
  </si>
  <si>
    <t xml:space="preserve">이야기 사건</t>
  </si>
  <si>
    <t xml:space="preserve">1</t>
  </si>
  <si>
    <r>
      <rPr>
        <sz val="10"/>
        <rFont val="Arial"/>
        <family val="0"/>
        <charset val="1"/>
      </rPr>
      <t xml:space="preserve">8</t>
    </r>
    <r>
      <rPr>
        <sz val="10"/>
        <rFont val="WenQuanYi Zen Hei"/>
        <family val="2"/>
      </rPr>
      <t xml:space="preserve">부 </t>
    </r>
    <r>
      <rPr>
        <sz val="10"/>
        <rFont val="Arial"/>
        <family val="0"/>
        <charset val="1"/>
      </rPr>
      <t xml:space="preserve">1~4</t>
    </r>
    <r>
      <rPr>
        <sz val="10"/>
        <rFont val="WenQuanYi Zen Hei"/>
        <family val="2"/>
      </rPr>
      <t xml:space="preserve">화</t>
    </r>
  </si>
  <si>
    <r>
      <rPr>
        <sz val="10"/>
        <rFont val="Arial"/>
        <family val="0"/>
        <charset val="1"/>
      </rPr>
      <t xml:space="preserve">Paulista </t>
    </r>
    <r>
      <rPr>
        <sz val="10"/>
        <rFont val="WenQuanYi Zen Hei"/>
        <family val="2"/>
      </rPr>
      <t xml:space="preserve">집회 → 국민발안이 대리 발의</t>
    </r>
    <r>
      <rPr>
        <sz val="10"/>
        <rFont val="Arial"/>
        <family val="0"/>
        <charset val="1"/>
      </rPr>
      <t xml:space="preserve">·</t>
    </r>
    <r>
      <rPr>
        <sz val="10"/>
        <rFont val="WenQuanYi Zen Hei"/>
        <family val="2"/>
      </rPr>
      <t xml:space="preserve">서랍 행으로 좌초</t>
    </r>
  </si>
  <si>
    <t xml:space="preserve">집회 사전 통지, 국민발안 서명 1%·5개 주, 의장의 의사일정 권한</t>
  </si>
  <si>
    <t xml:space="preserve">기획 지식</t>
  </si>
  <si>
    <t xml:space="preserve">2</t>
  </si>
  <si>
    <r>
      <rPr>
        <sz val="10"/>
        <rFont val="Arial"/>
        <family val="0"/>
        <charset val="1"/>
      </rPr>
      <t xml:space="preserve">8</t>
    </r>
    <r>
      <rPr>
        <sz val="10"/>
        <rFont val="WenQuanYi Zen Hei"/>
        <family val="2"/>
      </rPr>
      <t xml:space="preserve">부 </t>
    </r>
    <r>
      <rPr>
        <sz val="10"/>
        <rFont val="Arial"/>
        <family val="0"/>
        <charset val="1"/>
      </rPr>
      <t xml:space="preserve">5~7</t>
    </r>
    <r>
      <rPr>
        <sz val="10"/>
        <rFont val="WenQuanYi Zen Hei"/>
        <family val="2"/>
      </rPr>
      <t xml:space="preserve">화</t>
    </r>
  </si>
  <si>
    <t xml:space="preserve">정당 «Casa Comum» 창당, 55만 지지 서명, TSE 등록</t>
  </si>
  <si>
    <t xml:space="preserve">정당법(Lei 9.096/1995): 등기 → 지지 서명 0.5%·9개 주·2년 → TSE 등록, 기업 후원 금지</t>
  </si>
  <si>
    <t xml:space="preserve">3</t>
  </si>
  <si>
    <r>
      <rPr>
        <sz val="10"/>
        <rFont val="Arial"/>
        <family val="0"/>
        <charset val="1"/>
      </rPr>
      <t xml:space="preserve">8</t>
    </r>
    <r>
      <rPr>
        <sz val="10"/>
        <rFont val="WenQuanYi Zen Hei"/>
        <family val="2"/>
      </rPr>
      <t xml:space="preserve">부 </t>
    </r>
    <r>
      <rPr>
        <sz val="10"/>
        <rFont val="Arial"/>
        <family val="0"/>
        <charset val="1"/>
      </rPr>
      <t xml:space="preserve">8~12</t>
    </r>
    <r>
      <rPr>
        <sz val="10"/>
        <rFont val="WenQuanYi Zen Hei"/>
        <family val="2"/>
      </rPr>
      <t xml:space="preserve">화</t>
    </r>
  </si>
  <si>
    <t xml:space="preserve">첫 시장·시의원 선거: 시의회 55석 중 7석, 시장 선거 Rafael 3위 (가상 수치)</t>
  </si>
  <si>
    <t xml:space="preserve">개방형 명부, 선거지수, 성별 할당 30%, 반론권</t>
  </si>
  <si>
    <t xml:space="preserve">기획 지식 (55석)</t>
  </si>
  <si>
    <t xml:space="preserve">4</t>
  </si>
  <si>
    <r>
      <rPr>
        <sz val="10"/>
        <rFont val="Arial"/>
        <family val="0"/>
        <charset val="1"/>
      </rPr>
      <t xml:space="preserve">9</t>
    </r>
    <r>
      <rPr>
        <sz val="10"/>
        <rFont val="WenQuanYi Zen Hei"/>
        <family val="2"/>
      </rPr>
      <t xml:space="preserve">부 </t>
    </r>
    <r>
      <rPr>
        <sz val="10"/>
        <rFont val="Arial"/>
        <family val="0"/>
        <charset val="1"/>
      </rPr>
      <t xml:space="preserve">1</t>
    </r>
    <r>
      <rPr>
        <sz val="10"/>
        <rFont val="WenQuanYi Zen Hei"/>
        <family val="2"/>
      </rPr>
      <t xml:space="preserve">화</t>
    </r>
  </si>
  <si>
    <r>
      <rPr>
        <sz val="10"/>
        <rFont val="Noto Sans CJK SC"/>
        <family val="2"/>
        <charset val="1"/>
      </rPr>
      <t xml:space="preserve">1</t>
    </r>
    <r>
      <rPr>
        <sz val="10"/>
        <rFont val="WenQuanYi Zen Hei"/>
        <family val="2"/>
      </rPr>
      <t xml:space="preserve">월 </t>
    </r>
    <r>
      <rPr>
        <sz val="10"/>
        <rFont val="Noto Sans CJK SC"/>
        <family val="2"/>
        <charset val="1"/>
      </rPr>
      <t xml:space="preserve">1</t>
    </r>
    <r>
      <rPr>
        <sz val="10"/>
        <rFont val="WenQuanYi Zen Hei"/>
        <family val="2"/>
      </rPr>
      <t xml:space="preserve">일 시의원 취임</t>
    </r>
    <r>
      <rPr>
        <sz val="10"/>
        <rFont val="Noto Sans CJK SC"/>
        <family val="2"/>
        <charset val="1"/>
      </rPr>
      <t xml:space="preserve">, </t>
    </r>
    <r>
      <rPr>
        <sz val="10"/>
        <rFont val="WenQuanYi Zen Hei"/>
        <family val="2"/>
      </rPr>
      <t xml:space="preserve">결선에서 이긴 </t>
    </r>
    <r>
      <rPr>
        <sz val="10"/>
        <rFont val="Noto Sans CJK SC"/>
        <family val="2"/>
        <charset val="1"/>
      </rPr>
      <t xml:space="preserve">UCN </t>
    </r>
    <r>
      <rPr>
        <sz val="10"/>
        <rFont val="WenQuanYi Zen Hei"/>
        <family val="2"/>
      </rPr>
      <t xml:space="preserve">시장 취임</t>
    </r>
  </si>
  <si>
    <t xml:space="preserve">시장 결선(유권자 20만 이상), 의장단 선출</t>
  </si>
  <si>
    <t xml:space="preserve">5</t>
  </si>
  <si>
    <r>
      <rPr>
        <sz val="10"/>
        <rFont val="Arial"/>
        <family val="0"/>
        <charset val="1"/>
      </rPr>
      <t xml:space="preserve">9</t>
    </r>
    <r>
      <rPr>
        <sz val="10"/>
        <rFont val="WenQuanYi Zen Hei"/>
        <family val="2"/>
      </rPr>
      <t xml:space="preserve">부 </t>
    </r>
    <r>
      <rPr>
        <sz val="10"/>
        <rFont val="Arial"/>
        <family val="0"/>
        <charset val="1"/>
      </rPr>
      <t xml:space="preserve">2~11</t>
    </r>
    <r>
      <rPr>
        <sz val="10"/>
        <rFont val="WenQuanYi Zen Hei"/>
        <family val="2"/>
      </rPr>
      <t xml:space="preserve">화</t>
    </r>
  </si>
  <si>
    <r>
      <rPr>
        <sz val="10"/>
        <rFont val="Arial"/>
        <family val="0"/>
        <charset val="1"/>
      </rPr>
      <t xml:space="preserve">Bruno(</t>
    </r>
    <r>
      <rPr>
        <sz val="10"/>
        <rFont val="WenQuanYi Zen Hei"/>
        <family val="2"/>
      </rPr>
      <t xml:space="preserve">재정위</t>
    </r>
    <r>
      <rPr>
        <sz val="10"/>
        <rFont val="Arial"/>
        <family val="0"/>
        <charset val="1"/>
      </rPr>
      <t xml:space="preserve">)·Camila(</t>
    </r>
    <r>
      <rPr>
        <sz val="10"/>
        <rFont val="WenQuanYi Zen Hei"/>
        <family val="2"/>
      </rPr>
      <t xml:space="preserve">보건위</t>
    </r>
    <r>
      <rPr>
        <sz val="10"/>
        <rFont val="Arial"/>
        <family val="0"/>
        <charset val="1"/>
      </rPr>
      <t xml:space="preserve">)</t>
    </r>
    <r>
      <rPr>
        <sz val="10"/>
        <rFont val="WenQuanYi Zen Hei"/>
        <family val="2"/>
      </rPr>
      <t xml:space="preserve">가 시의회에서 활동</t>
    </r>
    <r>
      <rPr>
        <sz val="10"/>
        <rFont val="Arial"/>
        <family val="0"/>
        <charset val="1"/>
      </rPr>
      <t xml:space="preserve">. </t>
    </r>
    <r>
      <rPr>
        <sz val="10"/>
        <rFont val="WenQuanYi Zen Hei"/>
        <family val="2"/>
      </rPr>
      <t xml:space="preserve">스캔들 폭로</t>
    </r>
    <r>
      <rPr>
        <sz val="10"/>
        <rFont val="Arial"/>
        <family val="0"/>
        <charset val="1"/>
      </rPr>
      <t xml:space="preserve">, </t>
    </r>
    <r>
      <rPr>
        <sz val="10"/>
        <rFont val="WenQuanYi Zen Hei"/>
        <family val="2"/>
      </rPr>
      <t xml:space="preserve">시민소송</t>
    </r>
    <r>
      <rPr>
        <sz val="10"/>
        <rFont val="Arial"/>
        <family val="0"/>
        <charset val="1"/>
      </rPr>
      <t xml:space="preserve">·</t>
    </r>
    <r>
      <rPr>
        <sz val="10"/>
        <rFont val="WenQuanYi Zen Hei"/>
        <family val="2"/>
      </rPr>
      <t xml:space="preserve">검찰 고발</t>
    </r>
  </si>
  <si>
    <t xml:space="preserve">시 권한(1차 의료·도시계획), 시 감사원, CPI, 공공조달법</t>
  </si>
  <si>
    <t xml:space="preserve">6</t>
  </si>
  <si>
    <r>
      <rPr>
        <sz val="10"/>
        <rFont val="Arial"/>
        <family val="0"/>
        <charset val="1"/>
      </rPr>
      <t xml:space="preserve">9</t>
    </r>
    <r>
      <rPr>
        <sz val="10"/>
        <rFont val="WenQuanYi Zen Hei"/>
        <family val="2"/>
      </rPr>
      <t xml:space="preserve">부 </t>
    </r>
    <r>
      <rPr>
        <sz val="10"/>
        <rFont val="Arial"/>
        <family val="0"/>
        <charset val="1"/>
      </rPr>
      <t xml:space="preserve">12</t>
    </r>
    <r>
      <rPr>
        <sz val="10"/>
        <rFont val="WenQuanYi Zen Hei"/>
        <family val="2"/>
      </rPr>
      <t xml:space="preserve">화</t>
    </r>
  </si>
  <si>
    <t xml:space="preserve">전당대회에서 Rafael을 대통령 후보로 확정, 러닝메이트 영입</t>
  </si>
  <si>
    <t xml:space="preserve">당적 보유 6개월, 전당대회 7/20~8/5</t>
  </si>
  <si>
    <t xml:space="preserve">7</t>
  </si>
  <si>
    <r>
      <rPr>
        <sz val="10"/>
        <rFont val="Arial"/>
        <family val="0"/>
        <charset val="1"/>
      </rPr>
      <t xml:space="preserve">10</t>
    </r>
    <r>
      <rPr>
        <sz val="10"/>
        <rFont val="WenQuanYi Zen Hei"/>
        <family val="2"/>
      </rPr>
      <t xml:space="preserve">부 </t>
    </r>
    <r>
      <rPr>
        <sz val="10"/>
        <rFont val="Arial"/>
        <family val="0"/>
        <charset val="1"/>
      </rPr>
      <t xml:space="preserve">1~3</t>
    </r>
    <r>
      <rPr>
        <sz val="10"/>
        <rFont val="WenQuanYi Zen Hei"/>
        <family val="2"/>
      </rPr>
      <t xml:space="preserve">화</t>
    </r>
  </si>
  <si>
    <t xml:space="preserve">후보 등록(8/15), 45일 유세, TV 토론 초청 문턱</t>
  </si>
  <si>
    <t xml:space="preserve">피선거권 심사, 무료 선거방송, 토론 초청(하원 5석 이상 정당)</t>
  </si>
  <si>
    <t xml:space="preserve">8</t>
  </si>
  <si>
    <r>
      <rPr>
        <sz val="10"/>
        <rFont val="Arial"/>
        <family val="0"/>
        <charset val="1"/>
      </rPr>
      <t xml:space="preserve">10</t>
    </r>
    <r>
      <rPr>
        <sz val="10"/>
        <rFont val="WenQuanYi Zen Hei"/>
        <family val="2"/>
      </rPr>
      <t xml:space="preserve">부 </t>
    </r>
    <r>
      <rPr>
        <sz val="10"/>
        <rFont val="Arial"/>
        <family val="0"/>
        <charset val="1"/>
      </rPr>
      <t xml:space="preserve">4</t>
    </r>
    <r>
      <rPr>
        <sz val="10"/>
        <rFont val="WenQuanYi Zen Hei"/>
        <family val="2"/>
      </rPr>
      <t xml:space="preserve">화</t>
    </r>
  </si>
  <si>
    <r>
      <rPr>
        <sz val="10"/>
        <rFont val="Noto Sans CJK SC"/>
        <family val="2"/>
        <charset val="1"/>
      </rPr>
      <t xml:space="preserve">1</t>
    </r>
    <r>
      <rPr>
        <sz val="10"/>
        <rFont val="WenQuanYi Zen Hei"/>
        <family val="2"/>
      </rPr>
      <t xml:space="preserve">차 투표</t>
    </r>
    <r>
      <rPr>
        <sz val="10"/>
        <rFont val="Noto Sans CJK SC"/>
        <family val="2"/>
        <charset val="1"/>
      </rPr>
      <t xml:space="preserve">: </t>
    </r>
    <r>
      <rPr>
        <sz val="10"/>
        <rFont val="WenQuanYi Zen Hei"/>
        <family val="2"/>
      </rPr>
      <t xml:space="preserve">과반 후보 없음 → </t>
    </r>
    <r>
      <rPr>
        <sz val="10"/>
        <rFont val="Noto Sans CJK SC"/>
        <family val="2"/>
        <charset val="1"/>
      </rPr>
      <t xml:space="preserve">UCN 1</t>
    </r>
    <r>
      <rPr>
        <sz val="10"/>
        <rFont val="WenQuanYi Zen Hei"/>
        <family val="2"/>
      </rPr>
      <t xml:space="preserve">위</t>
    </r>
    <r>
      <rPr>
        <sz val="10"/>
        <rFont val="Noto Sans CJK SC"/>
        <family val="2"/>
        <charset val="1"/>
      </rPr>
      <t xml:space="preserve">·Rafael 2</t>
    </r>
    <r>
      <rPr>
        <sz val="10"/>
        <rFont val="WenQuanYi Zen Hei"/>
        <family val="2"/>
      </rPr>
      <t xml:space="preserve">위 결선 진출 </t>
    </r>
    <r>
      <rPr>
        <sz val="10"/>
        <rFont val="Noto Sans CJK SC"/>
        <family val="2"/>
        <charset val="1"/>
      </rPr>
      <t xml:space="preserve">(</t>
    </r>
    <r>
      <rPr>
        <sz val="10"/>
        <rFont val="WenQuanYi Zen Hei"/>
        <family val="2"/>
      </rPr>
      <t xml:space="preserve">아래 </t>
    </r>
    <r>
      <rPr>
        <sz val="10"/>
        <rFont val="Noto Sans CJK SC"/>
        <family val="2"/>
        <charset val="1"/>
      </rPr>
      <t xml:space="preserve">A</t>
    </r>
    <r>
      <rPr>
        <sz val="10"/>
        <rFont val="WenQuanYi Zen Hei"/>
        <family val="2"/>
      </rPr>
      <t xml:space="preserve">블록</t>
    </r>
    <r>
      <rPr>
        <sz val="10"/>
        <rFont val="Noto Sans CJK SC"/>
        <family val="2"/>
        <charset val="1"/>
      </rPr>
      <t xml:space="preserve">)</t>
    </r>
  </si>
  <si>
    <t xml:space="preserve">유효표 과반 미달 시 상위 2인 결선(헌법 제77조)</t>
  </si>
  <si>
    <t xml:space="preserve">9</t>
  </si>
  <si>
    <t xml:space="preserve">하원 513석 중 Casa Comum 48석 (아래 C블록의 의석 구성)</t>
  </si>
  <si>
    <t xml:space="preserve">개방형 비례대표, 정당 성과 기준</t>
  </si>
  <si>
    <t xml:space="preserve">가상 수치</t>
  </si>
  <si>
    <t xml:space="preserve">10</t>
  </si>
  <si>
    <r>
      <rPr>
        <sz val="10"/>
        <rFont val="Arial"/>
        <family val="0"/>
        <charset val="1"/>
      </rPr>
      <t xml:space="preserve">10</t>
    </r>
    <r>
      <rPr>
        <sz val="10"/>
        <rFont val="WenQuanYi Zen Hei"/>
        <family val="2"/>
      </rPr>
      <t xml:space="preserve">부 </t>
    </r>
    <r>
      <rPr>
        <sz val="10"/>
        <rFont val="Arial"/>
        <family val="0"/>
        <charset val="1"/>
      </rPr>
      <t xml:space="preserve">6~9</t>
    </r>
    <r>
      <rPr>
        <sz val="10"/>
        <rFont val="WenQuanYi Zen Hei"/>
        <family val="2"/>
      </rPr>
      <t xml:space="preserve">화</t>
    </r>
  </si>
  <si>
    <r>
      <rPr>
        <sz val="10"/>
        <rFont val="Noto Sans CJK SC"/>
        <family val="2"/>
        <charset val="1"/>
      </rPr>
      <t xml:space="preserve">3</t>
    </r>
    <r>
      <rPr>
        <sz val="10"/>
        <rFont val="WenQuanYi Zen Hei"/>
        <family val="2"/>
      </rPr>
      <t xml:space="preserve">위 </t>
    </r>
    <r>
      <rPr>
        <sz val="10"/>
        <rFont val="Noto Sans CJK SC"/>
        <family val="2"/>
        <charset val="1"/>
      </rPr>
      <t xml:space="preserve">PPS </t>
    </r>
    <r>
      <rPr>
        <sz val="10"/>
        <rFont val="WenQuanYi Zen Hei"/>
        <family val="2"/>
      </rPr>
      <t xml:space="preserve">후보와 결선 지지 협상</t>
    </r>
    <r>
      <rPr>
        <sz val="10"/>
        <rFont val="Noto Sans CJK SC"/>
        <family val="2"/>
        <charset val="1"/>
      </rPr>
      <t xml:space="preserve">, </t>
    </r>
    <r>
      <rPr>
        <sz val="10"/>
        <rFont val="WenQuanYi Zen Hei"/>
        <family val="2"/>
      </rPr>
      <t xml:space="preserve">딥페이크 대응</t>
    </r>
    <r>
      <rPr>
        <sz val="10"/>
        <rFont val="Noto Sans CJK SC"/>
        <family val="2"/>
        <charset val="1"/>
      </rPr>
      <t xml:space="preserve">, </t>
    </r>
    <r>
      <rPr>
        <sz val="10"/>
        <rFont val="WenQuanYi Zen Hei"/>
        <family val="2"/>
      </rPr>
      <t xml:space="preserve">초접전</t>
    </r>
  </si>
  <si>
    <t xml:space="preserve">결선 지지 선언, 딥페이크 금지(TSE 결의)</t>
  </si>
  <si>
    <t xml:space="preserve">11</t>
  </si>
  <si>
    <r>
      <rPr>
        <sz val="10"/>
        <rFont val="Arial"/>
        <family val="0"/>
        <charset val="1"/>
      </rPr>
      <t xml:space="preserve">10</t>
    </r>
    <r>
      <rPr>
        <sz val="10"/>
        <rFont val="WenQuanYi Zen Hei"/>
        <family val="2"/>
      </rPr>
      <t xml:space="preserve">부 </t>
    </r>
    <r>
      <rPr>
        <sz val="10"/>
        <rFont val="Arial"/>
        <family val="0"/>
        <charset val="1"/>
      </rPr>
      <t xml:space="preserve">10</t>
    </r>
    <r>
      <rPr>
        <sz val="10"/>
        <rFont val="WenQuanYi Zen Hei"/>
        <family val="2"/>
      </rPr>
      <t xml:space="preserve">화</t>
    </r>
  </si>
  <si>
    <t xml:space="preserve">결선 투표: Rafael 역전승 (B블록)</t>
  </si>
  <si>
    <t xml:space="preserve">결선 과반(유효표 기준)</t>
  </si>
  <si>
    <t xml:space="preserve">12</t>
  </si>
  <si>
    <t xml:space="preserve">정권 인수, 중도 연합(PCN)·TA와 연립 협상, TB는 주 부채 재협상 요구</t>
  </si>
  <si>
    <t xml:space="preserve">정권 인수법(Lei 10.609/2002), 연립 대통령제</t>
  </si>
  <si>
    <t xml:space="preserve">13</t>
  </si>
  <si>
    <r>
      <rPr>
        <sz val="10"/>
        <rFont val="Arial"/>
        <family val="0"/>
        <charset val="1"/>
      </rPr>
      <t xml:space="preserve">12</t>
    </r>
    <r>
      <rPr>
        <sz val="10"/>
        <rFont val="WenQuanYi Zen Hei"/>
        <family val="2"/>
      </rPr>
      <t xml:space="preserve">월 당선증 수여 → </t>
    </r>
    <r>
      <rPr>
        <sz val="10"/>
        <rFont val="Arial"/>
        <family val="0"/>
        <charset val="1"/>
      </rPr>
      <t xml:space="preserve">1</t>
    </r>
    <r>
      <rPr>
        <sz val="10"/>
        <rFont val="WenQuanYi Zen Hei"/>
        <family val="2"/>
      </rPr>
      <t xml:space="preserve">월 </t>
    </r>
    <r>
      <rPr>
        <sz val="10"/>
        <rFont val="Arial"/>
        <family val="0"/>
        <charset val="1"/>
      </rPr>
      <t xml:space="preserve">5</t>
    </r>
    <r>
      <rPr>
        <sz val="10"/>
        <rFont val="WenQuanYi Zen Hei"/>
        <family val="2"/>
      </rPr>
      <t xml:space="preserve">일 연방의회에서 헌법 선서 → </t>
    </r>
    <r>
      <rPr>
        <sz val="10"/>
        <rFont val="Arial"/>
        <family val="0"/>
        <charset val="1"/>
      </rPr>
      <t xml:space="preserve">Planalto </t>
    </r>
    <r>
      <rPr>
        <sz val="10"/>
        <rFont val="WenQuanYi Zen Hei"/>
        <family val="2"/>
      </rPr>
      <t xml:space="preserve">휘장 이양</t>
    </r>
  </si>
  <si>
    <t xml:space="preserve">헌법 제78조, 1월 5일 취임(헌법 개정 111/2021)</t>
  </si>
  <si>
    <t xml:space="preserve">14</t>
  </si>
  <si>
    <r>
      <rPr>
        <sz val="10"/>
        <rFont val="Arial"/>
        <family val="0"/>
        <charset val="1"/>
      </rPr>
      <t xml:space="preserve">11</t>
    </r>
    <r>
      <rPr>
        <sz val="10"/>
        <rFont val="WenQuanYi Zen Hei"/>
        <family val="2"/>
      </rPr>
      <t xml:space="preserve">부 </t>
    </r>
    <r>
      <rPr>
        <sz val="10"/>
        <rFont val="Arial"/>
        <family val="0"/>
        <charset val="1"/>
      </rPr>
      <t xml:space="preserve">1</t>
    </r>
    <r>
      <rPr>
        <sz val="10"/>
        <rFont val="WenQuanYi Zen Hei"/>
        <family val="2"/>
      </rPr>
      <t xml:space="preserve">화</t>
    </r>
  </si>
  <si>
    <t xml:space="preserve">첫 장관회의, 대통령령으로 장관 임명</t>
  </si>
  <si>
    <t xml:space="preserve">헌법 제84조 I, 정부조직법</t>
  </si>
  <si>
    <t xml:space="preserve">15</t>
  </si>
  <si>
    <r>
      <rPr>
        <sz val="10"/>
        <rFont val="Arial"/>
        <family val="0"/>
        <charset val="1"/>
      </rPr>
      <t xml:space="preserve">11</t>
    </r>
    <r>
      <rPr>
        <sz val="10"/>
        <rFont val="WenQuanYi Zen Hei"/>
        <family val="2"/>
      </rPr>
      <t xml:space="preserve">부 </t>
    </r>
    <r>
      <rPr>
        <sz val="10"/>
        <rFont val="Arial"/>
        <family val="0"/>
        <charset val="1"/>
      </rPr>
      <t xml:space="preserve">2~5·8</t>
    </r>
    <r>
      <rPr>
        <sz val="10"/>
        <rFont val="WenQuanYi Zen Hei"/>
        <family val="2"/>
      </rPr>
      <t xml:space="preserve">화</t>
    </r>
  </si>
  <si>
    <t xml:space="preserve">국정: 주거·보건·이민은 주·시와 나눠 가진 권한의 벽, 초고소득 과세는 법률로</t>
  </si>
  <si>
    <t xml:space="preserve">헌법 제23·24·30조, 임시조치의 세금 제한(제62조 2항), STF 위헌소송, SUS 3자 협의체</t>
  </si>
  <si>
    <t xml:space="preserve">16</t>
  </si>
  <si>
    <r>
      <rPr>
        <sz val="10"/>
        <rFont val="Arial"/>
        <family val="0"/>
        <charset val="1"/>
      </rPr>
      <t xml:space="preserve">11</t>
    </r>
    <r>
      <rPr>
        <sz val="10"/>
        <rFont val="WenQuanYi Zen Hei"/>
        <family val="2"/>
      </rPr>
      <t xml:space="preserve">부 </t>
    </r>
    <r>
      <rPr>
        <sz val="10"/>
        <rFont val="Arial"/>
        <family val="0"/>
        <charset val="1"/>
      </rPr>
      <t xml:space="preserve">9~12</t>
    </r>
    <r>
      <rPr>
        <sz val="10"/>
        <rFont val="WenQuanYi Zen Hei"/>
        <family val="2"/>
      </rPr>
      <t xml:space="preserve">화</t>
    </r>
  </si>
  <si>
    <r>
      <rPr>
        <sz val="10"/>
        <rFont val="Noto Sans CJK SC"/>
        <family val="2"/>
        <charset val="1"/>
      </rPr>
      <t xml:space="preserve">Dom Pedro</t>
    </r>
    <r>
      <rPr>
        <sz val="10"/>
        <rFont val="WenQuanYi Zen Hei"/>
        <family val="2"/>
      </rPr>
      <t xml:space="preserve">의 브뤼셀 협상과 사망</t>
    </r>
  </si>
  <si>
    <t xml:space="preserve">조약 체결·비준(헌법 제84조 VIII·제49조 I)</t>
  </si>
  <si>
    <t xml:space="preserve">17</t>
  </si>
  <si>
    <t xml:space="preserve">야당 탄핵 청구 수리 → 하원 표결에서 342표 미달로 부결 (C블록)</t>
  </si>
  <si>
    <t xml:space="preserve">헌법 제85·86조, Lei 1.079/1950: 하원 3분의 2 승인 필요</t>
  </si>
  <si>
    <t xml:space="preserve">18</t>
  </si>
  <si>
    <t xml:space="preserve">남부 대홍수(가상): 경보·초기 대응 책임 공방, 공공재난사태, 군 투입, 특별 예산</t>
  </si>
  <si>
    <r>
      <rPr>
        <sz val="10"/>
        <rFont val="Arial"/>
        <family val="0"/>
        <charset val="1"/>
      </rPr>
      <t xml:space="preserve">Lei 12.608/2012, </t>
    </r>
    <r>
      <rPr>
        <sz val="10"/>
        <rFont val="WenQuanYi Zen Hei"/>
        <family val="2"/>
      </rPr>
      <t xml:space="preserve">헌법 제</t>
    </r>
    <r>
      <rPr>
        <sz val="10"/>
        <rFont val="Arial"/>
        <family val="0"/>
        <charset val="1"/>
      </rPr>
      <t xml:space="preserve">167</t>
    </r>
    <r>
      <rPr>
        <sz val="10"/>
        <rFont val="WenQuanYi Zen Hei"/>
        <family val="2"/>
      </rPr>
      <t xml:space="preserve">조 </t>
    </r>
    <r>
      <rPr>
        <sz val="10"/>
        <rFont val="Arial"/>
        <family val="0"/>
        <charset val="1"/>
      </rPr>
      <t xml:space="preserve">3</t>
    </r>
    <r>
      <rPr>
        <sz val="10"/>
        <rFont val="WenQuanYi Zen Hei"/>
        <family val="2"/>
      </rPr>
      <t xml:space="preserve">항</t>
    </r>
  </si>
  <si>
    <t xml:space="preserve">19</t>
  </si>
  <si>
    <r>
      <rPr>
        <sz val="10"/>
        <rFont val="Arial"/>
        <family val="0"/>
        <charset val="1"/>
      </rPr>
      <t xml:space="preserve">12</t>
    </r>
    <r>
      <rPr>
        <sz val="10"/>
        <rFont val="WenQuanYi Zen Hei"/>
        <family val="2"/>
      </rPr>
      <t xml:space="preserve">부 </t>
    </r>
    <r>
      <rPr>
        <sz val="10"/>
        <rFont val="Arial"/>
        <family val="0"/>
        <charset val="1"/>
      </rPr>
      <t xml:space="preserve">11~12</t>
    </r>
    <r>
      <rPr>
        <sz val="10"/>
        <rFont val="WenQuanYi Zen Hei"/>
        <family val="2"/>
      </rPr>
      <t xml:space="preserve">화 </t>
    </r>
    <r>
      <rPr>
        <sz val="10"/>
        <rFont val="Arial"/>
        <family val="0"/>
        <charset val="1"/>
      </rPr>
      <t xml:space="preserve">· 13</t>
    </r>
    <r>
      <rPr>
        <sz val="10"/>
        <rFont val="WenQuanYi Zen Hei"/>
        <family val="2"/>
      </rPr>
      <t xml:space="preserve">부</t>
    </r>
  </si>
  <si>
    <t xml:space="preserve">예산안 제출(8/31) → 임기 후반, 사무소를 재단으로 전환</t>
  </si>
  <si>
    <t xml:space="preserve">헌법 제165~166조, 공직자 이해충돌법(Lei 12.813/2013)</t>
  </si>
  <si>
    <r>
      <rPr>
        <b val="true"/>
        <sz val="10"/>
        <rFont val="Arial"/>
        <family val="0"/>
        <charset val="1"/>
      </rPr>
      <t xml:space="preserve">2. </t>
    </r>
    <r>
      <rPr>
        <b val="true"/>
        <sz val="10"/>
        <rFont val="WenQuanYi Zen Hei"/>
        <family val="2"/>
      </rPr>
      <t xml:space="preserve">가상 정당 </t>
    </r>
    <r>
      <rPr>
        <b val="true"/>
        <sz val="10"/>
        <rFont val="Arial"/>
        <family val="0"/>
        <charset val="1"/>
      </rPr>
      <t xml:space="preserve">(</t>
    </r>
    <r>
      <rPr>
        <b val="true"/>
        <sz val="10"/>
        <rFont val="WenQuanYi Zen Hei"/>
        <family val="2"/>
      </rPr>
      <t xml:space="preserve">실존 정당</t>
    </r>
    <r>
      <rPr>
        <b val="true"/>
        <sz val="10"/>
        <rFont val="Arial"/>
        <family val="0"/>
        <charset val="1"/>
      </rPr>
      <t xml:space="preserve">·</t>
    </r>
    <r>
      <rPr>
        <b val="true"/>
        <sz val="10"/>
        <rFont val="WenQuanYi Zen Hei"/>
        <family val="2"/>
      </rPr>
      <t xml:space="preserve">정치인 사용 금지</t>
    </r>
    <r>
      <rPr>
        <b val="true"/>
        <sz val="10"/>
        <rFont val="Arial"/>
        <family val="0"/>
        <charset val="1"/>
      </rPr>
      <t xml:space="preserve">)</t>
    </r>
  </si>
  <si>
    <t xml:space="preserve">정당명 (가상)</t>
  </si>
  <si>
    <t xml:space="preserve">성격</t>
  </si>
  <si>
    <t xml:space="preserve">이야기 속 역할</t>
  </si>
  <si>
    <t xml:space="preserve">CC</t>
  </si>
  <si>
    <t xml:space="preserve">Casa Comum</t>
  </si>
  <si>
    <t xml:space="preserve">주인공 정당. Marta의 식탁에서 나온 이름</t>
  </si>
  <si>
    <t xml:space="preserve">시민 정당. 창당 → 시의회 → 대선 → 연립 정부</t>
  </si>
  <si>
    <t xml:space="preserve">UCN</t>
  </si>
  <si>
    <t xml:space="preserve">União Cívica Nacional</t>
  </si>
  <si>
    <t xml:space="preserve">거대 보수 정당</t>
  </si>
  <si>
    <t xml:space="preserve">상파울루 시장·퇴임 대통령 배출, 대선 1차 1위, 결선 패배 후 탄핵 청구 주도</t>
  </si>
  <si>
    <t xml:space="preserve">PPS</t>
  </si>
  <si>
    <t xml:space="preserve">Partido do Progresso Social</t>
  </si>
  <si>
    <t xml:space="preserve">거대 중도좌파 정당</t>
  </si>
  <si>
    <t xml:space="preserve">대선 1차 3위, 결선에서 Rafael 지지, 연립 참여</t>
  </si>
  <si>
    <t xml:space="preserve">PCN</t>
  </si>
  <si>
    <t xml:space="preserve">Partido do Centro Nacional</t>
  </si>
  <si>
    <t xml:space="preserve">중도 실용 연합(가상의 Centrão)</t>
  </si>
  <si>
    <t xml:space="preserve">하원 최대 의석. 장관직·예산 수정을 대가로 표결마다 지지가 갈린다(친정부파·이탈파)</t>
  </si>
  <si>
    <t xml:space="preserve">HU</t>
  </si>
  <si>
    <t xml:space="preserve">Honra e União</t>
  </si>
  <si>
    <t xml:space="preserve">민족주의 성향 소수당</t>
  </si>
  <si>
    <r>
      <rPr>
        <sz val="10"/>
        <rFont val="Noto Sans CJK SC"/>
        <family val="2"/>
        <charset val="1"/>
      </rPr>
      <t xml:space="preserve">UCN</t>
    </r>
    <r>
      <rPr>
        <sz val="10"/>
        <rFont val="WenQuanYi Zen Hei"/>
        <family val="2"/>
      </rPr>
      <t xml:space="preserve">과 함께 반대</t>
    </r>
    <r>
      <rPr>
        <sz val="10"/>
        <rFont val="Noto Sans CJK SC"/>
        <family val="2"/>
        <charset val="1"/>
      </rPr>
      <t xml:space="preserve">·</t>
    </r>
    <r>
      <rPr>
        <sz val="10"/>
        <rFont val="WenQuanYi Zen Hei"/>
        <family val="2"/>
      </rPr>
      <t xml:space="preserve">탄핵 찬성</t>
    </r>
  </si>
  <si>
    <t xml:space="preserve">TA / TB</t>
  </si>
  <si>
    <t xml:space="preserve">Frente Regional A / Frente Regional B</t>
  </si>
  <si>
    <t xml:space="preserve">지역정당 연합</t>
  </si>
  <si>
    <r>
      <rPr>
        <sz val="10"/>
        <rFont val="Noto Sans CJK SC"/>
        <family val="2"/>
        <charset val="1"/>
      </rPr>
      <t xml:space="preserve">TA</t>
    </r>
    <r>
      <rPr>
        <sz val="10"/>
        <rFont val="WenQuanYi Zen Hei"/>
        <family val="2"/>
      </rPr>
      <t xml:space="preserve">는 조건부 친여</t>
    </r>
    <r>
      <rPr>
        <sz val="10"/>
        <rFont val="Noto Sans CJK SC"/>
        <family val="2"/>
        <charset val="1"/>
      </rPr>
      <t xml:space="preserve">, TB</t>
    </r>
    <r>
      <rPr>
        <sz val="10"/>
        <rFont val="WenQuanYi Zen Hei"/>
        <family val="2"/>
      </rPr>
      <t xml:space="preserve">는 캐스팅보트</t>
    </r>
    <r>
      <rPr>
        <sz val="10"/>
        <rFont val="Noto Sans CJK SC"/>
        <family val="2"/>
        <charset val="1"/>
      </rPr>
      <t xml:space="preserve">(</t>
    </r>
    <r>
      <rPr>
        <sz val="10"/>
        <rFont val="WenQuanYi Zen Hei"/>
        <family val="2"/>
      </rPr>
      <t xml:space="preserve">결선 중립</t>
    </r>
    <r>
      <rPr>
        <sz val="10"/>
        <rFont val="Noto Sans CJK SC"/>
        <family val="2"/>
        <charset val="1"/>
      </rPr>
      <t xml:space="preserve">, </t>
    </r>
    <r>
      <rPr>
        <sz val="10"/>
        <rFont val="WenQuanYi Zen Hei"/>
        <family val="2"/>
      </rPr>
      <t xml:space="preserve">탄핵 표결 기권 — 주 부채 재협상이 열쇠</t>
    </r>
    <r>
      <rPr>
        <sz val="10"/>
        <rFont val="Noto Sans CJK SC"/>
        <family val="2"/>
        <charset val="1"/>
      </rPr>
      <t xml:space="preserve">)</t>
    </r>
  </si>
  <si>
    <r>
      <rPr>
        <b val="true"/>
        <sz val="10"/>
        <rFont val="Arial"/>
        <family val="0"/>
        <charset val="1"/>
      </rPr>
      <t xml:space="preserve">3-A. </t>
    </r>
    <r>
      <rPr>
        <b val="true"/>
        <sz val="10"/>
        <rFont val="WenQuanYi Zen Hei"/>
        <family val="2"/>
      </rPr>
      <t xml:space="preserve">대선 </t>
    </r>
    <r>
      <rPr>
        <b val="true"/>
        <sz val="10"/>
        <rFont val="Arial"/>
        <family val="0"/>
        <charset val="1"/>
      </rPr>
      <t xml:space="preserve">1</t>
    </r>
    <r>
      <rPr>
        <b val="true"/>
        <sz val="10"/>
        <rFont val="WenQuanYi Zen Hei"/>
        <family val="2"/>
      </rPr>
      <t xml:space="preserve">차 투표 결과 </t>
    </r>
    <r>
      <rPr>
        <b val="true"/>
        <sz val="10"/>
        <rFont val="Arial"/>
        <family val="0"/>
        <charset val="1"/>
      </rPr>
      <t xml:space="preserve">(</t>
    </r>
    <r>
      <rPr>
        <b val="true"/>
        <sz val="10"/>
        <rFont val="WenQuanYi Zen Hei"/>
        <family val="2"/>
      </rPr>
      <t xml:space="preserve">가상</t>
    </r>
    <r>
      <rPr>
        <b val="true"/>
        <sz val="10"/>
        <rFont val="Arial"/>
        <family val="0"/>
        <charset val="1"/>
      </rPr>
      <t xml:space="preserve">, 10</t>
    </r>
    <r>
      <rPr>
        <b val="true"/>
        <sz val="10"/>
        <rFont val="WenQuanYi Zen Hei"/>
        <family val="2"/>
      </rPr>
      <t xml:space="preserve">부 </t>
    </r>
    <r>
      <rPr>
        <b val="true"/>
        <sz val="10"/>
        <rFont val="Arial"/>
        <family val="0"/>
        <charset val="1"/>
      </rPr>
      <t xml:space="preserve">4</t>
    </r>
    <r>
      <rPr>
        <b val="true"/>
        <sz val="10"/>
        <rFont val="WenQuanYi Zen Hei"/>
        <family val="2"/>
      </rPr>
      <t xml:space="preserve">화</t>
    </r>
    <r>
      <rPr>
        <b val="true"/>
        <sz val="10"/>
        <rFont val="Arial"/>
        <family val="0"/>
        <charset val="1"/>
      </rPr>
      <t xml:space="preserve">)</t>
    </r>
  </si>
  <si>
    <t xml:space="preserve">후보 (정당)</t>
  </si>
  <si>
    <t xml:space="preserve">득표 (백만 표)</t>
  </si>
  <si>
    <t xml:space="preserve">득표율 (유효표)</t>
  </si>
  <si>
    <t xml:space="preserve">순위</t>
  </si>
  <si>
    <t xml:space="preserve">비고</t>
  </si>
  <si>
    <r>
      <rPr>
        <b val="true"/>
        <sz val="10"/>
        <rFont val="Arial"/>
        <family val="0"/>
        <charset val="1"/>
      </rPr>
      <t xml:space="preserve">UCN </t>
    </r>
    <r>
      <rPr>
        <b val="true"/>
        <sz val="10"/>
        <rFont val="WenQuanYi Zen Hei"/>
        <family val="2"/>
      </rPr>
      <t xml:space="preserve">후보</t>
    </r>
  </si>
  <si>
    <t xml:space="preserve">보수 정당, 현 상파울루 시장 배출</t>
  </si>
  <si>
    <t xml:space="preserve">Rafael (CC)</t>
  </si>
  <si>
    <t xml:space="preserve">창당 4년 차</t>
  </si>
  <si>
    <r>
      <rPr>
        <b val="true"/>
        <sz val="10"/>
        <rFont val="Arial"/>
        <family val="0"/>
        <charset val="1"/>
      </rPr>
      <t xml:space="preserve">PPS </t>
    </r>
    <r>
      <rPr>
        <b val="true"/>
        <sz val="10"/>
        <rFont val="WenQuanYi Zen Hei"/>
        <family val="2"/>
      </rPr>
      <t xml:space="preserve">후보</t>
    </r>
  </si>
  <si>
    <t xml:space="preserve">결선에서 Rafael 지지</t>
  </si>
  <si>
    <r>
      <rPr>
        <b val="true"/>
        <sz val="10"/>
        <rFont val="Arial"/>
        <family val="0"/>
        <charset val="1"/>
      </rPr>
      <t xml:space="preserve">HU </t>
    </r>
    <r>
      <rPr>
        <b val="true"/>
        <sz val="10"/>
        <rFont val="WenQuanYi Zen Hei"/>
        <family val="2"/>
      </rPr>
      <t xml:space="preserve">후보</t>
    </r>
  </si>
  <si>
    <t xml:space="preserve">결선에서 UCN 지지</t>
  </si>
  <si>
    <r>
      <rPr>
        <b val="true"/>
        <sz val="10"/>
        <rFont val="Arial"/>
        <family val="0"/>
        <charset val="1"/>
      </rPr>
      <t xml:space="preserve">TB </t>
    </r>
    <r>
      <rPr>
        <b val="true"/>
        <sz val="10"/>
        <rFont val="WenQuanYi Zen Hei"/>
        <family val="2"/>
      </rPr>
      <t xml:space="preserve">후보</t>
    </r>
  </si>
  <si>
    <t xml:space="preserve">결선 중립 선언</t>
  </si>
  <si>
    <t xml:space="preserve">기타 후보</t>
  </si>
  <si>
    <t xml:space="preserve">군소 후보 합계</t>
  </si>
  <si>
    <t xml:space="preserve">유효표 합계</t>
  </si>
  <si>
    <t xml:space="preserve">백표·무효표 제외 (헌법 제77조 2항)</t>
  </si>
  <si>
    <t xml:space="preserve">과반 기준 (유효표 50%)</t>
  </si>
  <si>
    <t xml:space="preserve">이 값을 넘으면 1차 당선</t>
  </si>
  <si>
    <r>
      <rPr>
        <b val="true"/>
        <sz val="10"/>
        <rFont val="Noto Sans CJK SC"/>
        <family val="2"/>
        <charset val="1"/>
      </rPr>
      <t xml:space="preserve">1</t>
    </r>
    <r>
      <rPr>
        <b val="true"/>
        <sz val="10"/>
        <rFont val="WenQuanYi Zen Hei"/>
        <family val="2"/>
      </rPr>
      <t xml:space="preserve">위 후보</t>
    </r>
  </si>
  <si>
    <r>
      <rPr>
        <b val="true"/>
        <sz val="10"/>
        <rFont val="Noto Sans CJK SC"/>
        <family val="2"/>
        <charset val="1"/>
      </rPr>
      <t xml:space="preserve">2</t>
    </r>
    <r>
      <rPr>
        <b val="true"/>
        <sz val="10"/>
        <rFont val="WenQuanYi Zen Hei"/>
        <family val="2"/>
      </rPr>
      <t xml:space="preserve">위 후보</t>
    </r>
  </si>
  <si>
    <r>
      <rPr>
        <b val="true"/>
        <sz val="10"/>
        <rFont val="Noto Sans CJK SC"/>
        <family val="2"/>
        <charset val="1"/>
      </rPr>
      <t xml:space="preserve">1</t>
    </r>
    <r>
      <rPr>
        <b val="true"/>
        <sz val="10"/>
        <rFont val="WenQuanYi Zen Hei"/>
        <family val="2"/>
      </rPr>
      <t xml:space="preserve">위 득표율</t>
    </r>
  </si>
  <si>
    <t xml:space="preserve">결과</t>
  </si>
  <si>
    <r>
      <rPr>
        <sz val="10"/>
        <rFont val="Arial"/>
        <family val="0"/>
        <charset val="1"/>
      </rPr>
      <t xml:space="preserve">10</t>
    </r>
    <r>
      <rPr>
        <sz val="10"/>
        <rFont val="WenQuanYi Zen Hei"/>
        <family val="2"/>
      </rPr>
      <t xml:space="preserve">월 첫 일요일 </t>
    </r>
    <r>
      <rPr>
        <sz val="10"/>
        <rFont val="Arial"/>
        <family val="0"/>
        <charset val="1"/>
      </rPr>
      <t xml:space="preserve">1</t>
    </r>
    <r>
      <rPr>
        <sz val="10"/>
        <rFont val="WenQuanYi Zen Hei"/>
        <family val="2"/>
      </rPr>
      <t xml:space="preserve">차 → 마지막 일요일 결선</t>
    </r>
  </si>
  <si>
    <r>
      <rPr>
        <b val="true"/>
        <sz val="10"/>
        <rFont val="Noto Sans CJK SC"/>
        <family val="2"/>
        <charset val="1"/>
      </rPr>
      <t xml:space="preserve">1·2</t>
    </r>
    <r>
      <rPr>
        <b val="true"/>
        <sz val="10"/>
        <rFont val="WenQuanYi Zen Hei"/>
        <family val="2"/>
      </rPr>
      <t xml:space="preserve">위 격차 </t>
    </r>
    <r>
      <rPr>
        <b val="true"/>
        <sz val="10"/>
        <rFont val="Noto Sans CJK SC"/>
        <family val="2"/>
        <charset val="1"/>
      </rPr>
      <t xml:space="preserve">(%p)</t>
    </r>
  </si>
  <si>
    <t xml:space="preserve">해석: 어느 후보도 유효표 과반을 넘지 못해 1위 UCN 후보와 2위 Rafael이 결선에 오른다. 브라질에는 의원내각제식 신임 투표나 재선거가 없고, 결선 한 번으로 대통령이 정해진다. 같은 날 치른 하원 선거 결과는 C블록 의석 구성에 반영.</t>
  </si>
  <si>
    <r>
      <rPr>
        <b val="true"/>
        <sz val="10"/>
        <rFont val="Arial"/>
        <family val="0"/>
        <charset val="1"/>
      </rPr>
      <t xml:space="preserve">3-B. </t>
    </r>
    <r>
      <rPr>
        <b val="true"/>
        <sz val="10"/>
        <rFont val="WenQuanYi Zen Hei"/>
        <family val="2"/>
      </rPr>
      <t xml:space="preserve">결선 투표</t>
    </r>
    <r>
      <rPr>
        <b val="true"/>
        <sz val="10"/>
        <rFont val="Arial"/>
        <family val="0"/>
        <charset val="1"/>
      </rPr>
      <t xml:space="preserve">: 1</t>
    </r>
    <r>
      <rPr>
        <b val="true"/>
        <sz val="10"/>
        <rFont val="WenQuanYi Zen Hei"/>
        <family val="2"/>
      </rPr>
      <t xml:space="preserve">차 표의 이동 </t>
    </r>
    <r>
      <rPr>
        <b val="true"/>
        <sz val="10"/>
        <rFont val="Arial"/>
        <family val="0"/>
        <charset val="1"/>
      </rPr>
      <t xml:space="preserve">(</t>
    </r>
    <r>
      <rPr>
        <b val="true"/>
        <sz val="10"/>
        <rFont val="WenQuanYi Zen Hei"/>
        <family val="2"/>
      </rPr>
      <t xml:space="preserve">가상</t>
    </r>
    <r>
      <rPr>
        <b val="true"/>
        <sz val="10"/>
        <rFont val="Arial"/>
        <family val="0"/>
        <charset val="1"/>
      </rPr>
      <t xml:space="preserve">, 10</t>
    </r>
    <r>
      <rPr>
        <b val="true"/>
        <sz val="10"/>
        <rFont val="WenQuanYi Zen Hei"/>
        <family val="2"/>
      </rPr>
      <t xml:space="preserve">부 </t>
    </r>
    <r>
      <rPr>
        <b val="true"/>
        <sz val="10"/>
        <rFont val="Arial"/>
        <family val="0"/>
        <charset val="1"/>
      </rPr>
      <t xml:space="preserve">10</t>
    </r>
    <r>
      <rPr>
        <b val="true"/>
        <sz val="10"/>
        <rFont val="WenQuanYi Zen Hei"/>
        <family val="2"/>
      </rPr>
      <t xml:space="preserve">화</t>
    </r>
    <r>
      <rPr>
        <b val="true"/>
        <sz val="10"/>
        <rFont val="Arial"/>
        <family val="0"/>
        <charset val="1"/>
      </rPr>
      <t xml:space="preserve">)</t>
    </r>
  </si>
  <si>
    <r>
      <rPr>
        <b val="true"/>
        <sz val="10"/>
        <color rgb="FFFFFFFF"/>
        <rFont val="Noto Sans CJK SC"/>
        <family val="2"/>
        <charset val="1"/>
      </rPr>
      <t xml:space="preserve">1</t>
    </r>
    <r>
      <rPr>
        <b val="true"/>
        <sz val="10"/>
        <color rgb="FFFFFFFF"/>
        <rFont val="WenQuanYi Zen Hei"/>
        <family val="2"/>
      </rPr>
      <t xml:space="preserve">차 후보</t>
    </r>
  </si>
  <si>
    <r>
      <rPr>
        <b val="true"/>
        <sz val="10"/>
        <color rgb="FFFFFFFF"/>
        <rFont val="Noto Sans CJK SC"/>
        <family val="2"/>
        <charset val="1"/>
      </rPr>
      <t xml:space="preserve">1</t>
    </r>
    <r>
      <rPr>
        <b val="true"/>
        <sz val="10"/>
        <color rgb="FFFFFFFF"/>
        <rFont val="WenQuanYi Zen Hei"/>
        <family val="2"/>
      </rPr>
      <t xml:space="preserve">차 득표 </t>
    </r>
    <r>
      <rPr>
        <b val="true"/>
        <sz val="10"/>
        <color rgb="FFFFFFFF"/>
        <rFont val="Noto Sans CJK SC"/>
        <family val="2"/>
        <charset val="1"/>
      </rPr>
      <t xml:space="preserve">(</t>
    </r>
    <r>
      <rPr>
        <b val="true"/>
        <sz val="10"/>
        <color rgb="FFFFFFFF"/>
        <rFont val="WenQuanYi Zen Hei"/>
        <family val="2"/>
      </rPr>
      <t xml:space="preserve">백만</t>
    </r>
    <r>
      <rPr>
        <b val="true"/>
        <sz val="10"/>
        <color rgb="FFFFFFFF"/>
        <rFont val="Noto Sans CJK SC"/>
        <family val="2"/>
        <charset val="1"/>
      </rPr>
      <t xml:space="preserve">)</t>
    </r>
  </si>
  <si>
    <r>
      <rPr>
        <b val="true"/>
        <sz val="10"/>
        <color rgb="FFFFFFFF"/>
        <rFont val="Noto Sans CJK SC"/>
        <family val="2"/>
        <charset val="1"/>
      </rPr>
      <t xml:space="preserve">Rafael</t>
    </r>
    <r>
      <rPr>
        <b val="true"/>
        <sz val="10"/>
        <color rgb="FFFFFFFF"/>
        <rFont val="WenQuanYi Zen Hei"/>
        <family val="2"/>
      </rPr>
      <t xml:space="preserve">로 이동</t>
    </r>
  </si>
  <si>
    <r>
      <rPr>
        <b val="true"/>
        <sz val="10"/>
        <color rgb="FFFFFFFF"/>
        <rFont val="Noto Sans CJK SC"/>
        <family val="2"/>
        <charset val="1"/>
      </rPr>
      <t xml:space="preserve">UCN </t>
    </r>
    <r>
      <rPr>
        <b val="true"/>
        <sz val="10"/>
        <color rgb="FFFFFFFF"/>
        <rFont val="WenQuanYi Zen Hei"/>
        <family val="2"/>
      </rPr>
      <t xml:space="preserve">후보로 이동</t>
    </r>
  </si>
  <si>
    <t xml:space="preserve">기권·무효로</t>
  </si>
  <si>
    <r>
      <rPr>
        <b val="true"/>
        <sz val="10"/>
        <rFont val="Noto Sans CJK SC"/>
        <family val="2"/>
        <charset val="1"/>
      </rPr>
      <t xml:space="preserve">Rafael </t>
    </r>
    <r>
      <rPr>
        <b val="true"/>
        <sz val="10"/>
        <rFont val="WenQuanYi Zen Hei"/>
        <family val="2"/>
      </rPr>
      <t xml:space="preserve">결선 득표 </t>
    </r>
    <r>
      <rPr>
        <b val="true"/>
        <sz val="10"/>
        <rFont val="Noto Sans CJK SC"/>
        <family val="2"/>
        <charset val="1"/>
      </rPr>
      <t xml:space="preserve">(</t>
    </r>
    <r>
      <rPr>
        <b val="true"/>
        <sz val="10"/>
        <rFont val="WenQuanYi Zen Hei"/>
        <family val="2"/>
      </rPr>
      <t xml:space="preserve">백만</t>
    </r>
    <r>
      <rPr>
        <b val="true"/>
        <sz val="10"/>
        <rFont val="Noto Sans CJK SC"/>
        <family val="2"/>
        <charset val="1"/>
      </rPr>
      <t xml:space="preserve">)</t>
    </r>
  </si>
  <si>
    <r>
      <rPr>
        <b val="true"/>
        <sz val="10"/>
        <rFont val="Noto Sans CJK SC"/>
        <family val="2"/>
        <charset val="1"/>
      </rPr>
      <t xml:space="preserve">UCN </t>
    </r>
    <r>
      <rPr>
        <b val="true"/>
        <sz val="10"/>
        <rFont val="WenQuanYi Zen Hei"/>
        <family val="2"/>
      </rPr>
      <t xml:space="preserve">후보 결선 득표 </t>
    </r>
    <r>
      <rPr>
        <b val="true"/>
        <sz val="10"/>
        <rFont val="Noto Sans CJK SC"/>
        <family val="2"/>
        <charset val="1"/>
      </rPr>
      <t xml:space="preserve">(</t>
    </r>
    <r>
      <rPr>
        <b val="true"/>
        <sz val="10"/>
        <rFont val="WenQuanYi Zen Hei"/>
        <family val="2"/>
      </rPr>
      <t xml:space="preserve">백만</t>
    </r>
    <r>
      <rPr>
        <b val="true"/>
        <sz val="10"/>
        <rFont val="Noto Sans CJK SC"/>
        <family val="2"/>
        <charset val="1"/>
      </rPr>
      <t xml:space="preserve">)</t>
    </r>
  </si>
  <si>
    <t xml:space="preserve">기권·무효로 빠진 표 (백만)</t>
  </si>
  <si>
    <r>
      <rPr>
        <b val="true"/>
        <sz val="10"/>
        <rFont val="Noto Sans CJK SC"/>
        <family val="2"/>
        <charset val="1"/>
      </rPr>
      <t xml:space="preserve">Rafael </t>
    </r>
    <r>
      <rPr>
        <b val="true"/>
        <sz val="10"/>
        <rFont val="WenQuanYi Zen Hei"/>
        <family val="2"/>
      </rPr>
      <t xml:space="preserve">득표율 </t>
    </r>
    <r>
      <rPr>
        <b val="true"/>
        <sz val="10"/>
        <rFont val="Noto Sans CJK SC"/>
        <family val="2"/>
        <charset val="1"/>
      </rPr>
      <t xml:space="preserve">(</t>
    </r>
    <r>
      <rPr>
        <b val="true"/>
        <sz val="10"/>
        <rFont val="WenQuanYi Zen Hei"/>
        <family val="2"/>
      </rPr>
      <t xml:space="preserve">유효표</t>
    </r>
    <r>
      <rPr>
        <b val="true"/>
        <sz val="10"/>
        <rFont val="Noto Sans CJK SC"/>
        <family val="2"/>
        <charset val="1"/>
      </rPr>
      <t xml:space="preserve">)</t>
    </r>
  </si>
  <si>
    <r>
      <rPr>
        <b val="true"/>
        <sz val="10"/>
        <rFont val="Noto Sans CJK SC"/>
        <family val="2"/>
        <charset val="1"/>
      </rPr>
      <t xml:space="preserve">UCN </t>
    </r>
    <r>
      <rPr>
        <b val="true"/>
        <sz val="10"/>
        <rFont val="WenQuanYi Zen Hei"/>
        <family val="2"/>
      </rPr>
      <t xml:space="preserve">후보 득표율 </t>
    </r>
    <r>
      <rPr>
        <b val="true"/>
        <sz val="10"/>
        <rFont val="Noto Sans CJK SC"/>
        <family val="2"/>
        <charset val="1"/>
      </rPr>
      <t xml:space="preserve">(</t>
    </r>
    <r>
      <rPr>
        <b val="true"/>
        <sz val="10"/>
        <rFont val="WenQuanYi Zen Hei"/>
        <family val="2"/>
      </rPr>
      <t xml:space="preserve">유효표</t>
    </r>
    <r>
      <rPr>
        <b val="true"/>
        <sz val="10"/>
        <rFont val="Noto Sans CJK SC"/>
        <family val="2"/>
        <charset val="1"/>
      </rPr>
      <t xml:space="preserve">)</t>
    </r>
  </si>
  <si>
    <t xml:space="preserve">표 차이 (백만)</t>
  </si>
  <si>
    <t xml:space="preserve">해석: 1차 3위 PPS 후보의 공개 지지(표의 66% 이동)가 결정적이지만, HU 표가 거의 UCN으로 가고 TB는 중립을 선언해 표가 갈린다. 결과는 약 50.8% 대 49.2%의 초접전 — 개표 90%까지 뒤지다 마지막 도시들의 표로 역전하는 10부 10화의 긴장. 파란 이동률을 바꾸면 결과가 바로 바뀐다.</t>
  </si>
  <si>
    <r>
      <rPr>
        <b val="true"/>
        <sz val="10"/>
        <rFont val="Arial"/>
        <family val="0"/>
        <charset val="1"/>
      </rPr>
      <t xml:space="preserve">3-C. </t>
    </r>
    <r>
      <rPr>
        <b val="true"/>
        <sz val="10"/>
        <rFont val="WenQuanYi Zen Hei"/>
        <family val="2"/>
      </rPr>
      <t xml:space="preserve">하원 의석 구성과 탄핵 개시 표결 </t>
    </r>
    <r>
      <rPr>
        <b val="true"/>
        <sz val="10"/>
        <rFont val="Arial"/>
        <family val="0"/>
        <charset val="1"/>
      </rPr>
      <t xml:space="preserve">(</t>
    </r>
    <r>
      <rPr>
        <b val="true"/>
        <sz val="10"/>
        <rFont val="WenQuanYi Zen Hei"/>
        <family val="2"/>
      </rPr>
      <t xml:space="preserve">가상</t>
    </r>
    <r>
      <rPr>
        <b val="true"/>
        <sz val="10"/>
        <rFont val="Arial"/>
        <family val="0"/>
        <charset val="1"/>
      </rPr>
      <t xml:space="preserve">, 12</t>
    </r>
    <r>
      <rPr>
        <b val="true"/>
        <sz val="10"/>
        <rFont val="WenQuanYi Zen Hei"/>
        <family val="2"/>
      </rPr>
      <t xml:space="preserve">부 </t>
    </r>
    <r>
      <rPr>
        <b val="true"/>
        <sz val="10"/>
        <rFont val="Arial"/>
        <family val="0"/>
        <charset val="1"/>
      </rPr>
      <t xml:space="preserve">7</t>
    </r>
    <r>
      <rPr>
        <b val="true"/>
        <sz val="10"/>
        <rFont val="WenQuanYi Zen Hei"/>
        <family val="2"/>
      </rPr>
      <t xml:space="preserve">화</t>
    </r>
    <r>
      <rPr>
        <b val="true"/>
        <sz val="10"/>
        <rFont val="Arial"/>
        <family val="0"/>
        <charset val="1"/>
      </rPr>
      <t xml:space="preserve">)</t>
    </r>
  </si>
  <si>
    <t xml:space="preserve">정당 (블록)</t>
  </si>
  <si>
    <t xml:space="preserve">의석</t>
  </si>
  <si>
    <t xml:space="preserve">탄핵 개시 표결</t>
  </si>
  <si>
    <t xml:space="preserve">정부 기반</t>
  </si>
  <si>
    <t xml:space="preserve">Sim</t>
  </si>
  <si>
    <t xml:space="preserve">야당</t>
  </si>
  <si>
    <t xml:space="preserve">청구 주도</t>
  </si>
  <si>
    <r>
      <rPr>
        <b val="true"/>
        <sz val="10"/>
        <rFont val="Arial"/>
        <family val="0"/>
        <charset val="1"/>
      </rPr>
      <t xml:space="preserve">PCN </t>
    </r>
    <r>
      <rPr>
        <b val="true"/>
        <sz val="10"/>
        <rFont val="WenQuanYi Zen Hei"/>
        <family val="2"/>
      </rPr>
      <t xml:space="preserve">이탈파</t>
    </r>
  </si>
  <si>
    <t xml:space="preserve">예산 수정 불만</t>
  </si>
  <si>
    <r>
      <rPr>
        <b val="true"/>
        <sz val="10"/>
        <rFont val="Arial"/>
        <family val="0"/>
        <charset val="1"/>
      </rPr>
      <t xml:space="preserve">PCN </t>
    </r>
    <r>
      <rPr>
        <b val="true"/>
        <sz val="10"/>
        <rFont val="WenQuanYi Zen Hei"/>
        <family val="2"/>
      </rPr>
      <t xml:space="preserve">친정부파</t>
    </r>
  </si>
  <si>
    <t xml:space="preserve">Não</t>
  </si>
  <si>
    <t xml:space="preserve">여당</t>
  </si>
  <si>
    <t xml:space="preserve">장관직 3개</t>
  </si>
  <si>
    <t xml:space="preserve">연립 참여</t>
  </si>
  <si>
    <t xml:space="preserve">대통령당</t>
  </si>
  <si>
    <t xml:space="preserve">TA</t>
  </si>
  <si>
    <t xml:space="preserve">조건부 친여</t>
  </si>
  <si>
    <t xml:space="preserve">TB</t>
  </si>
  <si>
    <t xml:space="preserve">Abst</t>
  </si>
  <si>
    <t xml:space="preserve">중립</t>
  </si>
  <si>
    <t xml:space="preserve">주 부채 재협상 요구</t>
  </si>
  <si>
    <t xml:space="preserve">총 의석</t>
  </si>
  <si>
    <t xml:space="preserve">개시 승인 기준 (3분의 2)</t>
  </si>
  <si>
    <t xml:space="preserve">헌법 제86조: 하원 3분의 2 승인 → 상원 심판</t>
  </si>
  <si>
    <t xml:space="preserve">찬성 (Sim)</t>
  </si>
  <si>
    <t xml:space="preserve">반대 (Não)</t>
  </si>
  <si>
    <t xml:space="preserve">기권·불참 (Abst)</t>
  </si>
  <si>
    <t xml:space="preserve">기권·불참도 승인 기준을 채우지 못하게 하는 효과</t>
  </si>
  <si>
    <t xml:space="preserve">정부가 지켜야 할 최소 표</t>
  </si>
  <si>
    <t xml:space="preserve">반대·기권·불참을 합쳐 이만큼만 지키면 된다</t>
  </si>
  <si>
    <t xml:space="preserve">정부 기반 의석</t>
  </si>
  <si>
    <t xml:space="preserve">해석: 탄핵 개시에는 하원 342표가 필요한데 찬성은 232표에 그쳐 부결된다. 정부는 172표만 지키면 되지만, PCN 이탈파가 더 늘고 TB가 찬성으로 돌아서면 위험해진다는 긴장이 이 화의 서스펜스. 정부 기반 261석은 법안 과반은 되지만 개헌(5분의 3)에는 모자라 11부의 주거 개헌 대신 법률 개정을 택하는 이유가 된다. 브라질에는 불신임 투표가 없다.</t>
  </si>
  <si>
    <r>
      <rPr>
        <b val="true"/>
        <sz val="10"/>
        <rFont val="Arial"/>
        <family val="0"/>
        <charset val="1"/>
      </rPr>
      <t xml:space="preserve">4. </t>
    </r>
    <r>
      <rPr>
        <b val="true"/>
        <sz val="10"/>
        <rFont val="WenQuanYi Zen Hei"/>
        <family val="2"/>
      </rPr>
      <t xml:space="preserve">이야기 속 엑스트라 화자 </t>
    </r>
    <r>
      <rPr>
        <b val="true"/>
        <sz val="10"/>
        <rFont val="Arial"/>
        <family val="0"/>
        <charset val="1"/>
      </rPr>
      <t xml:space="preserve">(</t>
    </r>
    <r>
      <rPr>
        <b val="true"/>
        <sz val="10"/>
        <rFont val="WenQuanYi Zen Hei"/>
        <family val="2"/>
      </rPr>
      <t xml:space="preserve">전부 가상</t>
    </r>
    <r>
      <rPr>
        <b val="true"/>
        <sz val="10"/>
        <rFont val="Arial"/>
        <family val="0"/>
        <charset val="1"/>
      </rPr>
      <t xml:space="preserve">)</t>
    </r>
  </si>
  <si>
    <r>
      <rPr>
        <sz val="10"/>
        <rFont val="Arial"/>
        <family val="0"/>
        <charset val="1"/>
      </rPr>
      <t xml:space="preserve">PRESIDENTE DO TSE(</t>
    </r>
    <r>
      <rPr>
        <sz val="10"/>
        <rFont val="WenQuanYi Zen Hei"/>
        <family val="2"/>
      </rPr>
      <t xml:space="preserve">개표 결과 발표</t>
    </r>
    <r>
      <rPr>
        <sz val="10"/>
        <rFont val="Arial"/>
        <family val="0"/>
        <charset val="1"/>
      </rPr>
      <t xml:space="preserve">), PRESIDENTE DA CÂMARA(</t>
    </r>
    <r>
      <rPr>
        <sz val="10"/>
        <rFont val="WenQuanYi Zen Hei"/>
        <family val="2"/>
      </rPr>
      <t xml:space="preserve">탄핵 표결 결과 낭독</t>
    </r>
    <r>
      <rPr>
        <sz val="10"/>
        <rFont val="Arial"/>
        <family val="0"/>
        <charset val="1"/>
      </rPr>
      <t xml:space="preserve">), PRESIDENTE DO CONGRESSO(</t>
    </r>
    <r>
      <rPr>
        <sz val="10"/>
        <rFont val="WenQuanYi Zen Hei"/>
        <family val="2"/>
      </rPr>
      <t xml:space="preserve">취임 선서 진행</t>
    </r>
    <r>
      <rPr>
        <sz val="10"/>
        <rFont val="Arial"/>
        <family val="0"/>
        <charset val="1"/>
      </rPr>
      <t xml:space="preserve">), CANDIDATO DA UCN(</t>
    </r>
    <r>
      <rPr>
        <sz val="10"/>
        <rFont val="WenQuanYi Zen Hei"/>
        <family val="2"/>
      </rPr>
      <t xml:space="preserve">가상</t>
    </r>
    <r>
      <rPr>
        <sz val="10"/>
        <rFont val="Arial"/>
        <family val="0"/>
        <charset val="1"/>
      </rPr>
      <t xml:space="preserve">), PREFEITO(UCN, </t>
    </r>
    <r>
      <rPr>
        <sz val="10"/>
        <rFont val="WenQuanYi Zen Hei"/>
        <family val="2"/>
      </rPr>
      <t xml:space="preserve">가상</t>
    </r>
    <r>
      <rPr>
        <sz val="10"/>
        <rFont val="Arial"/>
        <family val="0"/>
        <charset val="1"/>
      </rPr>
      <t xml:space="preserve">), PRESIDENTE EM FIM DE MANDATO(UCN, </t>
    </r>
    <r>
      <rPr>
        <sz val="10"/>
        <rFont val="WenQuanYi Zen Hei"/>
        <family val="2"/>
      </rPr>
      <t xml:space="preserve">가상 — 휘장 이양</t>
    </r>
    <r>
      <rPr>
        <sz val="10"/>
        <rFont val="Arial"/>
        <family val="0"/>
        <charset val="1"/>
      </rPr>
      <t xml:space="preserve">), MEDIADORA(TV </t>
    </r>
    <r>
      <rPr>
        <sz val="10"/>
        <rFont val="WenQuanYi Zen Hei"/>
        <family val="2"/>
      </rPr>
      <t xml:space="preserve">토론</t>
    </r>
    <r>
      <rPr>
        <sz val="10"/>
        <rFont val="Arial"/>
        <family val="0"/>
        <charset val="1"/>
      </rPr>
      <t xml:space="preserve">), TABELIÃ(13</t>
    </r>
    <r>
      <rPr>
        <sz val="10"/>
        <rFont val="WenQuanYi Zen Hei"/>
        <family val="2"/>
      </rPr>
      <t xml:space="preserve">부 유언장</t>
    </r>
    <r>
      <rPr>
        <sz val="10"/>
        <rFont val="Arial"/>
        <family val="0"/>
        <charset val="1"/>
      </rPr>
      <t xml:space="preserve">). </t>
    </r>
    <r>
      <rPr>
        <sz val="10"/>
        <rFont val="WenQuanYi Zen Hei"/>
        <family val="2"/>
      </rPr>
      <t xml:space="preserve">실존 정치인</t>
    </r>
    <r>
      <rPr>
        <sz val="10"/>
        <rFont val="Arial"/>
        <family val="0"/>
        <charset val="1"/>
      </rPr>
      <t xml:space="preserve">·</t>
    </r>
    <r>
      <rPr>
        <sz val="10"/>
        <rFont val="WenQuanYi Zen Hei"/>
        <family val="2"/>
      </rPr>
      <t xml:space="preserve">정당명은 쓰지 않는다</t>
    </r>
    <r>
      <rPr>
        <sz val="10"/>
        <rFont val="Arial"/>
        <family val="0"/>
        <charset val="1"/>
      </rPr>
      <t xml:space="preserve">.</t>
    </r>
  </si>
  <si>
    <t xml:space="preserve">호칭 규칙 (você / o senhor·a senhora / vocês / os senhores)</t>
  </si>
  <si>
    <t xml:space="preserve">브라질 포르투갈어(상파울루) 기준. tu는 쓰지 않는다(남부·북동부 일부 지역어). vós는 Dom Pedro의 연설 인용과 전례문에만. 2~5부 '사무소 프레임 장면'은 1부와 같은 규칙을 따른다.</t>
  </si>
  <si>
    <t xml:space="preserve">화자 → 청자</t>
  </si>
  <si>
    <r>
      <rPr>
        <b val="true"/>
        <sz val="10"/>
        <color rgb="FFFFFFFF"/>
        <rFont val="Arial"/>
        <family val="0"/>
        <charset val="1"/>
      </rPr>
      <t xml:space="preserve">1</t>
    </r>
    <r>
      <rPr>
        <b val="true"/>
        <sz val="10"/>
        <color rgb="FFFFFFFF"/>
        <rFont val="WenQuanYi Zen Hei"/>
        <family val="2"/>
      </rPr>
      <t xml:space="preserve">부 </t>
    </r>
    <r>
      <rPr>
        <b val="true"/>
        <sz val="10"/>
        <color rgb="FFFFFFFF"/>
        <rFont val="Arial"/>
        <family val="0"/>
        <charset val="1"/>
      </rPr>
      <t xml:space="preserve">(</t>
    </r>
    <r>
      <rPr>
        <b val="true"/>
        <sz val="10"/>
        <color rgb="FFFFFFFF"/>
        <rFont val="WenQuanYi Zen Hei"/>
        <family val="2"/>
      </rPr>
      <t xml:space="preserve">현재</t>
    </r>
    <r>
      <rPr>
        <b val="true"/>
        <sz val="10"/>
        <color rgb="FFFFFFFF"/>
        <rFont val="Arial"/>
        <family val="0"/>
        <charset val="1"/>
      </rPr>
      <t xml:space="preserve">)</t>
    </r>
  </si>
  <si>
    <r>
      <rPr>
        <b val="true"/>
        <sz val="10"/>
        <color rgb="FFFFFFFF"/>
        <rFont val="Arial"/>
        <family val="0"/>
        <charset val="1"/>
      </rPr>
      <t xml:space="preserve">2~5</t>
    </r>
    <r>
      <rPr>
        <b val="true"/>
        <sz val="10"/>
        <color rgb="FFFFFFFF"/>
        <rFont val="WenQuanYi Zen Hei"/>
        <family val="2"/>
      </rPr>
      <t xml:space="preserve">부 </t>
    </r>
    <r>
      <rPr>
        <b val="true"/>
        <sz val="10"/>
        <color rgb="FFFFFFFF"/>
        <rFont val="Arial"/>
        <family val="0"/>
        <charset val="1"/>
      </rPr>
      <t xml:space="preserve">(</t>
    </r>
    <r>
      <rPr>
        <b val="true"/>
        <sz val="10"/>
        <color rgb="FFFFFFFF"/>
        <rFont val="WenQuanYi Zen Hei"/>
        <family val="2"/>
      </rPr>
      <t xml:space="preserve">각자의 과거</t>
    </r>
    <r>
      <rPr>
        <b val="true"/>
        <sz val="10"/>
        <color rgb="FFFFFFFF"/>
        <rFont val="Arial"/>
        <family val="0"/>
        <charset val="1"/>
      </rPr>
      <t xml:space="preserve">)</t>
    </r>
  </si>
  <si>
    <r>
      <rPr>
        <b val="true"/>
        <sz val="10"/>
        <color rgb="FFFFFFFF"/>
        <rFont val="Arial"/>
        <family val="0"/>
        <charset val="1"/>
      </rPr>
      <t xml:space="preserve">6</t>
    </r>
    <r>
      <rPr>
        <b val="true"/>
        <sz val="10"/>
        <color rgb="FFFFFFFF"/>
        <rFont val="WenQuanYi Zen Hei"/>
        <family val="2"/>
      </rPr>
      <t xml:space="preserve">부 이후</t>
    </r>
  </si>
  <si>
    <t xml:space="preserve">주력 4인 상호</t>
  </si>
  <si>
    <t xml:space="preserve">você</t>
  </si>
  <si>
    <r>
      <rPr>
        <sz val="10"/>
        <rFont val="Arial"/>
        <family val="0"/>
        <charset val="1"/>
      </rPr>
      <t xml:space="preserve">o senhor / a senhora (</t>
    </r>
    <r>
      <rPr>
        <sz val="10"/>
        <rFont val="WenQuanYi Zen Hei"/>
        <family val="2"/>
      </rPr>
      <t xml:space="preserve">만나기 전이라</t>
    </r>
    <r>
      <rPr>
        <sz val="10"/>
        <rFont val="Arial"/>
        <family val="0"/>
        <charset val="1"/>
      </rPr>
      <t xml:space="preserve">)</t>
    </r>
  </si>
  <si>
    <r>
      <rPr>
        <sz val="10"/>
        <rFont val="Arial"/>
        <family val="0"/>
        <charset val="1"/>
      </rPr>
      <t xml:space="preserve">6</t>
    </r>
    <r>
      <rPr>
        <sz val="10"/>
        <rFont val="WenQuanYi Zen Hei"/>
        <family val="2"/>
      </rPr>
      <t xml:space="preserve">부 만남을 기점으로 전환 — 전환 순간을 대사로 드러낼 것</t>
    </r>
  </si>
  <si>
    <t xml:space="preserve">주력 4인 → Larissa</t>
  </si>
  <si>
    <r>
      <rPr>
        <sz val="10"/>
        <rFont val="Arial"/>
        <family val="0"/>
        <charset val="1"/>
      </rPr>
      <t xml:space="preserve">você (</t>
    </r>
    <r>
      <rPr>
        <sz val="10"/>
        <rFont val="WenQuanYi Zen Hei"/>
        <family val="2"/>
      </rPr>
      <t xml:space="preserve">프레임 장면</t>
    </r>
    <r>
      <rPr>
        <sz val="10"/>
        <rFont val="Arial"/>
        <family val="0"/>
        <charset val="1"/>
      </rPr>
      <t xml:space="preserve">)</t>
    </r>
  </si>
  <si>
    <r>
      <rPr>
        <b val="true"/>
        <sz val="10"/>
        <rFont val="Arial"/>
        <family val="0"/>
        <charset val="1"/>
      </rPr>
      <t xml:space="preserve">Larissa → </t>
    </r>
    <r>
      <rPr>
        <b val="true"/>
        <sz val="10"/>
        <rFont val="WenQuanYi Zen Hei"/>
        <family val="2"/>
      </rPr>
      <t xml:space="preserve">주력 </t>
    </r>
    <r>
      <rPr>
        <b val="true"/>
        <sz val="10"/>
        <rFont val="Arial"/>
        <family val="0"/>
        <charset val="1"/>
      </rPr>
      <t xml:space="preserve">4</t>
    </r>
    <r>
      <rPr>
        <b val="true"/>
        <sz val="10"/>
        <rFont val="WenQuanYi Zen Hei"/>
        <family val="2"/>
      </rPr>
      <t xml:space="preserve">인</t>
    </r>
  </si>
  <si>
    <t xml:space="preserve">o senhor / a senhora</t>
  </si>
  <si>
    <r>
      <rPr>
        <sz val="10"/>
        <rFont val="Arial"/>
        <family val="0"/>
        <charset val="1"/>
      </rPr>
      <t xml:space="preserve">o senhor / a senhora (</t>
    </r>
    <r>
      <rPr>
        <sz val="10"/>
        <rFont val="WenQuanYi Zen Hei"/>
        <family val="2"/>
      </rPr>
      <t xml:space="preserve">프레임 장면</t>
    </r>
    <r>
      <rPr>
        <sz val="10"/>
        <rFont val="Arial"/>
        <family val="0"/>
        <charset val="1"/>
      </rPr>
      <t xml:space="preserve">)</t>
    </r>
  </si>
  <si>
    <r>
      <rPr>
        <sz val="10"/>
        <rFont val="Arial"/>
        <family val="0"/>
        <charset val="1"/>
      </rPr>
      <t xml:space="preserve">você (</t>
    </r>
    <r>
      <rPr>
        <sz val="10"/>
        <rFont val="WenQuanYi Zen Hei"/>
        <family val="2"/>
      </rPr>
      <t xml:space="preserve">제안</t>
    </r>
    <r>
      <rPr>
        <sz val="10"/>
        <rFont val="Arial"/>
        <family val="0"/>
        <charset val="1"/>
      </rPr>
      <t xml:space="preserve">)</t>
    </r>
  </si>
  <si>
    <r>
      <rPr>
        <sz val="10"/>
        <rFont val="Arial"/>
        <family val="0"/>
        <charset val="1"/>
      </rPr>
      <t xml:space="preserve">6</t>
    </r>
    <r>
      <rPr>
        <sz val="10"/>
        <rFont val="WenQuanYi Zen Hei"/>
        <family val="2"/>
      </rPr>
      <t xml:space="preserve">부에서는 이웃 사이라 </t>
    </r>
    <r>
      <rPr>
        <sz val="10"/>
        <rFont val="Arial"/>
        <family val="0"/>
        <charset val="1"/>
      </rPr>
      <t xml:space="preserve">você, </t>
    </r>
    <r>
      <rPr>
        <sz val="10"/>
        <rFont val="WenQuanYi Zen Hei"/>
        <family val="2"/>
      </rPr>
      <t xml:space="preserve">인턴이 되면서</t>
    </r>
    <r>
      <rPr>
        <sz val="10"/>
        <rFont val="Arial"/>
        <family val="0"/>
        <charset val="1"/>
      </rPr>
      <t xml:space="preserve">(1</t>
    </r>
    <r>
      <rPr>
        <sz val="10"/>
        <rFont val="WenQuanYi Zen Hei"/>
        <family val="2"/>
      </rPr>
      <t xml:space="preserve">부</t>
    </r>
    <r>
      <rPr>
        <sz val="10"/>
        <rFont val="Arial"/>
        <family val="0"/>
        <charset val="1"/>
      </rPr>
      <t xml:space="preserve">) o senhor/a senhora</t>
    </r>
    <r>
      <rPr>
        <sz val="10"/>
        <rFont val="WenQuanYi Zen Hei"/>
        <family val="2"/>
      </rPr>
      <t xml:space="preserve">로 바뀐다 — </t>
    </r>
    <r>
      <rPr>
        <sz val="10"/>
        <rFont val="Arial"/>
        <family val="0"/>
        <charset val="1"/>
      </rPr>
      <t xml:space="preserve">1</t>
    </r>
    <r>
      <rPr>
        <sz val="10"/>
        <rFont val="WenQuanYi Zen Hei"/>
        <family val="2"/>
      </rPr>
      <t xml:space="preserve">부 </t>
    </r>
    <r>
      <rPr>
        <sz val="10"/>
        <rFont val="Arial"/>
        <family val="0"/>
        <charset val="1"/>
      </rPr>
      <t xml:space="preserve">1</t>
    </r>
    <r>
      <rPr>
        <sz val="10"/>
        <rFont val="WenQuanYi Zen Hei"/>
        <family val="2"/>
      </rPr>
      <t xml:space="preserve">화 대본에서 </t>
    </r>
    <r>
      <rPr>
        <sz val="10"/>
        <rFont val="Arial"/>
        <family val="0"/>
        <charset val="1"/>
      </rPr>
      <t xml:space="preserve">«No Brás você me chamava de você.»</t>
    </r>
    <r>
      <rPr>
        <sz val="10"/>
        <rFont val="WenQuanYi Zen Hei"/>
        <family val="2"/>
      </rPr>
      <t xml:space="preserve">로 대사 설명</t>
    </r>
    <r>
      <rPr>
        <sz val="10"/>
        <rFont val="Arial"/>
        <family val="0"/>
        <charset val="1"/>
      </rPr>
      <t xml:space="preserve">. </t>
    </r>
    <r>
      <rPr>
        <sz val="10"/>
        <rFont val="WenQuanYi Zen Hei"/>
        <family val="2"/>
      </rPr>
      <t xml:space="preserve">이후 </t>
    </r>
    <r>
      <rPr>
        <sz val="10"/>
        <rFont val="Arial"/>
        <family val="0"/>
        <charset val="1"/>
      </rPr>
      <t xml:space="preserve">você</t>
    </r>
    <r>
      <rPr>
        <sz val="10"/>
        <rFont val="WenQuanYi Zen Hei"/>
        <family val="2"/>
      </rPr>
      <t xml:space="preserve">로 돌아갈 시점은 미확정</t>
    </r>
  </si>
  <si>
    <t xml:space="preserve">Larissa → Dom Pedro</t>
  </si>
  <si>
    <t xml:space="preserve">o senhor</t>
  </si>
  <si>
    <r>
      <rPr>
        <sz val="10"/>
        <rFont val="Arial"/>
        <family val="0"/>
        <charset val="1"/>
      </rPr>
      <t xml:space="preserve">o senhor </t>
    </r>
    <r>
      <rPr>
        <sz val="10"/>
        <rFont val="WenQuanYi Zen Hei"/>
        <family val="2"/>
      </rPr>
      <t xml:space="preserve">유지 → </t>
    </r>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 조사에서 처음 </t>
    </r>
    <r>
      <rPr>
        <sz val="10"/>
        <rFont val="Arial"/>
        <family val="0"/>
        <charset val="1"/>
      </rPr>
      <t xml:space="preserve">você</t>
    </r>
  </si>
  <si>
    <r>
      <rPr>
        <sz val="10"/>
        <rFont val="Arial"/>
        <family val="0"/>
        <charset val="1"/>
      </rPr>
      <t xml:space="preserve">Dom Pedro</t>
    </r>
    <r>
      <rPr>
        <sz val="10"/>
        <rFont val="WenQuanYi Zen Hei"/>
        <family val="2"/>
      </rPr>
      <t xml:space="preserve">는 농담 반으로 </t>
    </r>
    <r>
      <rPr>
        <sz val="10"/>
        <rFont val="Arial"/>
        <family val="0"/>
        <charset val="1"/>
      </rPr>
      <t xml:space="preserve">'Vossa Majestade'</t>
    </r>
    <r>
      <rPr>
        <sz val="10"/>
        <rFont val="WenQuanYi Zen Hei"/>
        <family val="2"/>
      </rPr>
      <t xml:space="preserve">를 요구하고</t>
    </r>
    <r>
      <rPr>
        <sz val="10"/>
        <rFont val="Arial"/>
        <family val="0"/>
        <charset val="1"/>
      </rPr>
      <t xml:space="preserve">, 7</t>
    </r>
    <r>
      <rPr>
        <sz val="10"/>
        <rFont val="WenQuanYi Zen Hei"/>
        <family val="2"/>
      </rPr>
      <t xml:space="preserve">부에서 </t>
    </r>
    <r>
      <rPr>
        <sz val="10"/>
        <rFont val="Arial"/>
        <family val="0"/>
        <charset val="1"/>
      </rPr>
      <t xml:space="preserve">«Pode me chamar de você.»</t>
    </r>
    <r>
      <rPr>
        <sz val="10"/>
        <rFont val="WenQuanYi Zen Hei"/>
        <family val="2"/>
      </rPr>
      <t xml:space="preserve">라고 허락해도 </t>
    </r>
    <r>
      <rPr>
        <sz val="10"/>
        <rFont val="Arial"/>
        <family val="0"/>
        <charset val="1"/>
      </rPr>
      <t xml:space="preserve">Larissa</t>
    </r>
    <r>
      <rPr>
        <sz val="10"/>
        <rFont val="WenQuanYi Zen Hei"/>
        <family val="2"/>
      </rPr>
      <t xml:space="preserve">는 습관 때문에 끝내 </t>
    </r>
    <r>
      <rPr>
        <sz val="10"/>
        <rFont val="Arial"/>
        <family val="0"/>
        <charset val="1"/>
      </rPr>
      <t xml:space="preserve">'o senhor'. </t>
    </r>
    <r>
      <rPr>
        <sz val="10"/>
        <rFont val="WenQuanYi Zen Hei"/>
        <family val="2"/>
      </rPr>
      <t xml:space="preserve">폭발 중에도 </t>
    </r>
    <r>
      <rPr>
        <sz val="10"/>
        <rFont val="Arial"/>
        <family val="0"/>
        <charset val="1"/>
      </rPr>
      <t xml:space="preserve">o senhor (</t>
    </r>
    <r>
      <rPr>
        <sz val="10"/>
        <rFont val="WenQuanYi Zen Hei"/>
        <family val="2"/>
      </rPr>
      <t xml:space="preserve">예</t>
    </r>
    <r>
      <rPr>
        <sz val="10"/>
        <rFont val="Arial"/>
        <family val="0"/>
        <charset val="1"/>
      </rPr>
      <t xml:space="preserve">: «O senhor, justo o senhor, não me chame de mentecapta!»). </t>
    </r>
    <r>
      <rPr>
        <sz val="10"/>
        <rFont val="WenQuanYi Zen Hei"/>
        <family val="2"/>
      </rPr>
      <t xml:space="preserve">폭발 중 </t>
    </r>
    <r>
      <rPr>
        <sz val="10"/>
        <rFont val="Arial"/>
        <family val="0"/>
        <charset val="1"/>
      </rPr>
      <t xml:space="preserve">você </t>
    </r>
    <r>
      <rPr>
        <sz val="10"/>
        <rFont val="WenQuanYi Zen Hei"/>
        <family val="2"/>
      </rPr>
      <t xml:space="preserve">실수 금지 — 장례식 전환의 복선</t>
    </r>
    <r>
      <rPr>
        <sz val="10"/>
        <rFont val="Arial"/>
        <family val="0"/>
        <charset val="1"/>
      </rPr>
      <t xml:space="preserve">.</t>
    </r>
  </si>
  <si>
    <t xml:space="preserve">Larissa → Zumbi, Sérgio, Freire</t>
  </si>
  <si>
    <t xml:space="preserve">해당 없음</t>
  </si>
  <si>
    <r>
      <rPr>
        <sz val="10"/>
        <rFont val="Arial"/>
        <family val="0"/>
        <charset val="1"/>
      </rPr>
      <t xml:space="preserve">o senhor (</t>
    </r>
    <r>
      <rPr>
        <sz val="10"/>
        <rFont val="WenQuanYi Zen Hei"/>
        <family val="2"/>
      </rPr>
      <t xml:space="preserve">전환 시점 미정</t>
    </r>
    <r>
      <rPr>
        <sz val="10"/>
        <rFont val="Arial"/>
        <family val="0"/>
        <charset val="1"/>
      </rPr>
      <t xml:space="preserve">)</t>
    </r>
  </si>
  <si>
    <t xml:space="preserve">Dom Pedro → Larissa</t>
  </si>
  <si>
    <t xml:space="preserve">você («menina»)</t>
  </si>
  <si>
    <t xml:space="preserve">처음부터 você — 욕(mentecapta)도 Larissa에게만</t>
  </si>
  <si>
    <r>
      <rPr>
        <b val="true"/>
        <sz val="10"/>
        <rFont val="Arial"/>
        <family val="0"/>
        <charset val="1"/>
      </rPr>
      <t xml:space="preserve">Dom Pedro → </t>
    </r>
    <r>
      <rPr>
        <b val="true"/>
        <sz val="10"/>
        <rFont val="WenQuanYi Zen Hei"/>
        <family val="2"/>
      </rPr>
      <t xml:space="preserve">여럿</t>
    </r>
    <r>
      <rPr>
        <b val="true"/>
        <sz val="10"/>
        <rFont val="Arial"/>
        <family val="0"/>
        <charset val="1"/>
      </rPr>
      <t xml:space="preserve">(</t>
    </r>
    <r>
      <rPr>
        <b val="true"/>
        <sz val="10"/>
        <rFont val="WenQuanYi Zen Hei"/>
        <family val="2"/>
      </rPr>
      <t xml:space="preserve">집단</t>
    </r>
    <r>
      <rPr>
        <b val="true"/>
        <sz val="10"/>
        <rFont val="Arial"/>
        <family val="0"/>
        <charset val="1"/>
      </rPr>
      <t xml:space="preserve">)</t>
    </r>
  </si>
  <si>
    <t xml:space="preserve">os senhores / as senhoras</t>
  </si>
  <si>
    <t xml:space="preserve">os senhores</t>
  </si>
  <si>
    <t xml:space="preserve">사무소 안에서도 일부러 거리를 두는 궁정식 심술. 다른 인물의 vocês와 비교 학습</t>
  </si>
  <si>
    <r>
      <rPr>
        <b val="true"/>
        <sz val="10"/>
        <rFont val="Arial"/>
        <family val="0"/>
        <charset val="1"/>
      </rPr>
      <t xml:space="preserve">Dom Pedro → </t>
    </r>
    <r>
      <rPr>
        <b val="true"/>
        <sz val="10"/>
        <rFont val="WenQuanYi Zen Hei"/>
        <family val="2"/>
      </rPr>
      <t xml:space="preserve">개인 </t>
    </r>
    <r>
      <rPr>
        <b val="true"/>
        <sz val="10"/>
        <rFont val="Arial"/>
        <family val="0"/>
        <charset val="1"/>
      </rPr>
      <t xml:space="preserve">(Larissa </t>
    </r>
    <r>
      <rPr>
        <b val="true"/>
        <sz val="10"/>
        <rFont val="WenQuanYi Zen Hei"/>
        <family val="2"/>
      </rPr>
      <t xml:space="preserve">외</t>
    </r>
    <r>
      <rPr>
        <b val="true"/>
        <sz val="10"/>
        <rFont val="Arial"/>
        <family val="0"/>
        <charset val="1"/>
      </rPr>
      <t xml:space="preserve">)</t>
    </r>
  </si>
  <si>
    <t xml:space="preserve">소수에게만 você</t>
  </si>
  <si>
    <r>
      <rPr>
        <b val="true"/>
        <sz val="10"/>
        <rFont val="Arial"/>
        <family val="0"/>
        <charset val="1"/>
      </rPr>
      <t xml:space="preserve">Zumbi → </t>
    </r>
    <r>
      <rPr>
        <b val="true"/>
        <sz val="10"/>
        <rFont val="WenQuanYi Zen Hei"/>
        <family val="2"/>
      </rPr>
      <t xml:space="preserve">후배들</t>
    </r>
  </si>
  <si>
    <r>
      <rPr>
        <sz val="10"/>
        <rFont val="Arial"/>
        <family val="0"/>
        <charset val="1"/>
      </rPr>
      <t xml:space="preserve">você (</t>
    </r>
    <r>
      <rPr>
        <sz val="10"/>
        <rFont val="WenQuanYi Zen Hei"/>
        <family val="2"/>
      </rPr>
      <t xml:space="preserve">명령조</t>
    </r>
    <r>
      <rPr>
        <sz val="10"/>
        <rFont val="Arial"/>
        <family val="0"/>
        <charset val="1"/>
      </rPr>
      <t xml:space="preserve">)</t>
    </r>
  </si>
  <si>
    <r>
      <rPr>
        <sz val="10"/>
        <rFont val="Arial"/>
        <family val="0"/>
        <charset val="1"/>
      </rPr>
      <t xml:space="preserve">você / o senhor </t>
    </r>
    <r>
      <rPr>
        <sz val="10"/>
        <rFont val="WenQuanYi Zen Hei"/>
        <family val="2"/>
      </rPr>
      <t xml:space="preserve">혼용</t>
    </r>
  </si>
  <si>
    <t xml:space="preserve">정치 무대에서는 o senhor</t>
  </si>
  <si>
    <r>
      <rPr>
        <b val="true"/>
        <sz val="10"/>
        <rFont val="Arial"/>
        <family val="0"/>
        <charset val="1"/>
      </rPr>
      <t xml:space="preserve">Freire → </t>
    </r>
    <r>
      <rPr>
        <b val="true"/>
        <sz val="10"/>
        <rFont val="WenQuanYi Zen Hei"/>
        <family val="2"/>
      </rPr>
      <t xml:space="preserve">전원</t>
    </r>
  </si>
  <si>
    <t xml:space="preserve">모두에게 você — 교사가 학생에게 말하듯 다정하지만 답은 주지 않는다. «Procure você.»</t>
  </si>
  <si>
    <r>
      <rPr>
        <b val="true"/>
        <sz val="10"/>
        <rFont val="Arial"/>
        <family val="0"/>
        <charset val="1"/>
      </rPr>
      <t xml:space="preserve">Marta, Edson → </t>
    </r>
    <r>
      <rPr>
        <b val="true"/>
        <sz val="10"/>
        <rFont val="WenQuanYi Zen Hei"/>
        <family val="2"/>
      </rPr>
      <t xml:space="preserve">전원</t>
    </r>
  </si>
  <si>
    <r>
      <rPr>
        <sz val="10"/>
        <rFont val="Arial"/>
        <family val="0"/>
        <charset val="1"/>
      </rPr>
      <t xml:space="preserve">Marta</t>
    </r>
    <r>
      <rPr>
        <sz val="10"/>
        <rFont val="WenQuanYi Zen Hei"/>
        <family val="2"/>
      </rPr>
      <t xml:space="preserve">는 </t>
    </r>
    <r>
      <rPr>
        <sz val="10"/>
        <rFont val="Arial"/>
        <family val="0"/>
        <charset val="1"/>
      </rPr>
      <t xml:space="preserve">'meu filho/minha filha', Edson</t>
    </r>
    <r>
      <rPr>
        <sz val="10"/>
        <rFont val="WenQuanYi Zen Hei"/>
        <family val="2"/>
      </rPr>
      <t xml:space="preserve">은 </t>
    </r>
    <r>
      <rPr>
        <sz val="10"/>
        <rFont val="Arial"/>
        <family val="0"/>
        <charset val="1"/>
      </rPr>
      <t xml:space="preserve">'companheiro'</t>
    </r>
  </si>
  <si>
    <r>
      <rPr>
        <b val="true"/>
        <sz val="10"/>
        <rFont val="Arial"/>
        <family val="0"/>
        <charset val="1"/>
      </rPr>
      <t xml:space="preserve">Dumont → </t>
    </r>
    <r>
      <rPr>
        <b val="true"/>
        <sz val="10"/>
        <rFont val="WenQuanYi Zen Hei"/>
        <family val="2"/>
      </rPr>
      <t xml:space="preserve">취재 대상</t>
    </r>
  </si>
  <si>
    <r>
      <rPr>
        <sz val="10"/>
        <rFont val="Arial"/>
        <family val="0"/>
        <charset val="1"/>
      </rPr>
      <t xml:space="preserve">o senhor / a senhora (</t>
    </r>
    <r>
      <rPr>
        <sz val="10"/>
        <rFont val="WenQuanYi Zen Hei"/>
        <family val="2"/>
      </rPr>
      <t xml:space="preserve">취재 시</t>
    </r>
    <r>
      <rPr>
        <sz val="10"/>
        <rFont val="Arial"/>
        <family val="0"/>
        <charset val="1"/>
      </rPr>
      <t xml:space="preserve">)</t>
    </r>
  </si>
  <si>
    <t xml:space="preserve">친해지면 você</t>
  </si>
  <si>
    <t xml:space="preserve">집단 대화 (사무소 안)</t>
  </si>
  <si>
    <t xml:space="preserve">vocês</t>
  </si>
  <si>
    <t xml:space="preserve">예: «Sentem aí, que eu trago alguma coisa.» (브라질에는 vosotros 같은 친근 복수형이 없어 vocês 하나로 통한다)</t>
  </si>
  <si>
    <t xml:space="preserve">공식 연설·의회</t>
  </si>
  <si>
    <t xml:space="preserve">os senhores / Vossas Excelências</t>
  </si>
  <si>
    <r>
      <rPr>
        <sz val="10"/>
        <rFont val="Arial"/>
        <family val="0"/>
        <charset val="1"/>
      </rPr>
      <t xml:space="preserve">8</t>
    </r>
    <r>
      <rPr>
        <sz val="10"/>
        <rFont val="WenQuanYi Zen Hei"/>
        <family val="2"/>
      </rPr>
      <t xml:space="preserve">부 이후 대중 연설</t>
    </r>
    <r>
      <rPr>
        <sz val="10"/>
        <rFont val="Arial"/>
        <family val="0"/>
        <charset val="1"/>
      </rPr>
      <t xml:space="preserve">, 9</t>
    </r>
    <r>
      <rPr>
        <sz val="10"/>
        <rFont val="WenQuanYi Zen Hei"/>
        <family val="2"/>
      </rPr>
      <t xml:space="preserve">부 이후 시의회</t>
    </r>
    <r>
      <rPr>
        <sz val="10"/>
        <rFont val="Arial"/>
        <family val="0"/>
        <charset val="1"/>
      </rPr>
      <t xml:space="preserve">·</t>
    </r>
    <r>
      <rPr>
        <sz val="10"/>
        <rFont val="WenQuanYi Zen Hei"/>
        <family val="2"/>
      </rPr>
      <t xml:space="preserve">하원 토론</t>
    </r>
  </si>
  <si>
    <t xml:space="preserve">연방의회 (Congresso)</t>
  </si>
  <si>
    <t xml:space="preserve">«Senhor Presidente», «Vossa Excelência», «nobre deputado(a)», «senhora ministra»</t>
  </si>
  <si>
    <t xml:space="preserve">의원들은 서로를 «Vossa Excelência», 대통령은 «Senhor Presidente da República»로 부른다</t>
  </si>
  <si>
    <t xml:space="preserve">시의회 (Câmara Municipal)</t>
  </si>
  <si>
    <r>
      <rPr>
        <sz val="10"/>
        <rFont val="Arial"/>
        <family val="0"/>
        <charset val="1"/>
      </rPr>
      <t xml:space="preserve">«Senhor Presidente» (</t>
    </r>
    <r>
      <rPr>
        <sz val="10"/>
        <rFont val="WenQuanYi Zen Hei"/>
        <family val="2"/>
      </rPr>
      <t xml:space="preserve">시의회 의장</t>
    </r>
    <r>
      <rPr>
        <sz val="10"/>
        <rFont val="Arial"/>
        <family val="0"/>
        <charset val="1"/>
      </rPr>
      <t xml:space="preserve">), «nobre vereador(a)», «Senhor Prefeito»</t>
    </r>
  </si>
  <si>
    <t xml:space="preserve">발언은 Vossa Excelência, 회의 밖 동료끼리는 você로 돌아간다</t>
  </si>
  <si>
    <t xml:space="preserve">대통령</t>
  </si>
  <si>
    <t xml:space="preserve">«Senhor Presidente» / «Vossa Excelência»</t>
  </si>
  <si>
    <r>
      <rPr>
        <sz val="10"/>
        <rFont val="Noto Sans CJK SC"/>
        <family val="2"/>
        <charset val="1"/>
      </rPr>
      <t xml:space="preserve">Rafael</t>
    </r>
    <r>
      <rPr>
        <sz val="10"/>
        <rFont val="WenQuanYi Zen Hei"/>
        <family val="2"/>
      </rPr>
      <t xml:space="preserve">이 대통령이 된 뒤에도 </t>
    </r>
    <r>
      <rPr>
        <sz val="10"/>
        <rFont val="Noto Sans CJK SC"/>
        <family val="2"/>
        <charset val="1"/>
      </rPr>
      <t xml:space="preserve">Marta</t>
    </r>
    <r>
      <rPr>
        <sz val="10"/>
        <rFont val="WenQuanYi Zen Hei"/>
        <family val="2"/>
      </rPr>
      <t xml:space="preserve">는 </t>
    </r>
    <r>
      <rPr>
        <sz val="10"/>
        <rFont val="Noto Sans CJK SC"/>
        <family val="2"/>
        <charset val="1"/>
      </rPr>
      <t xml:space="preserve">'meu filho', Dom Pedro</t>
    </r>
    <r>
      <rPr>
        <sz val="10"/>
        <rFont val="WenQuanYi Zen Hei"/>
        <family val="2"/>
      </rPr>
      <t xml:space="preserve">는 끝내 </t>
    </r>
    <r>
      <rPr>
        <sz val="10"/>
        <rFont val="Noto Sans CJK SC"/>
        <family val="2"/>
        <charset val="1"/>
      </rPr>
      <t xml:space="preserve">'o senhor'. </t>
    </r>
    <r>
      <rPr>
        <sz val="10"/>
        <rFont val="WenQuanYi Zen Hei"/>
        <family val="2"/>
      </rPr>
      <t xml:space="preserve">호칭의 변화와 불변을 대비한다</t>
    </r>
  </si>
  <si>
    <r>
      <rPr>
        <b val="true"/>
        <sz val="14"/>
        <color rgb="FF1F3864"/>
        <rFont val="Arial"/>
        <family val="0"/>
        <charset val="1"/>
      </rPr>
      <t xml:space="preserve">Larissa</t>
    </r>
    <r>
      <rPr>
        <b val="true"/>
        <sz val="14"/>
        <color rgb="FF1F3864"/>
        <rFont val="WenQuanYi Zen Hei"/>
        <family val="2"/>
      </rPr>
      <t xml:space="preserve">의 폭발 </t>
    </r>
    <r>
      <rPr>
        <b val="true"/>
        <sz val="14"/>
        <color rgb="FF1F3864"/>
        <rFont val="Arial"/>
        <family val="0"/>
        <charset val="1"/>
      </rPr>
      <t xml:space="preserve">(A Explosão) </t>
    </r>
    <r>
      <rPr>
        <b val="true"/>
        <sz val="14"/>
        <color rgb="FF1F3864"/>
        <rFont val="WenQuanYi Zen Hei"/>
        <family val="2"/>
      </rPr>
      <t xml:space="preserve">과 욕 배정</t>
    </r>
  </si>
  <si>
    <t xml:space="preserve">폭발은 총 2회. 희소성이 가치다. 폭발 뒤에는 반드시 쉬운 말로 다시 설명하는 어휘 교습 장면이 이어진다.</t>
  </si>
  <si>
    <r>
      <rPr>
        <b val="true"/>
        <sz val="10"/>
        <rFont val="Arial"/>
        <family val="0"/>
        <charset val="1"/>
      </rPr>
      <t xml:space="preserve">1. </t>
    </r>
    <r>
      <rPr>
        <b val="true"/>
        <sz val="10"/>
        <rFont val="WenQuanYi Zen Hei"/>
        <family val="2"/>
      </rPr>
      <t xml:space="preserve">폭발 배치 </t>
    </r>
    <r>
      <rPr>
        <b val="true"/>
        <sz val="10"/>
        <rFont val="Arial"/>
        <family val="0"/>
        <charset val="1"/>
      </rPr>
      <t xml:space="preserve">(</t>
    </r>
    <r>
      <rPr>
        <b val="true"/>
        <sz val="10"/>
        <rFont val="WenQuanYi Zen Hei"/>
        <family val="2"/>
      </rPr>
      <t xml:space="preserve">총 </t>
    </r>
    <r>
      <rPr>
        <b val="true"/>
        <sz val="10"/>
        <rFont val="Arial"/>
        <family val="0"/>
        <charset val="1"/>
      </rPr>
      <t xml:space="preserve">2</t>
    </r>
    <r>
      <rPr>
        <b val="true"/>
        <sz val="10"/>
        <rFont val="WenQuanYi Zen Hei"/>
        <family val="2"/>
      </rPr>
      <t xml:space="preserve">회</t>
    </r>
    <r>
      <rPr>
        <b val="true"/>
        <sz val="10"/>
        <rFont val="Arial"/>
        <family val="0"/>
        <charset val="1"/>
      </rPr>
      <t xml:space="preserve">)</t>
    </r>
  </si>
  <si>
    <t xml:space="preserve">회차</t>
  </si>
  <si>
    <t xml:space="preserve">위치</t>
  </si>
  <si>
    <t xml:space="preserve">단계 구성</t>
  </si>
  <si>
    <t xml:space="preserve">특기 사항</t>
  </si>
  <si>
    <r>
      <rPr>
        <b val="true"/>
        <sz val="10"/>
        <rFont val="Arial"/>
        <family val="0"/>
        <charset val="1"/>
      </rPr>
      <t xml:space="preserve">1</t>
    </r>
    <r>
      <rPr>
        <b val="true"/>
        <sz val="10"/>
        <rFont val="WenQuanYi Zen Hei"/>
        <family val="2"/>
      </rPr>
      <t xml:space="preserve">차 폭발</t>
    </r>
  </si>
  <si>
    <r>
      <rPr>
        <sz val="10"/>
        <rFont val="Arial"/>
        <family val="0"/>
        <charset val="1"/>
      </rPr>
      <t xml:space="preserve">1</t>
    </r>
    <r>
      <rPr>
        <sz val="10"/>
        <rFont val="WenQuanYi Zen Hei"/>
        <family val="2"/>
      </rPr>
      <t xml:space="preserve">부 </t>
    </r>
    <r>
      <rPr>
        <sz val="10"/>
        <rFont val="Arial"/>
        <family val="0"/>
        <charset val="1"/>
      </rPr>
      <t xml:space="preserve">6</t>
    </r>
    <r>
      <rPr>
        <sz val="10"/>
        <rFont val="WenQuanYi Zen Hei"/>
        <family val="2"/>
      </rPr>
      <t xml:space="preserve">화 </t>
    </r>
    <r>
      <rPr>
        <sz val="10"/>
        <rFont val="Arial"/>
        <family val="0"/>
        <charset val="1"/>
      </rPr>
      <t xml:space="preserve">«Chega!» (</t>
    </r>
    <r>
      <rPr>
        <sz val="10"/>
        <rFont val="WenQuanYi Zen Hei"/>
        <family val="2"/>
      </rPr>
      <t xml:space="preserve">사건</t>
    </r>
    <r>
      <rPr>
        <sz val="10"/>
        <rFont val="Arial"/>
        <family val="0"/>
        <charset val="1"/>
      </rPr>
      <t xml:space="preserve">3 </t>
    </r>
    <r>
      <rPr>
        <sz val="10"/>
        <rFont val="WenQuanYi Zen Hei"/>
        <family val="2"/>
      </rPr>
      <t xml:space="preserve">인턴 착취</t>
    </r>
    <r>
      <rPr>
        <sz val="10"/>
        <rFont val="Arial"/>
        <family val="0"/>
        <charset val="1"/>
      </rPr>
      <t xml:space="preserve">·</t>
    </r>
    <r>
      <rPr>
        <sz val="10"/>
        <rFont val="WenQuanYi Zen Hei"/>
        <family val="2"/>
      </rPr>
      <t xml:space="preserve">임금 체불 해결 화</t>
    </r>
    <r>
      <rPr>
        <sz val="10"/>
        <rFont val="Arial"/>
        <family val="0"/>
        <charset val="1"/>
      </rPr>
      <t xml:space="preserve">, Juliana</t>
    </r>
    <r>
      <rPr>
        <sz val="10"/>
        <rFont val="WenQuanYi Zen Hei"/>
        <family val="2"/>
      </rPr>
      <t xml:space="preserve">의 경영 용어가 협상을 막는 장면</t>
    </r>
    <r>
      <rPr>
        <sz val="10"/>
        <rFont val="Arial"/>
        <family val="0"/>
        <charset val="1"/>
      </rPr>
      <t xml:space="preserve">)</t>
    </r>
  </si>
  <si>
    <t xml:space="preserve">코미디 — 「몰라서 화내는 Larissa」</t>
  </si>
  <si>
    <r>
      <rPr>
        <sz val="10"/>
        <rFont val="Arial"/>
        <family val="0"/>
        <charset val="1"/>
      </rPr>
      <t xml:space="preserve">1</t>
    </r>
    <r>
      <rPr>
        <sz val="10"/>
        <rFont val="WenQuanYi Zen Hei"/>
        <family val="2"/>
      </rPr>
      <t xml:space="preserve">단계 → </t>
    </r>
    <r>
      <rPr>
        <sz val="10"/>
        <rFont val="Arial"/>
        <family val="0"/>
        <charset val="1"/>
      </rPr>
      <t xml:space="preserve">2</t>
    </r>
    <r>
      <rPr>
        <sz val="10"/>
        <rFont val="WenQuanYi Zen Hei"/>
        <family val="2"/>
      </rPr>
      <t xml:space="preserve">단계 → </t>
    </r>
    <r>
      <rPr>
        <sz val="10"/>
        <rFont val="Arial"/>
        <family val="0"/>
        <charset val="1"/>
      </rPr>
      <t xml:space="preserve">3</t>
    </r>
    <r>
      <rPr>
        <sz val="10"/>
        <rFont val="WenQuanYi Zen Hei"/>
        <family val="2"/>
      </rPr>
      <t xml:space="preserve">단계 전부 노출</t>
    </r>
  </si>
  <si>
    <t xml:space="preserve">인물별 고정 반응 패턴을 여기서 한 번에 보여 준다. Zumbi·Marta·Freire가 이 화에 함께 등장 — Edson의 욕은 9부 2차 폭발로 이관해 과밀을 피함.</t>
  </si>
  <si>
    <r>
      <rPr>
        <b val="true"/>
        <sz val="10"/>
        <rFont val="Arial"/>
        <family val="0"/>
        <charset val="1"/>
      </rPr>
      <t xml:space="preserve">2</t>
    </r>
    <r>
      <rPr>
        <b val="true"/>
        <sz val="10"/>
        <rFont val="WenQuanYi Zen Hei"/>
        <family val="2"/>
      </rPr>
      <t xml:space="preserve">차 폭발</t>
    </r>
  </si>
  <si>
    <r>
      <rPr>
        <sz val="10"/>
        <rFont val="Arial"/>
        <family val="0"/>
        <charset val="1"/>
      </rPr>
      <t xml:space="preserve">9</t>
    </r>
    <r>
      <rPr>
        <sz val="10"/>
        <rFont val="WenQuanYi Zen Hei"/>
        <family val="2"/>
      </rPr>
      <t xml:space="preserve">부 </t>
    </r>
    <r>
      <rPr>
        <sz val="10"/>
        <rFont val="Arial"/>
        <family val="0"/>
        <charset val="1"/>
      </rPr>
      <t xml:space="preserve">(</t>
    </r>
    <r>
      <rPr>
        <sz val="10"/>
        <rFont val="WenQuanYi Zen Hei"/>
        <family val="2"/>
      </rPr>
      <t xml:space="preserve">시의회 예산 심의</t>
    </r>
    <r>
      <rPr>
        <sz val="10"/>
        <rFont val="Arial"/>
        <family val="0"/>
        <charset val="1"/>
      </rPr>
      <t xml:space="preserve">)</t>
    </r>
  </si>
  <si>
    <t xml:space="preserve">역전 — 「알아서 화내는 Larissa」. 이번엔 Larissa가 옳다.</t>
  </si>
  <si>
    <r>
      <rPr>
        <sz val="10"/>
        <rFont val="Arial"/>
        <family val="0"/>
        <charset val="1"/>
      </rPr>
      <t xml:space="preserve">1</t>
    </r>
    <r>
      <rPr>
        <sz val="10"/>
        <rFont val="WenQuanYi Zen Hei"/>
        <family val="2"/>
      </rPr>
      <t xml:space="preserve">단계에서 곧바로 </t>
    </r>
    <r>
      <rPr>
        <sz val="10"/>
        <rFont val="Arial"/>
        <family val="0"/>
        <charset val="1"/>
      </rPr>
      <t xml:space="preserve">3</t>
    </r>
    <r>
      <rPr>
        <sz val="10"/>
        <rFont val="WenQuanYi Zen Hei"/>
        <family val="2"/>
      </rPr>
      <t xml:space="preserve">단계로 </t>
    </r>
    <r>
      <rPr>
        <sz val="10"/>
        <rFont val="Arial"/>
        <family val="0"/>
        <charset val="1"/>
      </rPr>
      <t xml:space="preserve">(2</t>
    </r>
    <r>
      <rPr>
        <sz val="10"/>
        <rFont val="WenQuanYi Zen Hei"/>
        <family val="2"/>
      </rPr>
      <t xml:space="preserve">단계 생략</t>
    </r>
    <r>
      <rPr>
        <sz val="10"/>
        <rFont val="Arial"/>
        <family val="0"/>
        <charset val="1"/>
      </rPr>
      <t xml:space="preserve">: '</t>
    </r>
    <r>
      <rPr>
        <sz val="10"/>
        <rFont val="WenQuanYi Zen Hei"/>
        <family val="2"/>
      </rPr>
      <t xml:space="preserve">이번엔 참지 않는다</t>
    </r>
    <r>
      <rPr>
        <sz val="10"/>
        <rFont val="Arial"/>
        <family val="0"/>
        <charset val="1"/>
      </rPr>
      <t xml:space="preserve">')</t>
    </r>
  </si>
  <si>
    <t xml:space="preserve">관료 전문 용어 속에 서민 예산(임대료 보조)을 깎는 조항이 숨어 있었고 Larissa가 짚어 낸다. Dom Pedro가 선을 넘는 말을 하고 Zumbi·Marta가 나무란다.</t>
  </si>
  <si>
    <t xml:space="preserve">사이 구간</t>
  </si>
  <si>
    <r>
      <rPr>
        <sz val="10"/>
        <rFont val="Arial"/>
        <family val="0"/>
        <charset val="1"/>
      </rPr>
      <t xml:space="preserve">2~8</t>
    </r>
    <r>
      <rPr>
        <sz val="10"/>
        <rFont val="WenQuanYi Zen Hei"/>
        <family val="2"/>
      </rPr>
      <t xml:space="preserve">부</t>
    </r>
  </si>
  <si>
    <t xml:space="preserve">폭발 없음</t>
  </si>
  <si>
    <r>
      <rPr>
        <sz val="10"/>
        <rFont val="Arial"/>
        <family val="0"/>
        <charset val="1"/>
      </rPr>
      <t xml:space="preserve">1</t>
    </r>
    <r>
      <rPr>
        <sz val="10"/>
        <rFont val="WenQuanYi Zen Hei"/>
        <family val="2"/>
      </rPr>
      <t xml:space="preserve">단계 질문만 일상 장치로 반복</t>
    </r>
  </si>
  <si>
    <t xml:space="preserve">어휘 학습의 핵심은 1단계 질문. 폭발은 정점 이벤트일 뿐.</t>
  </si>
  <si>
    <r>
      <rPr>
        <b val="true"/>
        <sz val="10"/>
        <rFont val="Arial"/>
        <family val="0"/>
        <charset val="1"/>
      </rPr>
      <t xml:space="preserve">2. 3</t>
    </r>
    <r>
      <rPr>
        <b val="true"/>
        <sz val="10"/>
        <rFont val="WenQuanYi Zen Hei"/>
        <family val="2"/>
      </rPr>
      <t xml:space="preserve">단계 계단</t>
    </r>
  </si>
  <si>
    <t xml:space="preserve">대사 (PT)</t>
  </si>
  <si>
    <t xml:space="preserve">분위기</t>
  </si>
  <si>
    <t xml:space="preserve">사용</t>
  </si>
  <si>
    <r>
      <rPr>
        <b val="true"/>
        <sz val="10"/>
        <rFont val="Arial"/>
        <family val="0"/>
        <charset val="1"/>
      </rPr>
      <t xml:space="preserve">1</t>
    </r>
    <r>
      <rPr>
        <b val="true"/>
        <sz val="10"/>
        <rFont val="WenQuanYi Zen Hei"/>
        <family val="2"/>
      </rPr>
      <t xml:space="preserve">단계</t>
    </r>
  </si>
  <si>
    <t xml:space="preserve">Desculpa, o que isso significa?</t>
  </si>
  <si>
    <t xml:space="preserve">죄송한데, 그게 무슨 뜻이에요?</t>
  </si>
  <si>
    <t xml:space="preserve">정중한 질문</t>
  </si>
  <si>
    <t xml:space="preserve">상시 (매 화 가능)</t>
  </si>
  <si>
    <r>
      <rPr>
        <b val="true"/>
        <sz val="10"/>
        <rFont val="Arial"/>
        <family val="0"/>
        <charset val="1"/>
      </rPr>
      <t xml:space="preserve">2</t>
    </r>
    <r>
      <rPr>
        <b val="true"/>
        <sz val="10"/>
        <rFont val="WenQuanYi Zen Hei"/>
        <family val="2"/>
      </rPr>
      <t xml:space="preserve">단계</t>
    </r>
  </si>
  <si>
    <t xml:space="preserve">O senhor me explica como se eu tivesse cinco anos?</t>
  </si>
  <si>
    <t xml:space="preserve">다섯 살한테 설명하듯 해 주실래요?</t>
  </si>
  <si>
    <t xml:space="preserve">슬슬 짜증</t>
  </si>
  <si>
    <r>
      <rPr>
        <sz val="10"/>
        <rFont val="Arial"/>
        <family val="0"/>
        <charset val="1"/>
      </rPr>
      <t xml:space="preserve">1</t>
    </r>
    <r>
      <rPr>
        <sz val="10"/>
        <rFont val="WenQuanYi Zen Hei"/>
        <family val="2"/>
      </rPr>
      <t xml:space="preserve">차 폭발에서만</t>
    </r>
  </si>
  <si>
    <r>
      <rPr>
        <b val="true"/>
        <sz val="10"/>
        <rFont val="Arial"/>
        <family val="0"/>
        <charset val="1"/>
      </rPr>
      <t xml:space="preserve">3</t>
    </r>
    <r>
      <rPr>
        <b val="true"/>
        <sz val="10"/>
        <rFont val="WenQuanYi Zen Hei"/>
        <family val="2"/>
      </rPr>
      <t xml:space="preserve">단계</t>
    </r>
  </si>
  <si>
    <t xml:space="preserve">CHEGA! Não entendo nada!</t>
  </si>
  <si>
    <t xml:space="preserve">그만! 하나도 모르겠다고요!</t>
  </si>
  <si>
    <t xml:space="preserve">폭발</t>
  </si>
  <si>
    <r>
      <rPr>
        <sz val="10"/>
        <rFont val="Arial"/>
        <family val="0"/>
        <charset val="1"/>
      </rPr>
      <t xml:space="preserve">1</t>
    </r>
    <r>
      <rPr>
        <sz val="10"/>
        <rFont val="WenQuanYi Zen Hei"/>
        <family val="2"/>
      </rPr>
      <t xml:space="preserve">차 </t>
    </r>
    <r>
      <rPr>
        <sz val="10"/>
        <rFont val="Arial"/>
        <family val="0"/>
        <charset val="1"/>
      </rPr>
      <t xml:space="preserve">· 2</t>
    </r>
    <r>
      <rPr>
        <sz val="10"/>
        <rFont val="WenQuanYi Zen Hei"/>
        <family val="2"/>
      </rPr>
      <t xml:space="preserve">차</t>
    </r>
    <r>
      <rPr>
        <sz val="10"/>
        <rFont val="Arial"/>
        <family val="0"/>
        <charset val="1"/>
      </rPr>
      <t xml:space="preserve">(9</t>
    </r>
    <r>
      <rPr>
        <sz val="10"/>
        <rFont val="WenQuanYi Zen Hei"/>
        <family val="2"/>
      </rPr>
      <t xml:space="preserve">부</t>
    </r>
    <r>
      <rPr>
        <sz val="10"/>
        <rFont val="Arial"/>
        <family val="0"/>
        <charset val="1"/>
      </rPr>
      <t xml:space="preserve">)</t>
    </r>
  </si>
  <si>
    <r>
      <rPr>
        <b val="true"/>
        <sz val="10"/>
        <rFont val="Arial"/>
        <family val="0"/>
        <charset val="1"/>
      </rPr>
      <t xml:space="preserve">3. </t>
    </r>
    <r>
      <rPr>
        <b val="true"/>
        <sz val="10"/>
        <rFont val="WenQuanYi Zen Hei"/>
        <family val="2"/>
      </rPr>
      <t xml:space="preserve">폭발 직후 고정 반응 </t>
    </r>
    <r>
      <rPr>
        <b val="true"/>
        <sz val="10"/>
        <rFont val="Arial"/>
        <family val="0"/>
        <charset val="1"/>
      </rPr>
      <t xml:space="preserve">(</t>
    </r>
    <r>
      <rPr>
        <b val="true"/>
        <sz val="10"/>
        <rFont val="WenQuanYi Zen Hei"/>
        <family val="2"/>
      </rPr>
      <t xml:space="preserve">전부 대사로 처리 — 지문 폐기</t>
    </r>
    <r>
      <rPr>
        <b val="true"/>
        <sz val="10"/>
        <rFont val="Arial"/>
        <family val="0"/>
        <charset val="1"/>
      </rPr>
      <t xml:space="preserve">)</t>
    </r>
  </si>
  <si>
    <t xml:space="preserve">반응 대사 (PT)</t>
  </si>
  <si>
    <t xml:space="preserve">기존 지문 (폐기)</t>
  </si>
  <si>
    <t xml:space="preserve">Primeiro, respira.</t>
  </si>
  <si>
    <t xml:space="preserve">우선, 숨 쉬어.</t>
  </si>
  <si>
    <r>
      <rPr>
        <sz val="10"/>
        <rFont val="Arial"/>
        <family val="0"/>
        <charset val="1"/>
      </rPr>
      <t xml:space="preserve">Larissa: «Não me diga "respira"!»</t>
    </r>
    <r>
      <rPr>
        <sz val="10"/>
        <rFont val="WenQuanYi Zen Hei"/>
        <family val="2"/>
      </rPr>
      <t xml:space="preserve">로 받는다</t>
    </r>
  </si>
  <si>
    <t xml:space="preserve">Opa. Deixa eu pôr esse prato na mesa antes que ele voe.</t>
  </si>
  <si>
    <t xml:space="preserve">어이쿠. 접시 날아가기 전에 식탁에 내려놔야겠네.</t>
  </si>
  <si>
    <t xml:space="preserve">말없이 접시를 내려놓음</t>
  </si>
  <si>
    <t xml:space="preserve">정적의 순간을 웃음으로 대신한다</t>
  </si>
  <si>
    <t xml:space="preserve">Sem novid… Não. Melhor eu ficar quieto.</t>
  </si>
  <si>
    <t xml:space="preserve">이상 없… 아니. 입 다무는 게 낫겠군.</t>
  </si>
  <si>
    <r>
      <rPr>
        <sz val="10"/>
        <rFont val="Arial"/>
        <family val="0"/>
        <charset val="1"/>
      </rPr>
      <t xml:space="preserve">«Sem novidade»</t>
    </r>
    <r>
      <rPr>
        <sz val="10"/>
        <rFont val="WenQuanYi Zen Hei"/>
        <family val="2"/>
      </rPr>
      <t xml:space="preserve">를 하려다 입을 다묾</t>
    </r>
  </si>
  <si>
    <t xml:space="preserve">Eu não disse nada.</t>
  </si>
  <si>
    <t xml:space="preserve">나는 아무 말도 안 했어요.</t>
  </si>
  <si>
    <t xml:space="preserve">아무 말도 하지 않아 오히려 가장 긴장됨</t>
  </si>
  <si>
    <t xml:space="preserve">답을 주지 않는 교사의 침묵을 시그니처 대사로 대체</t>
  </si>
  <si>
    <r>
      <rPr>
        <b val="true"/>
        <sz val="10"/>
        <rFont val="Arial"/>
        <family val="0"/>
        <charset val="1"/>
      </rPr>
      <t xml:space="preserve">4. </t>
    </r>
    <r>
      <rPr>
        <b val="true"/>
        <sz val="10"/>
        <rFont val="WenQuanYi Zen Hei"/>
        <family val="2"/>
      </rPr>
      <t xml:space="preserve">욕 배정 </t>
    </r>
    <r>
      <rPr>
        <b val="true"/>
        <sz val="10"/>
        <rFont val="Arial"/>
        <family val="0"/>
        <charset val="1"/>
      </rPr>
      <t xml:space="preserve">(</t>
    </r>
    <r>
      <rPr>
        <b val="true"/>
        <sz val="10"/>
        <rFont val="WenQuanYi Zen Hei"/>
        <family val="2"/>
      </rPr>
      <t xml:space="preserve">폭발 장면 한정 — 교재용 순한 표현만</t>
    </r>
    <r>
      <rPr>
        <b val="true"/>
        <sz val="10"/>
        <rFont val="Arial"/>
        <family val="0"/>
        <charset val="1"/>
      </rPr>
      <t xml:space="preserve">)</t>
    </r>
  </si>
  <si>
    <t xml:space="preserve">표현</t>
  </si>
  <si>
    <t xml:space="preserve">뉘앙스</t>
  </si>
  <si>
    <t xml:space="preserve">사용 규칙</t>
  </si>
  <si>
    <t xml:space="preserve">Mentecapta / Cabeça de vento</t>
  </si>
  <si>
    <t xml:space="preserve">고풍스럽고 격식 있는 욕 — 우아하게 기분 나쁨</t>
  </si>
  <si>
    <r>
      <rPr>
        <sz val="10"/>
        <rFont val="Arial"/>
        <family val="0"/>
        <charset val="1"/>
      </rPr>
      <t xml:space="preserve">1</t>
    </r>
    <r>
      <rPr>
        <sz val="10"/>
        <rFont val="WenQuanYi Zen Hei"/>
        <family val="2"/>
      </rPr>
      <t xml:space="preserve">차</t>
    </r>
    <r>
      <rPr>
        <sz val="10"/>
        <rFont val="Arial"/>
        <family val="0"/>
        <charset val="1"/>
      </rPr>
      <t xml:space="preserve">·2</t>
    </r>
    <r>
      <rPr>
        <sz val="10"/>
        <rFont val="WenQuanYi Zen Hei"/>
        <family val="2"/>
      </rPr>
      <t xml:space="preserve">차 폭발에서만</t>
    </r>
    <r>
      <rPr>
        <sz val="10"/>
        <rFont val="Arial"/>
        <family val="0"/>
        <charset val="1"/>
      </rPr>
      <t xml:space="preserve">, Larissa</t>
    </r>
    <r>
      <rPr>
        <sz val="10"/>
        <rFont val="WenQuanYi Zen Hei"/>
        <family val="2"/>
      </rPr>
      <t xml:space="preserve">에게만</t>
    </r>
  </si>
  <si>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 마지막에 </t>
    </r>
    <r>
      <rPr>
        <sz val="10"/>
        <rFont val="Arial"/>
        <family val="0"/>
        <charset val="1"/>
      </rPr>
      <t xml:space="preserve">«mentecapta» </t>
    </r>
    <r>
      <rPr>
        <sz val="10"/>
        <rFont val="WenQuanYi Zen Hei"/>
        <family val="2"/>
      </rPr>
      <t xml:space="preserve">대신 </t>
    </r>
    <r>
      <rPr>
        <sz val="10"/>
        <rFont val="Arial"/>
        <family val="0"/>
        <charset val="1"/>
      </rPr>
      <t xml:space="preserve">«Não é ruim.»</t>
    </r>
    <r>
      <rPr>
        <sz val="10"/>
        <rFont val="WenQuanYi Zen Hei"/>
        <family val="2"/>
      </rPr>
      <t xml:space="preserve">이 나올 때 낙차가 커진다</t>
    </r>
    <r>
      <rPr>
        <sz val="10"/>
        <rFont val="Arial"/>
        <family val="0"/>
        <charset val="1"/>
      </rPr>
      <t xml:space="preserve">.</t>
    </r>
  </si>
  <si>
    <t xml:space="preserve">Recruta! / Novata!</t>
  </si>
  <si>
    <t xml:space="preserve">전사의 신병 취급</t>
  </si>
  <si>
    <r>
      <rPr>
        <sz val="10"/>
        <rFont val="Arial"/>
        <family val="0"/>
        <charset val="1"/>
      </rPr>
      <t xml:space="preserve">1</t>
    </r>
    <r>
      <rPr>
        <sz val="10"/>
        <rFont val="WenQuanYi Zen Hei"/>
        <family val="2"/>
      </rPr>
      <t xml:space="preserve">차에서 </t>
    </r>
    <r>
      <rPr>
        <sz val="10"/>
        <rFont val="Arial"/>
        <family val="0"/>
        <charset val="1"/>
      </rPr>
      <t xml:space="preserve">1</t>
    </r>
    <r>
      <rPr>
        <sz val="10"/>
        <rFont val="WenQuanYi Zen Hei"/>
        <family val="2"/>
      </rPr>
      <t xml:space="preserve">회</t>
    </r>
  </si>
  <si>
    <r>
      <rPr>
        <sz val="10"/>
        <rFont val="Arial"/>
        <family val="0"/>
        <charset val="1"/>
      </rPr>
      <t xml:space="preserve">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t>
    </r>
    <r>
      <rPr>
        <sz val="10"/>
        <rFont val="WenQuanYi Zen Hei"/>
        <family val="2"/>
      </rPr>
      <t xml:space="preserve">폭발 화</t>
    </r>
    <r>
      <rPr>
        <sz val="10"/>
        <rFont val="Arial"/>
        <family val="0"/>
        <charset val="1"/>
      </rPr>
      <t xml:space="preserve">)</t>
    </r>
    <r>
      <rPr>
        <sz val="10"/>
        <rFont val="WenQuanYi Zen Hei"/>
        <family val="2"/>
      </rPr>
      <t xml:space="preserve">에 카메오로 함께 있으므로 여기서 </t>
    </r>
    <r>
      <rPr>
        <sz val="10"/>
        <rFont val="Arial"/>
        <family val="0"/>
        <charset val="1"/>
      </rPr>
      <t xml:space="preserve">1</t>
    </r>
    <r>
      <rPr>
        <sz val="10"/>
        <rFont val="WenQuanYi Zen Hei"/>
        <family val="2"/>
      </rPr>
      <t xml:space="preserve">회 </t>
    </r>
    <r>
      <rPr>
        <sz val="10"/>
        <rFont val="Arial"/>
        <family val="0"/>
        <charset val="1"/>
      </rPr>
      <t xml:space="preserve">(</t>
    </r>
    <r>
      <rPr>
        <sz val="10"/>
        <rFont val="WenQuanYi Zen Hei"/>
        <family val="2"/>
      </rPr>
      <t xml:space="preserve">확정</t>
    </r>
    <r>
      <rPr>
        <sz val="10"/>
        <rFont val="Arial"/>
        <family val="0"/>
        <charset val="1"/>
      </rPr>
      <t xml:space="preserve">)</t>
    </r>
  </si>
  <si>
    <t xml:space="preserve">Mané! / Toupeira!</t>
  </si>
  <si>
    <t xml:space="preserve">상파울루 거리식 직설</t>
  </si>
  <si>
    <r>
      <rPr>
        <sz val="10"/>
        <rFont val="Arial"/>
        <family val="0"/>
        <charset val="1"/>
      </rPr>
      <t xml:space="preserve">2</t>
    </r>
    <r>
      <rPr>
        <sz val="10"/>
        <rFont val="WenQuanYi Zen Hei"/>
        <family val="2"/>
      </rPr>
      <t xml:space="preserve">차</t>
    </r>
    <r>
      <rPr>
        <sz val="10"/>
        <rFont val="Arial"/>
        <family val="0"/>
        <charset val="1"/>
      </rPr>
      <t xml:space="preserve">(9</t>
    </r>
    <r>
      <rPr>
        <sz val="10"/>
        <rFont val="WenQuanYi Zen Hei"/>
        <family val="2"/>
      </rPr>
      <t xml:space="preserve">부</t>
    </r>
    <r>
      <rPr>
        <sz val="10"/>
        <rFont val="Arial"/>
        <family val="0"/>
        <charset val="1"/>
      </rPr>
      <t xml:space="preserve">)</t>
    </r>
    <r>
      <rPr>
        <sz val="10"/>
        <rFont val="WenQuanYi Zen Hei"/>
        <family val="2"/>
      </rPr>
      <t xml:space="preserve">에서 </t>
    </r>
    <r>
      <rPr>
        <sz val="10"/>
        <rFont val="Arial"/>
        <family val="0"/>
        <charset val="1"/>
      </rPr>
      <t xml:space="preserve">1</t>
    </r>
    <r>
      <rPr>
        <sz val="10"/>
        <rFont val="WenQuanYi Zen Hei"/>
        <family val="2"/>
      </rPr>
      <t xml:space="preserve">회</t>
    </r>
  </si>
  <si>
    <r>
      <rPr>
        <sz val="10"/>
        <rFont val="Arial"/>
        <family val="0"/>
        <charset val="1"/>
      </rPr>
      <t xml:space="preserve">1</t>
    </r>
    <r>
      <rPr>
        <sz val="10"/>
        <rFont val="WenQuanYi Zen Hei"/>
        <family val="2"/>
      </rPr>
      <t xml:space="preserve">차 폭발 화의 카메오 과밀을 피해 이관 </t>
    </r>
    <r>
      <rPr>
        <sz val="10"/>
        <rFont val="Arial"/>
        <family val="0"/>
        <charset val="1"/>
      </rPr>
      <t xml:space="preserve">(</t>
    </r>
    <r>
      <rPr>
        <sz val="10"/>
        <rFont val="WenQuanYi Zen Hei"/>
        <family val="2"/>
      </rPr>
      <t xml:space="preserve">확정</t>
    </r>
    <r>
      <rPr>
        <sz val="10"/>
        <rFont val="Arial"/>
        <family val="0"/>
        <charset val="1"/>
      </rPr>
      <t xml:space="preserve">)</t>
    </r>
  </si>
  <si>
    <t xml:space="preserve">Tonta! / Pamonha! + «minha filha»</t>
  </si>
  <si>
    <t xml:space="preserve">애정이 섞여 욕인 줄 모름</t>
  </si>
  <si>
    <t xml:space="preserve">욕하지 않음</t>
  </si>
  <si>
    <t xml:space="preserve">대신 출처를 가리킨다</t>
  </si>
  <si>
    <t xml:space="preserve">«Procure você.»</t>
  </si>
  <si>
    <r>
      <rPr>
        <b val="true"/>
        <sz val="10"/>
        <rFont val="Arial"/>
        <family val="0"/>
        <charset val="1"/>
      </rPr>
      <t xml:space="preserve">5. </t>
    </r>
    <r>
      <rPr>
        <b val="true"/>
        <sz val="10"/>
        <rFont val="WenQuanYi Zen Hei"/>
        <family val="2"/>
      </rPr>
      <t xml:space="preserve">유지 규칙</t>
    </r>
  </si>
  <si>
    <r>
      <rPr>
        <sz val="10"/>
        <rFont val="Arial"/>
        <family val="0"/>
        <charset val="1"/>
      </rPr>
      <t xml:space="preserve">1. Larissa</t>
    </r>
    <r>
      <rPr>
        <sz val="10"/>
        <rFont val="WenQuanYi Zen Hei"/>
        <family val="2"/>
      </rPr>
      <t xml:space="preserve">가 옳은 경우가 있어야 한다</t>
    </r>
    <r>
      <rPr>
        <sz val="10"/>
        <rFont val="Arial"/>
        <family val="0"/>
        <charset val="1"/>
      </rPr>
      <t xml:space="preserve">. 2</t>
    </r>
    <r>
      <rPr>
        <sz val="10"/>
        <rFont val="WenQuanYi Zen Hei"/>
        <family val="2"/>
      </rPr>
      <t xml:space="preserve">차</t>
    </r>
    <r>
      <rPr>
        <sz val="10"/>
        <rFont val="Arial"/>
        <family val="0"/>
        <charset val="1"/>
      </rPr>
      <t xml:space="preserve">(9</t>
    </r>
    <r>
      <rPr>
        <sz val="10"/>
        <rFont val="WenQuanYi Zen Hei"/>
        <family val="2"/>
      </rPr>
      <t xml:space="preserve">부</t>
    </r>
    <r>
      <rPr>
        <sz val="10"/>
        <rFont val="Arial"/>
        <family val="0"/>
        <charset val="1"/>
      </rPr>
      <t xml:space="preserve">)</t>
    </r>
    <r>
      <rPr>
        <sz val="10"/>
        <rFont val="WenQuanYi Zen Hei"/>
        <family val="2"/>
      </rPr>
      <t xml:space="preserve">에서는 관료 용어에 숨은 삭감 조항을 짚어 낸다</t>
    </r>
    <r>
      <rPr>
        <sz val="10"/>
        <rFont val="Arial"/>
        <family val="0"/>
        <charset val="1"/>
      </rPr>
      <t xml:space="preserve">. 1</t>
    </r>
    <r>
      <rPr>
        <sz val="10"/>
        <rFont val="WenQuanYi Zen Hei"/>
        <family val="2"/>
      </rPr>
      <t xml:space="preserve">차에서도 </t>
    </r>
    <r>
      <rPr>
        <sz val="10"/>
        <rFont val="Arial"/>
        <family val="0"/>
        <charset val="1"/>
      </rPr>
      <t xml:space="preserve">Juliana</t>
    </r>
    <r>
      <rPr>
        <sz val="10"/>
        <rFont val="WenQuanYi Zen Hei"/>
        <family val="2"/>
      </rPr>
      <t xml:space="preserve">의 용어</t>
    </r>
    <r>
      <rPr>
        <sz val="10"/>
        <rFont val="Arial"/>
        <family val="0"/>
        <charset val="1"/>
      </rPr>
      <t xml:space="preserve">(sinergia, escalável)</t>
    </r>
    <r>
      <rPr>
        <sz val="10"/>
        <rFont val="WenQuanYi Zen Hei"/>
        <family val="2"/>
      </rPr>
      <t xml:space="preserve">가 알맹이 없었음이 드러난다</t>
    </r>
    <r>
      <rPr>
        <sz val="10"/>
        <rFont val="Arial"/>
        <family val="0"/>
        <charset val="1"/>
      </rPr>
      <t xml:space="preserve">. Larissa</t>
    </r>
    <r>
      <rPr>
        <sz val="10"/>
        <rFont val="WenQuanYi Zen Hei"/>
        <family val="2"/>
      </rPr>
      <t xml:space="preserve">는 </t>
    </r>
    <r>
      <rPr>
        <sz val="10"/>
        <rFont val="Arial"/>
        <family val="0"/>
        <charset val="1"/>
      </rPr>
      <t xml:space="preserve">'</t>
    </r>
    <r>
      <rPr>
        <sz val="10"/>
        <rFont val="WenQuanYi Zen Hei"/>
        <family val="2"/>
      </rPr>
      <t xml:space="preserve">어려운 말로 숨는 어른들</t>
    </r>
    <r>
      <rPr>
        <sz val="10"/>
        <rFont val="Arial"/>
        <family val="0"/>
        <charset val="1"/>
      </rPr>
      <t xml:space="preserve">'</t>
    </r>
    <r>
      <rPr>
        <sz val="10"/>
        <rFont val="WenQuanYi Zen Hei"/>
        <family val="2"/>
      </rPr>
      <t xml:space="preserve">을 드러내는 인물이다</t>
    </r>
    <r>
      <rPr>
        <sz val="10"/>
        <rFont val="Arial"/>
        <family val="0"/>
        <charset val="1"/>
      </rPr>
      <t xml:space="preserve">.</t>
    </r>
  </si>
  <si>
    <r>
      <rPr>
        <sz val="10"/>
        <rFont val="Arial"/>
        <family val="0"/>
        <charset val="1"/>
      </rPr>
      <t xml:space="preserve">2. </t>
    </r>
    <r>
      <rPr>
        <sz val="10"/>
        <rFont val="WenQuanYi Zen Hei"/>
        <family val="2"/>
      </rPr>
      <t xml:space="preserve">폭발 직후에는 누군가 쉬운 말로 다시 설명한다 </t>
    </r>
    <r>
      <rPr>
        <sz val="10"/>
        <rFont val="Arial"/>
        <family val="0"/>
        <charset val="1"/>
      </rPr>
      <t xml:space="preserve">(</t>
    </r>
    <r>
      <rPr>
        <sz val="10"/>
        <rFont val="WenQuanYi Zen Hei"/>
        <family val="2"/>
      </rPr>
      <t xml:space="preserve">전문 표현 → 쉬운 표현 짝 학습</t>
    </r>
    <r>
      <rPr>
        <sz val="10"/>
        <rFont val="Arial"/>
        <family val="0"/>
        <charset val="1"/>
      </rPr>
      <t xml:space="preserve">). 1</t>
    </r>
    <r>
      <rPr>
        <sz val="10"/>
        <rFont val="WenQuanYi Zen Hei"/>
        <family val="2"/>
      </rPr>
      <t xml:space="preserve">차 담당</t>
    </r>
    <r>
      <rPr>
        <sz val="10"/>
        <rFont val="Arial"/>
        <family val="0"/>
        <charset val="1"/>
      </rPr>
      <t xml:space="preserve">: Bruno — «Deixa que eu traduzo. Quer dizer: demitir gente pra economizar.»</t>
    </r>
  </si>
  <si>
    <r>
      <rPr>
        <sz val="10"/>
        <rFont val="Arial"/>
        <family val="0"/>
        <charset val="1"/>
      </rPr>
      <t xml:space="preserve">3. </t>
    </r>
    <r>
      <rPr>
        <sz val="10"/>
        <rFont val="WenQuanYi Zen Hei"/>
        <family val="2"/>
      </rPr>
      <t xml:space="preserve">욕과 괴롭힘의 선</t>
    </r>
    <r>
      <rPr>
        <sz val="10"/>
        <rFont val="Arial"/>
        <family val="0"/>
        <charset val="1"/>
      </rPr>
      <t xml:space="preserve">: </t>
    </r>
    <r>
      <rPr>
        <sz val="10"/>
        <rFont val="WenQuanYi Zen Hei"/>
        <family val="2"/>
      </rPr>
      <t xml:space="preserve">별도 에피소드를 만들지 않고 </t>
    </r>
    <r>
      <rPr>
        <sz val="10"/>
        <rFont val="Arial"/>
        <family val="0"/>
        <charset val="1"/>
      </rPr>
      <t xml:space="preserve">2</t>
    </r>
    <r>
      <rPr>
        <sz val="10"/>
        <rFont val="WenQuanYi Zen Hei"/>
        <family val="2"/>
      </rPr>
      <t xml:space="preserve">차 폭발에 합친다</t>
    </r>
    <r>
      <rPr>
        <sz val="10"/>
        <rFont val="Arial"/>
        <family val="0"/>
        <charset val="1"/>
      </rPr>
      <t xml:space="preserve">. Dom Pedro</t>
    </r>
    <r>
      <rPr>
        <sz val="10"/>
        <rFont val="WenQuanYi Zen Hei"/>
        <family val="2"/>
      </rPr>
      <t xml:space="preserve">가 정말 아픈 말을 하고 </t>
    </r>
    <r>
      <rPr>
        <sz val="10"/>
        <rFont val="Arial"/>
        <family val="0"/>
        <charset val="1"/>
      </rPr>
      <t xml:space="preserve">Zumbi·Marta</t>
    </r>
    <r>
      <rPr>
        <sz val="10"/>
        <rFont val="WenQuanYi Zen Hei"/>
        <family val="2"/>
      </rPr>
      <t xml:space="preserve">가 나무라며</t>
    </r>
    <r>
      <rPr>
        <sz val="10"/>
        <rFont val="Arial"/>
        <family val="0"/>
        <charset val="1"/>
      </rPr>
      <t xml:space="preserve">, </t>
    </r>
    <r>
      <rPr>
        <sz val="10"/>
        <rFont val="WenQuanYi Zen Hei"/>
        <family val="2"/>
      </rPr>
      <t xml:space="preserve">사과는 </t>
    </r>
    <r>
      <rPr>
        <sz val="10"/>
        <rFont val="Arial"/>
        <family val="0"/>
        <charset val="1"/>
      </rPr>
      <t xml:space="preserve">«Retiro o que disse… em parte.» </t>
    </r>
    <r>
      <rPr>
        <sz val="10"/>
        <rFont val="WenQuanYi Zen Hei"/>
        <family val="2"/>
      </rPr>
      <t xml:space="preserve">정도로 삐딱하게</t>
    </r>
    <r>
      <rPr>
        <sz val="10"/>
        <rFont val="Arial"/>
        <family val="0"/>
        <charset val="1"/>
      </rPr>
      <t xml:space="preserve">.</t>
    </r>
  </si>
  <si>
    <r>
      <rPr>
        <sz val="10"/>
        <rFont val="Arial"/>
        <family val="0"/>
        <charset val="1"/>
      </rPr>
      <t xml:space="preserve">4. </t>
    </r>
    <r>
      <rPr>
        <sz val="10"/>
        <rFont val="WenQuanYi Zen Hei"/>
        <family val="2"/>
      </rPr>
      <t xml:space="preserve">욕설 수위</t>
    </r>
    <r>
      <rPr>
        <sz val="10"/>
        <rFont val="Arial"/>
        <family val="0"/>
        <charset val="1"/>
      </rPr>
      <t xml:space="preserve">: porra, caralho </t>
    </r>
    <r>
      <rPr>
        <sz val="10"/>
        <rFont val="WenQuanYi Zen Hei"/>
        <family val="2"/>
      </rPr>
      <t xml:space="preserve">등은 교재에서 제외</t>
    </r>
    <r>
      <rPr>
        <sz val="10"/>
        <rFont val="Arial"/>
        <family val="0"/>
        <charset val="1"/>
      </rPr>
      <t xml:space="preserve">. </t>
    </r>
    <r>
      <rPr>
        <sz val="10"/>
        <rFont val="WenQuanYi Zen Hei"/>
        <family val="2"/>
      </rPr>
      <t xml:space="preserve">필요하면 각주로 </t>
    </r>
    <r>
      <rPr>
        <sz val="10"/>
        <rFont val="Arial"/>
        <family val="0"/>
        <charset val="1"/>
      </rPr>
      <t xml:space="preserve">'</t>
    </r>
    <r>
      <rPr>
        <sz val="10"/>
        <rFont val="WenQuanYi Zen Hei"/>
        <family val="2"/>
      </rPr>
      <t xml:space="preserve">실제로는 더 거칠게 말한다</t>
    </r>
    <r>
      <rPr>
        <sz val="10"/>
        <rFont val="Arial"/>
        <family val="0"/>
        <charset val="1"/>
      </rPr>
      <t xml:space="preserve">'</t>
    </r>
    <r>
      <rPr>
        <sz val="10"/>
        <rFont val="WenQuanYi Zen Hei"/>
        <family val="2"/>
      </rPr>
      <t xml:space="preserve">고만 알려 준다</t>
    </r>
    <r>
      <rPr>
        <sz val="10"/>
        <rFont val="Arial"/>
        <family val="0"/>
        <charset val="1"/>
      </rPr>
      <t xml:space="preserve">.</t>
    </r>
  </si>
  <si>
    <r>
      <rPr>
        <b val="true"/>
        <sz val="14"/>
        <color rgb="FF1F3864"/>
        <rFont val="Arial"/>
        <family val="0"/>
        <charset val="1"/>
      </rPr>
      <t xml:space="preserve">Dom Pedro — </t>
    </r>
    <r>
      <rPr>
        <b val="true"/>
        <sz val="14"/>
        <color rgb="FF1F3864"/>
        <rFont val="WenQuanYi Zen Hei"/>
        <family val="2"/>
      </rPr>
      <t xml:space="preserve">위엄 있는 심술 황제이자 오늘내일하는 사람</t>
    </r>
  </si>
  <si>
    <r>
      <rPr>
        <i val="true"/>
        <sz val="9"/>
        <color rgb="FF595959"/>
        <rFont val="Arial"/>
        <family val="0"/>
        <charset val="1"/>
      </rPr>
      <t xml:space="preserve">10</t>
    </r>
    <r>
      <rPr>
        <i val="true"/>
        <sz val="9"/>
        <color rgb="FF595959"/>
        <rFont val="WenQuanYi Zen Hei"/>
        <family val="2"/>
      </rPr>
      <t xml:space="preserve">부 동안 매 겨울 </t>
    </r>
    <r>
      <rPr>
        <i val="true"/>
        <sz val="9"/>
        <color rgb="FF595959"/>
        <rFont val="Arial"/>
        <family val="0"/>
        <charset val="1"/>
      </rPr>
      <t xml:space="preserve">'</t>
    </r>
    <r>
      <rPr>
        <i val="true"/>
        <sz val="9"/>
        <color rgb="FF595959"/>
        <rFont val="WenQuanYi Zen Hei"/>
        <family val="2"/>
      </rPr>
      <t xml:space="preserve">마지막</t>
    </r>
    <r>
      <rPr>
        <i val="true"/>
        <sz val="9"/>
        <color rgb="FF595959"/>
        <rFont val="Arial"/>
        <family val="0"/>
        <charset val="1"/>
      </rPr>
      <t xml:space="preserve">'</t>
    </r>
    <r>
      <rPr>
        <i val="true"/>
        <sz val="9"/>
        <color rgb="FF595959"/>
        <rFont val="WenQuanYi Zen Hei"/>
        <family val="2"/>
      </rPr>
      <t xml:space="preserve">이라고 외치는 양치기 소년 → </t>
    </r>
    <r>
      <rPr>
        <i val="true"/>
        <sz val="9"/>
        <color rgb="FF595959"/>
        <rFont val="Arial"/>
        <family val="0"/>
        <charset val="1"/>
      </rPr>
      <t xml:space="preserve">11</t>
    </r>
    <r>
      <rPr>
        <i val="true"/>
        <sz val="9"/>
        <color rgb="FF595959"/>
        <rFont val="WenQuanYi Zen Hei"/>
        <family val="2"/>
      </rPr>
      <t xml:space="preserve">부에서 폐위 이후 처음 나라를 대표해 브뤼셀에서 승리하고</t>
    </r>
    <r>
      <rPr>
        <i val="true"/>
        <sz val="9"/>
        <color rgb="FF595959"/>
        <rFont val="Arial"/>
        <family val="0"/>
        <charset val="1"/>
      </rPr>
      <t xml:space="preserve">, </t>
    </r>
    <r>
      <rPr>
        <i val="true"/>
        <sz val="9"/>
        <color rgb="FF595959"/>
        <rFont val="WenQuanYi Zen Hei"/>
        <family val="2"/>
      </rPr>
      <t xml:space="preserve">그 직후 </t>
    </r>
    <r>
      <rPr>
        <i val="true"/>
        <sz val="9"/>
        <color rgb="FF595959"/>
        <rFont val="Arial"/>
        <family val="0"/>
        <charset val="1"/>
      </rPr>
      <t xml:space="preserve">12</t>
    </r>
    <r>
      <rPr>
        <i val="true"/>
        <sz val="9"/>
        <color rgb="FF595959"/>
        <rFont val="WenQuanYi Zen Hei"/>
        <family val="2"/>
      </rPr>
      <t xml:space="preserve">화에서 진짜로 죽는다</t>
    </r>
    <r>
      <rPr>
        <i val="true"/>
        <sz val="9"/>
        <color rgb="FF595959"/>
        <rFont val="Arial"/>
        <family val="0"/>
        <charset val="1"/>
      </rPr>
      <t xml:space="preserve">. 1891</t>
    </r>
    <r>
      <rPr>
        <i val="true"/>
        <sz val="9"/>
        <color rgb="FF595959"/>
        <rFont val="WenQuanYi Zen Hei"/>
        <family val="2"/>
      </rPr>
      <t xml:space="preserve">년에는 파리 망명지에서</t>
    </r>
    <r>
      <rPr>
        <i val="true"/>
        <sz val="9"/>
        <color rgb="FF595959"/>
        <rFont val="Arial"/>
        <family val="0"/>
        <charset val="1"/>
      </rPr>
      <t xml:space="preserve">, </t>
    </r>
    <r>
      <rPr>
        <i val="true"/>
        <sz val="9"/>
        <color rgb="FF595959"/>
        <rFont val="WenQuanYi Zen Hei"/>
        <family val="2"/>
      </rPr>
      <t xml:space="preserve">이번엔 조국에서</t>
    </r>
    <r>
      <rPr>
        <i val="true"/>
        <sz val="9"/>
        <color rgb="FF595959"/>
        <rFont val="Arial"/>
        <family val="0"/>
        <charset val="1"/>
      </rPr>
      <t xml:space="preserve">.</t>
    </r>
  </si>
  <si>
    <t xml:space="preserve">내용</t>
  </si>
  <si>
    <t xml:space="preserve">나이</t>
  </si>
  <si>
    <t xml:space="preserve">정중하게 독을 뿌리는 심술 황제. 예의를 지키며 비꼬는 화법이라 Edson의 큰 소리 화법과 구분된다. 낭독하면 '정중한데 기분 나쁜' 억양 연습이 된다.</t>
  </si>
  <si>
    <t xml:space="preserve">심술 패턴</t>
  </si>
  <si>
    <t xml:space="preserve">커피가 맛없다고 매일 불평(«No meu Império, o café sustentava a nação. Este não sustenta nem a xícara.»). Juliana를 «a moça dos slides», Machado의 원고를 «os mil rascunhos»라고 놀림. 모든 것이 «No meu tempo»보다 못하다.</t>
  </si>
  <si>
    <t xml:space="preserve">반복 개그</t>
  </si>
  <si>
    <t xml:space="preserve">매 겨울(상파울루의 이슬비 garoa 철) «Este será o meu último inverno.» 선언, 유언장을 계속 고쳐 씀 (Larissa에게 우산을 물려주겠다 등). 입버릇 «Anotem no meu testamento.» 모두 '또 시작이네' 하며 웃어넘긴다.</t>
  </si>
  <si>
    <t xml:space="preserve">가짜 병</t>
  </si>
  <si>
    <t xml:space="preserve">무릎, 소화, 불면 — 전부 엄살. 소란스러운 엄살이 진짜 병의 위장이 된다.</t>
  </si>
  <si>
    <t xml:space="preserve">진짜 병</t>
  </si>
  <si>
    <t xml:space="preserve">만성 심부전 (insuficiência cardíaca crônica). 이것만 숨긴다. (1891년의 사인은 폐렴 — 두 번째 삶에서는 심장이다.)</t>
  </si>
  <si>
    <r>
      <rPr>
        <b val="true"/>
        <sz val="10"/>
        <rFont val="Arial"/>
        <family val="0"/>
        <charset val="1"/>
      </rPr>
      <t xml:space="preserve">Camila</t>
    </r>
    <r>
      <rPr>
        <b val="true"/>
        <sz val="10"/>
        <rFont val="WenQuanYi Zen Hei"/>
        <family val="2"/>
      </rPr>
      <t xml:space="preserve">의 딜레마</t>
    </r>
  </si>
  <si>
    <t xml:space="preserve">진단을 알지만 의사의 비밀유지(sigilo médico)를 지킨다. Dom Pedro가 «Doutora, isto fica entre nós.»라고 못 박았기 때문. 시청자가 뒤늦게 'Camila가 왜 조용했는지' 깨닫는 구조.</t>
  </si>
  <si>
    <t xml:space="preserve">최고의 칭찬</t>
  </si>
  <si>
    <r>
      <rPr>
        <sz val="10"/>
        <rFont val="Arial"/>
        <family val="0"/>
        <charset val="1"/>
      </rPr>
      <t xml:space="preserve">«Não é ruim.» — </t>
    </r>
    <r>
      <rPr>
        <sz val="10"/>
        <rFont val="WenQuanYi Zen Hei"/>
        <family val="2"/>
      </rPr>
      <t xml:space="preserve">극히 드물게 쓰는 표현</t>
    </r>
    <r>
      <rPr>
        <sz val="10"/>
        <rFont val="Arial"/>
        <family val="0"/>
        <charset val="1"/>
      </rPr>
      <t xml:space="preserve">. Larissa</t>
    </r>
    <r>
      <rPr>
        <sz val="10"/>
        <rFont val="WenQuanYi Zen Hei"/>
        <family val="2"/>
      </rPr>
      <t xml:space="preserve">에게는 </t>
    </r>
    <r>
      <rPr>
        <sz val="10"/>
        <rFont val="Arial"/>
        <family val="0"/>
        <charset val="1"/>
      </rPr>
      <t xml:space="preserve">11</t>
    </r>
    <r>
      <rPr>
        <sz val="10"/>
        <rFont val="WenQuanYi Zen Hei"/>
        <family val="2"/>
      </rPr>
      <t xml:space="preserve">부 </t>
    </r>
    <r>
      <rPr>
        <sz val="10"/>
        <rFont val="Arial"/>
        <family val="0"/>
        <charset val="1"/>
      </rPr>
      <t xml:space="preserve">12</t>
    </r>
    <r>
      <rPr>
        <sz val="10"/>
        <rFont val="WenQuanYi Zen Hei"/>
        <family val="2"/>
      </rPr>
      <t xml:space="preserve">화</t>
    </r>
    <r>
      <rPr>
        <sz val="10"/>
        <rFont val="Arial"/>
        <family val="0"/>
        <charset val="1"/>
      </rPr>
      <t xml:space="preserve">(</t>
    </r>
    <r>
      <rPr>
        <sz val="10"/>
        <rFont val="WenQuanYi Zen Hei"/>
        <family val="2"/>
      </rPr>
      <t xml:space="preserve">사망 직전</t>
    </r>
    <r>
      <rPr>
        <sz val="10"/>
        <rFont val="Arial"/>
        <family val="0"/>
        <charset val="1"/>
      </rPr>
      <t xml:space="preserve">)</t>
    </r>
    <r>
      <rPr>
        <sz val="10"/>
        <rFont val="WenQuanYi Zen Hei"/>
        <family val="2"/>
      </rPr>
      <t xml:space="preserve">가 사실상 처음이어야 낙차가 산다</t>
    </r>
    <r>
      <rPr>
        <sz val="10"/>
        <rFont val="Arial"/>
        <family val="0"/>
        <charset val="1"/>
      </rPr>
      <t xml:space="preserve">.</t>
    </r>
  </si>
  <si>
    <t xml:space="preserve">호칭·욕</t>
  </si>
  <si>
    <t xml:space="preserve">여럿에게는 os senhores, Larissa에게는 você(«menina»). 욕(«mentecapta»)은 Larissa에게만, 폭발 장면 2회 한정.</t>
  </si>
  <si>
    <t xml:space="preserve">죽음 이후</t>
  </si>
  <si>
    <r>
      <rPr>
        <sz val="10"/>
        <rFont val="Arial"/>
        <family val="0"/>
        <charset val="1"/>
      </rPr>
      <t xml:space="preserve">A Velha Guarda</t>
    </r>
    <r>
      <rPr>
        <sz val="10"/>
        <rFont val="WenQuanYi Zen Hei"/>
        <family val="2"/>
      </rPr>
      <t xml:space="preserve">는 </t>
    </r>
    <r>
      <rPr>
        <sz val="10"/>
        <rFont val="Arial"/>
        <family val="0"/>
        <charset val="1"/>
      </rPr>
      <t xml:space="preserve">Zumbi + Freire + </t>
    </r>
    <r>
      <rPr>
        <sz val="10"/>
        <rFont val="WenQuanYi Zen Hei"/>
        <family val="2"/>
      </rPr>
      <t xml:space="preserve">빈 의자</t>
    </r>
    <r>
      <rPr>
        <sz val="10"/>
        <rFont val="Arial"/>
        <family val="0"/>
        <charset val="1"/>
      </rPr>
      <t xml:space="preserve">. </t>
    </r>
    <r>
      <rPr>
        <sz val="10"/>
        <rFont val="WenQuanYi Zen Hei"/>
        <family val="2"/>
      </rPr>
      <t xml:space="preserve">황제와 킬롬부 지도자와 교육자라는 이상한 삼인조</t>
    </r>
    <r>
      <rPr>
        <sz val="10"/>
        <rFont val="Arial"/>
        <family val="0"/>
        <charset val="1"/>
      </rPr>
      <t xml:space="preserve">(</t>
    </r>
    <r>
      <rPr>
        <sz val="10"/>
        <rFont val="WenQuanYi Zen Hei"/>
        <family val="2"/>
      </rPr>
      <t xml:space="preserve">이름은 </t>
    </r>
    <r>
      <rPr>
        <sz val="10"/>
        <rFont val="Arial"/>
        <family val="0"/>
        <charset val="1"/>
      </rPr>
      <t xml:space="preserve">Bixiga</t>
    </r>
    <r>
      <rPr>
        <sz val="10"/>
        <rFont val="WenQuanYi Zen Hei"/>
        <family val="2"/>
      </rPr>
      <t xml:space="preserve">의 삼바 학교 원로단 </t>
    </r>
    <r>
      <rPr>
        <sz val="10"/>
        <rFont val="Arial"/>
        <family val="0"/>
        <charset val="1"/>
      </rPr>
      <t xml:space="preserve">'Velha Guarda'</t>
    </r>
    <r>
      <rPr>
        <sz val="10"/>
        <rFont val="WenQuanYi Zen Hei"/>
        <family val="2"/>
      </rPr>
      <t xml:space="preserve">에서</t>
    </r>
    <r>
      <rPr>
        <sz val="10"/>
        <rFont val="Arial"/>
        <family val="0"/>
        <charset val="1"/>
      </rPr>
      <t xml:space="preserve">). 12</t>
    </r>
    <r>
      <rPr>
        <sz val="10"/>
        <rFont val="WenQuanYi Zen Hei"/>
        <family val="2"/>
      </rPr>
      <t xml:space="preserve">부 </t>
    </r>
    <r>
      <rPr>
        <sz val="10"/>
        <rFont val="Arial"/>
        <family val="0"/>
        <charset val="1"/>
      </rPr>
      <t xml:space="preserve">10</t>
    </r>
    <r>
      <rPr>
        <sz val="10"/>
        <rFont val="WenQuanYi Zen Hei"/>
        <family val="2"/>
      </rPr>
      <t xml:space="preserve">화 </t>
    </r>
    <r>
      <rPr>
        <sz val="10"/>
        <rFont val="Arial"/>
        <family val="0"/>
        <charset val="1"/>
      </rPr>
      <t xml:space="preserve">'O vazio na Velha Guarda'</t>
    </r>
    <r>
      <rPr>
        <sz val="10"/>
        <rFont val="WenQuanYi Zen Hei"/>
        <family val="2"/>
      </rPr>
      <t xml:space="preserve">에서 정면으로 다룬다</t>
    </r>
    <r>
      <rPr>
        <sz val="10"/>
        <rFont val="Arial"/>
        <family val="0"/>
        <charset val="1"/>
      </rPr>
      <t xml:space="preserve">.</t>
    </r>
  </si>
  <si>
    <r>
      <rPr>
        <b val="true"/>
        <sz val="10"/>
        <rFont val="Arial"/>
        <family val="0"/>
        <charset val="1"/>
      </rPr>
      <t xml:space="preserve">2. </t>
    </r>
    <r>
      <rPr>
        <b val="true"/>
        <sz val="10"/>
        <rFont val="WenQuanYi Zen Hei"/>
        <family val="2"/>
      </rPr>
      <t xml:space="preserve">복선</t>
    </r>
    <r>
      <rPr>
        <b val="true"/>
        <sz val="10"/>
        <rFont val="Arial"/>
        <family val="0"/>
        <charset val="1"/>
      </rPr>
      <t xml:space="preserve">·</t>
    </r>
    <r>
      <rPr>
        <b val="true"/>
        <sz val="10"/>
        <rFont val="WenQuanYi Zen Hei"/>
        <family val="2"/>
      </rPr>
      <t xml:space="preserve">사망 타임라인 </t>
    </r>
    <r>
      <rPr>
        <b val="true"/>
        <sz val="10"/>
        <rFont val="Arial"/>
        <family val="0"/>
        <charset val="1"/>
      </rPr>
      <t xml:space="preserve">(</t>
    </r>
    <r>
      <rPr>
        <b val="true"/>
        <sz val="10"/>
        <rFont val="WenQuanYi Zen Hei"/>
        <family val="2"/>
      </rPr>
      <t xml:space="preserve">전부 대사로 처리</t>
    </r>
    <r>
      <rPr>
        <b val="true"/>
        <sz val="10"/>
        <rFont val="Arial"/>
        <family val="0"/>
        <charset val="1"/>
      </rPr>
      <t xml:space="preserve">)</t>
    </r>
  </si>
  <si>
    <t xml:space="preserve">대화문 처리 방식</t>
  </si>
  <si>
    <t xml:space="preserve">대사 예시 (PT)</t>
  </si>
  <si>
    <t xml:space="preserve">학습 어휘</t>
  </si>
  <si>
    <r>
      <rPr>
        <b val="true"/>
        <sz val="10"/>
        <rFont val="Arial"/>
        <family val="0"/>
        <charset val="1"/>
      </rPr>
      <t xml:space="preserve">1~10</t>
    </r>
    <r>
      <rPr>
        <b val="true"/>
        <sz val="10"/>
        <rFont val="WenQuanYi Zen Hei"/>
        <family val="2"/>
      </rPr>
      <t xml:space="preserve">부 </t>
    </r>
    <r>
      <rPr>
        <b val="true"/>
        <sz val="10"/>
        <rFont val="Arial"/>
        <family val="0"/>
        <charset val="1"/>
      </rPr>
      <t xml:space="preserve">(</t>
    </r>
    <r>
      <rPr>
        <b val="true"/>
        <sz val="10"/>
        <rFont val="WenQuanYi Zen Hei"/>
        <family val="2"/>
      </rPr>
      <t xml:space="preserve">매 겨울</t>
    </r>
    <r>
      <rPr>
        <b val="true"/>
        <sz val="10"/>
        <rFont val="Arial"/>
        <family val="0"/>
        <charset val="1"/>
      </rPr>
      <t xml:space="preserve">)</t>
    </r>
  </si>
  <si>
    <r>
      <rPr>
        <sz val="10"/>
        <rFont val="Arial"/>
        <family val="0"/>
        <charset val="1"/>
      </rPr>
      <t xml:space="preserve">'</t>
    </r>
    <r>
      <rPr>
        <sz val="10"/>
        <rFont val="WenQuanYi Zen Hei"/>
        <family val="2"/>
      </rPr>
      <t xml:space="preserve">마지막 겨울</t>
    </r>
    <r>
      <rPr>
        <sz val="10"/>
        <rFont val="Arial"/>
        <family val="0"/>
        <charset val="1"/>
      </rPr>
      <t xml:space="preserve">' </t>
    </r>
    <r>
      <rPr>
        <sz val="10"/>
        <rFont val="WenQuanYi Zen Hei"/>
        <family val="2"/>
      </rPr>
      <t xml:space="preserve">선언과 유언장 수정</t>
    </r>
    <r>
      <rPr>
        <sz val="10"/>
        <rFont val="Arial"/>
        <family val="0"/>
        <charset val="1"/>
      </rPr>
      <t xml:space="preserve">. 1</t>
    </r>
    <r>
      <rPr>
        <sz val="10"/>
        <rFont val="WenQuanYi Zen Hei"/>
        <family val="2"/>
      </rPr>
      <t xml:space="preserve">부 </t>
    </r>
    <r>
      <rPr>
        <sz val="10"/>
        <rFont val="Arial"/>
        <family val="0"/>
        <charset val="1"/>
      </rPr>
      <t xml:space="preserve">1</t>
    </r>
    <r>
      <rPr>
        <sz val="10"/>
        <rFont val="WenQuanYi Zen Hei"/>
        <family val="2"/>
      </rPr>
      <t xml:space="preserve">화</t>
    </r>
    <r>
      <rPr>
        <sz val="10"/>
        <rFont val="Arial"/>
        <family val="0"/>
        <charset val="1"/>
      </rPr>
      <t xml:space="preserve">(</t>
    </r>
    <r>
      <rPr>
        <sz val="10"/>
        <rFont val="WenQuanYi Zen Hei"/>
        <family val="2"/>
      </rPr>
      <t xml:space="preserve">개소 </t>
    </r>
    <r>
      <rPr>
        <sz val="10"/>
        <rFont val="Arial"/>
        <family val="0"/>
        <charset val="1"/>
      </rPr>
      <t xml:space="preserve">1</t>
    </r>
    <r>
      <rPr>
        <sz val="10"/>
        <rFont val="WenQuanYi Zen Hei"/>
        <family val="2"/>
      </rPr>
      <t xml:space="preserve">개월 시점</t>
    </r>
    <r>
      <rPr>
        <sz val="10"/>
        <rFont val="Arial"/>
        <family val="0"/>
        <charset val="1"/>
      </rPr>
      <t xml:space="preserve">)</t>
    </r>
    <r>
      <rPr>
        <sz val="10"/>
        <rFont val="WenQuanYi Zen Hei"/>
        <family val="2"/>
      </rPr>
      <t xml:space="preserve">부터 이미 반복되어 온 농담으로 등장한다</t>
    </r>
    <r>
      <rPr>
        <sz val="10"/>
        <rFont val="Arial"/>
        <family val="0"/>
        <charset val="1"/>
      </rPr>
      <t xml:space="preserve">.</t>
    </r>
  </si>
  <si>
    <t xml:space="preserve">본인이 선언하고 주변이 «De novo…»로 받는다.</t>
  </si>
  <si>
    <t xml:space="preserve">Este será o meu último inverno. Anotem no meu testamento.</t>
  </si>
  <si>
    <t xml:space="preserve">testamento, deixar de herança, inverno, garoa</t>
  </si>
  <si>
    <r>
      <rPr>
        <b val="true"/>
        <sz val="10"/>
        <rFont val="Arial"/>
        <family val="0"/>
        <charset val="1"/>
      </rPr>
      <t xml:space="preserve">1~11</t>
    </r>
    <r>
      <rPr>
        <b val="true"/>
        <sz val="10"/>
        <rFont val="WenQuanYi Zen Hei"/>
        <family val="2"/>
      </rPr>
      <t xml:space="preserve">부</t>
    </r>
  </si>
  <si>
    <t xml:space="preserve">가짜 병 (무릎·소화·불면)</t>
  </si>
  <si>
    <r>
      <rPr>
        <sz val="10"/>
        <rFont val="Arial"/>
        <family val="0"/>
        <charset val="1"/>
      </rPr>
      <t xml:space="preserve">Camila</t>
    </r>
    <r>
      <rPr>
        <sz val="10"/>
        <rFont val="WenQuanYi Zen Hei"/>
        <family val="2"/>
      </rPr>
      <t xml:space="preserve">가 </t>
    </r>
    <r>
      <rPr>
        <sz val="10"/>
        <rFont val="Arial"/>
        <family val="0"/>
        <charset val="1"/>
      </rPr>
      <t xml:space="preserve">«O senhor não tem nada.»</t>
    </r>
    <r>
      <rPr>
        <sz val="10"/>
        <rFont val="WenQuanYi Zen Hei"/>
        <family val="2"/>
      </rPr>
      <t xml:space="preserve">로 넘긴다</t>
    </r>
    <r>
      <rPr>
        <sz val="10"/>
        <rFont val="Arial"/>
        <family val="0"/>
        <charset val="1"/>
      </rPr>
      <t xml:space="preserve">.</t>
    </r>
  </si>
  <si>
    <t xml:space="preserve">Meu joelho dói. É o fim.</t>
  </si>
  <si>
    <t xml:space="preserve">joelho, digestão, insônia, achaque</t>
  </si>
  <si>
    <r>
      <rPr>
        <sz val="10"/>
        <rFont val="Arial"/>
        <family val="0"/>
        <charset val="1"/>
      </rPr>
      <t xml:space="preserve">«Pode me chamar de você.» </t>
    </r>
    <r>
      <rPr>
        <sz val="10"/>
        <rFont val="WenQuanYi Zen Hei"/>
        <family val="2"/>
      </rPr>
      <t xml:space="preserve">허락 — </t>
    </r>
    <r>
      <rPr>
        <sz val="10"/>
        <rFont val="Arial"/>
        <family val="0"/>
        <charset val="1"/>
      </rPr>
      <t xml:space="preserve">Larissa</t>
    </r>
    <r>
      <rPr>
        <sz val="10"/>
        <rFont val="WenQuanYi Zen Hei"/>
        <family val="2"/>
      </rPr>
      <t xml:space="preserve">는 습관 때문에 </t>
    </r>
    <r>
      <rPr>
        <sz val="10"/>
        <rFont val="Arial"/>
        <family val="0"/>
        <charset val="1"/>
      </rPr>
      <t xml:space="preserve">o senhor </t>
    </r>
    <r>
      <rPr>
        <sz val="10"/>
        <rFont val="WenQuanYi Zen Hei"/>
        <family val="2"/>
      </rPr>
      <t xml:space="preserve">유지</t>
    </r>
  </si>
  <si>
    <t xml:space="preserve">허락과 거절이 모두 대사로 나온다.</t>
  </si>
  <si>
    <t xml:space="preserve">Pode me chamar de você, menina. / Desculpa, é o costume.</t>
  </si>
  <si>
    <t xml:space="preserve">tratamento, costume</t>
  </si>
  <si>
    <r>
      <rPr>
        <sz val="10"/>
        <rFont val="Arial"/>
        <family val="0"/>
        <charset val="1"/>
      </rPr>
      <t xml:space="preserve">Larissa 2</t>
    </r>
    <r>
      <rPr>
        <sz val="10"/>
        <rFont val="WenQuanYi Zen Hei"/>
        <family val="2"/>
      </rPr>
      <t xml:space="preserve">차 폭발에서 </t>
    </r>
    <r>
      <rPr>
        <sz val="10"/>
        <rFont val="Arial"/>
        <family val="0"/>
        <charset val="1"/>
      </rPr>
      <t xml:space="preserve">Dom Pedro</t>
    </r>
    <r>
      <rPr>
        <sz val="10"/>
        <rFont val="WenQuanYi Zen Hei"/>
        <family val="2"/>
      </rPr>
      <t xml:space="preserve">가 선을 넘음 → </t>
    </r>
    <r>
      <rPr>
        <sz val="10"/>
        <rFont val="Arial"/>
        <family val="0"/>
        <charset val="1"/>
      </rPr>
      <t xml:space="preserve">Zumbi·Marta</t>
    </r>
    <r>
      <rPr>
        <sz val="10"/>
        <rFont val="WenQuanYi Zen Hei"/>
        <family val="2"/>
      </rPr>
      <t xml:space="preserve">가 나무람</t>
    </r>
  </si>
  <si>
    <t xml:space="preserve">선을 넘는 말과 사과 모두 대사로.</t>
  </si>
  <si>
    <t xml:space="preserve">Retiro o que disse… em parte.</t>
  </si>
  <si>
    <t xml:space="preserve">retirar o que disse, pedir desculpas</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</si>
  <si>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6</t>
    </r>
    <r>
      <rPr>
        <b val="true"/>
        <sz val="10"/>
        <rFont val="WenQuanYi Zen Hei"/>
        <family val="2"/>
      </rPr>
      <t xml:space="preserve">화</t>
    </r>
  </si>
  <si>
    <t xml:space="preserve">청년 고용 협상에서 좋은 조언을 하지만 계단에서 숨이 가쁜 게 처음으로 드러남 (죽음은 아직 아님)</t>
  </si>
  <si>
    <r>
      <rPr>
        <sz val="10"/>
        <rFont val="Arial"/>
        <family val="0"/>
        <charset val="1"/>
      </rPr>
      <t xml:space="preserve">«O senhor não tem nada»</t>
    </r>
    <r>
      <rPr>
        <sz val="10"/>
        <rFont val="WenQuanYi Zen Hei"/>
        <family val="2"/>
      </rPr>
      <t xml:space="preserve">가 아니라 </t>
    </r>
    <r>
      <rPr>
        <sz val="10"/>
        <rFont val="Arial"/>
        <family val="0"/>
        <charset val="1"/>
      </rPr>
      <t xml:space="preserve">«Estou bem, são só as escadas»</t>
    </r>
    <r>
      <rPr>
        <sz val="10"/>
        <rFont val="WenQuanYi Zen Hei"/>
        <family val="2"/>
      </rPr>
      <t xml:space="preserve">로 처음 균열</t>
    </r>
    <r>
      <rPr>
        <sz val="10"/>
        <rFont val="Arial"/>
        <family val="0"/>
        <charset val="1"/>
      </rPr>
      <t xml:space="preserve">.</t>
    </r>
  </si>
  <si>
    <t xml:space="preserve">Estou bem. São só as escadas, menina.</t>
  </si>
  <si>
    <t xml:space="preserve">escadas, fôlego, cansaço</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</si>
  <si>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9</t>
    </r>
    <r>
      <rPr>
        <b val="true"/>
        <sz val="10"/>
        <rFont val="WenQuanYi Zen Hei"/>
        <family val="2"/>
      </rPr>
      <t xml:space="preserve">화</t>
    </r>
  </si>
  <si>
    <t xml:space="preserve">브뤼셀행 자원. Machado에게 짐을 싸며 두 지도자를 특징으로만 묘사 — 건물에 금박 이름을 새긴 사업가 출신과, 정보기관 출신으로 이웃 나라 땅을 가져간 인물. 이름·국가는 끝내 말하지 않는다.</t>
  </si>
  <si>
    <t xml:space="preserve">실명 대신 행동·이력의 특징만 나열. 실존 인물 실명 미사용.</t>
  </si>
  <si>
    <t xml:space="preserve">Um pôs o próprio nome em letras douradas nos prédios. Agora vende tarifas do mesmo jeito, aos gritos. / Soa como quem o senhor quiser, meu jovem. Eu só descrevo a paisagem.</t>
  </si>
  <si>
    <t xml:space="preserve">tarifas, serviço secreto, regime, discrição diplomática</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</si>
  <si>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10</t>
    </r>
    <r>
      <rPr>
        <b val="true"/>
        <sz val="10"/>
        <rFont val="WenQuanYi Zen Hei"/>
        <family val="2"/>
      </rPr>
      <t xml:space="preserve">화</t>
    </r>
  </si>
  <si>
    <t xml:space="preserve">직접 협상. 상대의 과장·거짓 주장을 위성 감시 자료와 옛 합의 날짜로 정확히 반박</t>
  </si>
  <si>
    <r>
      <rPr>
        <sz val="10"/>
        <rFont val="Arial"/>
        <family val="0"/>
        <charset val="1"/>
      </rPr>
      <t xml:space="preserve">«Permita-me corrigi-lo»</t>
    </r>
    <r>
      <rPr>
        <sz val="10"/>
        <rFont val="WenQuanYi Zen Hei"/>
        <family val="2"/>
      </rPr>
      <t xml:space="preserve">로 시작하는 반박 대사</t>
    </r>
    <r>
      <rPr>
        <sz val="10"/>
        <rFont val="Arial"/>
        <family val="0"/>
        <charset val="1"/>
      </rPr>
      <t xml:space="preserve">.</t>
    </r>
  </si>
  <si>
    <t xml:space="preserve">Os números estão no satélite, meu jovem. Leia-os com mais cuidado.</t>
  </si>
  <si>
    <t xml:space="preserve">corrigir, dado, satélite, precisão diplomática</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</si>
  <si>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11</t>
    </r>
    <r>
      <rPr>
        <b val="true"/>
        <sz val="10"/>
        <rFont val="WenQuanYi Zen Hei"/>
        <family val="2"/>
      </rPr>
      <t xml:space="preserve">화</t>
    </r>
  </si>
  <si>
    <t xml:space="preserve">타결. 귀국길에 피로를 숨기고 Bruno에게 메모를 남기라고 지시</t>
  </si>
  <si>
    <t xml:space="preserve">직접 증상을 말하지 않고 '메모를 남기라'는 명령으로 암시.</t>
  </si>
  <si>
    <t xml:space="preserve">Por via das dúvidas, anote isto também, Bruno.</t>
  </si>
  <si>
    <t xml:space="preserve">por via das dúvidas, legado, instrução</t>
  </si>
  <si>
    <r>
      <rPr>
        <b val="true"/>
        <sz val="10"/>
        <rFont val="Arial"/>
        <family val="0"/>
        <charset val="1"/>
      </rPr>
      <t xml:space="preserve">11</t>
    </r>
    <r>
      <rPr>
        <b val="true"/>
        <sz val="10"/>
        <rFont val="WenQuanYi Zen Hei"/>
        <family val="2"/>
      </rPr>
      <t xml:space="preserve">부 </t>
    </r>
    <r>
      <rPr>
        <b val="true"/>
        <sz val="10"/>
        <rFont val="Arial"/>
        <family val="0"/>
        <charset val="1"/>
      </rPr>
      <t xml:space="preserve">12</t>
    </r>
    <r>
      <rPr>
        <b val="true"/>
        <sz val="10"/>
        <rFont val="WenQuanYi Zen Hei"/>
        <family val="2"/>
      </rPr>
      <t xml:space="preserve">화 </t>
    </r>
    <r>
      <rPr>
        <b val="true"/>
        <sz val="10"/>
        <rFont val="Arial"/>
        <family val="0"/>
        <charset val="1"/>
      </rPr>
      <t xml:space="preserve">(</t>
    </r>
    <r>
      <rPr>
        <b val="true"/>
        <sz val="10"/>
        <rFont val="WenQuanYi Zen Hei"/>
        <family val="2"/>
      </rPr>
      <t xml:space="preserve">사망</t>
    </r>
    <r>
      <rPr>
        <b val="true"/>
        <sz val="10"/>
        <rFont val="Arial"/>
        <family val="0"/>
        <charset val="1"/>
      </rPr>
      <t xml:space="preserve">)</t>
    </r>
  </si>
  <si>
    <t xml:space="preserve">귀국 직후 상파울루 자택에서 심부전으로 사망. Larissa가 서명을 받으러 왔다가 발견</t>
  </si>
  <si>
    <t xml:space="preserve">사망은 지문 없이 호명과 확인 대사로: Larissa가 부르고 Camila가 «Ele se foi, Larissa.»라고 말한다.</t>
  </si>
  <si>
    <t xml:space="preserve">Não é ruim.  /  Dom Pedro? — Ele se foi, Larissa.</t>
  </si>
  <si>
    <t xml:space="preserve">pulso, parada cardíaca, reanimação, falecer</t>
  </si>
  <si>
    <r>
      <rPr>
        <b val="true"/>
        <sz val="10"/>
        <rFont val="Arial"/>
        <family val="0"/>
        <charset val="1"/>
      </rPr>
      <t xml:space="preserve">12</t>
    </r>
    <r>
      <rPr>
        <b val="true"/>
        <sz val="10"/>
        <rFont val="WenQuanYi Zen Hei"/>
        <family val="2"/>
      </rPr>
      <t xml:space="preserve">부 </t>
    </r>
    <r>
      <rPr>
        <b val="true"/>
        <sz val="10"/>
        <rFont val="Arial"/>
        <family val="0"/>
        <charset val="1"/>
      </rPr>
      <t xml:space="preserve">1</t>
    </r>
    <r>
      <rPr>
        <b val="true"/>
        <sz val="10"/>
        <rFont val="WenQuanYi Zen Hei"/>
        <family val="2"/>
      </rPr>
      <t xml:space="preserve">화</t>
    </r>
  </si>
  <si>
    <t xml:space="preserve">장례식이 첫 화. Bar da Marta에 빈자리, Marta가 커피 한 잔을 계속 내놓음. 1891년처럼 브라질 흙을 담은 베개. Larissa가 조사에서 처음으로 você 사용</t>
  </si>
  <si>
    <t xml:space="preserve">장소·상황은 Marta·Larissa의 대사로.</t>
  </si>
  <si>
    <t xml:space="preserve">Um café pro Dom Pedro. Como sempre. / Pra você, "não é ruim" era o maior elogio.</t>
  </si>
  <si>
    <r>
      <rPr>
        <b val="true"/>
        <sz val="10"/>
        <rFont val="Arial"/>
        <family val="0"/>
        <charset val="1"/>
      </rPr>
      <t xml:space="preserve">12</t>
    </r>
    <r>
      <rPr>
        <b val="true"/>
        <sz val="10"/>
        <rFont val="WenQuanYi Zen Hei"/>
        <family val="2"/>
      </rPr>
      <t xml:space="preserve">부 </t>
    </r>
    <r>
      <rPr>
        <b val="true"/>
        <sz val="10"/>
        <rFont val="Arial"/>
        <family val="0"/>
        <charset val="1"/>
      </rPr>
      <t xml:space="preserve">2~3</t>
    </r>
    <r>
      <rPr>
        <b val="true"/>
        <sz val="10"/>
        <rFont val="WenQuanYi Zen Hei"/>
        <family val="2"/>
      </rPr>
      <t xml:space="preserve">화</t>
    </r>
  </si>
  <si>
    <t xml:space="preserve">유작 메모 발견 → 2차 브뤼셀 협상에서 Machado가 다듬은 그의 문장을 인용</t>
  </si>
  <si>
    <r>
      <rPr>
        <sz val="10"/>
        <rFont val="Arial"/>
        <family val="0"/>
        <charset val="1"/>
      </rPr>
      <t xml:space="preserve">Machado</t>
    </r>
    <r>
      <rPr>
        <sz val="10"/>
        <rFont val="WenQuanYi Zen Hei"/>
        <family val="2"/>
      </rPr>
      <t xml:space="preserve">가 메모를 소리 내어 읽고 </t>
    </r>
    <r>
      <rPr>
        <sz val="10"/>
        <rFont val="Arial"/>
        <family val="0"/>
        <charset val="1"/>
      </rPr>
      <t xml:space="preserve">Bruno</t>
    </r>
    <r>
      <rPr>
        <sz val="10"/>
        <rFont val="WenQuanYi Zen Hei"/>
        <family val="2"/>
      </rPr>
      <t xml:space="preserve">가 협상장에서 그 문장을 인용한다</t>
    </r>
    <r>
      <rPr>
        <sz val="10"/>
        <rFont val="Arial"/>
        <family val="0"/>
        <charset val="1"/>
      </rPr>
      <t xml:space="preserve">.</t>
    </r>
  </si>
  <si>
    <t xml:space="preserve">Permitam-me uma última precisão: não foi ruim.</t>
  </si>
  <si>
    <t xml:space="preserve">memorando, legado, precisão, ratificação</t>
  </si>
  <si>
    <r>
      <rPr>
        <b val="true"/>
        <sz val="10"/>
        <rFont val="Arial"/>
        <family val="0"/>
        <charset val="1"/>
      </rPr>
      <t xml:space="preserve">12</t>
    </r>
    <r>
      <rPr>
        <b val="true"/>
        <sz val="10"/>
        <rFont val="WenQuanYi Zen Hei"/>
        <family val="2"/>
      </rPr>
      <t xml:space="preserve">부 </t>
    </r>
    <r>
      <rPr>
        <b val="true"/>
        <sz val="10"/>
        <rFont val="Arial"/>
        <family val="0"/>
        <charset val="1"/>
      </rPr>
      <t xml:space="preserve">10</t>
    </r>
    <r>
      <rPr>
        <b val="true"/>
        <sz val="10"/>
        <rFont val="WenQuanYi Zen Hei"/>
        <family val="2"/>
      </rPr>
      <t xml:space="preserve">화</t>
    </r>
  </si>
  <si>
    <r>
      <rPr>
        <sz val="10"/>
        <rFont val="Arial"/>
        <family val="0"/>
        <charset val="1"/>
      </rPr>
      <t xml:space="preserve">'</t>
    </r>
    <r>
      <rPr>
        <sz val="10"/>
        <rFont val="WenQuanYi Zen Hei"/>
        <family val="2"/>
      </rPr>
      <t xml:space="preserve">올드 가드의 빈자리</t>
    </r>
    <r>
      <rPr>
        <sz val="10"/>
        <rFont val="Arial"/>
        <family val="0"/>
        <charset val="1"/>
      </rPr>
      <t xml:space="preserve">' — Zumbi·Freire</t>
    </r>
    <r>
      <rPr>
        <sz val="10"/>
        <rFont val="WenQuanYi Zen Hei"/>
        <family val="2"/>
      </rPr>
      <t xml:space="preserve">가 그의 커피 불평을 그리워한다고 인정</t>
    </r>
  </si>
  <si>
    <t xml:space="preserve">회상은 Marta·Zumbi·Freire의 대사로.</t>
  </si>
  <si>
    <t xml:space="preserve">Falta alguém nesta mesa, e falta a reclamação dele do café.</t>
  </si>
  <si>
    <t xml:space="preserve">lembrar, vazio, ausência, saudade</t>
  </si>
  <si>
    <r>
      <rPr>
        <b val="true"/>
        <sz val="10"/>
        <rFont val="Arial"/>
        <family val="0"/>
        <charset val="1"/>
      </rPr>
      <t xml:space="preserve">13</t>
    </r>
    <r>
      <rPr>
        <b val="true"/>
        <sz val="10"/>
        <rFont val="WenQuanYi Zen Hei"/>
        <family val="2"/>
      </rPr>
      <t xml:space="preserve">부 </t>
    </r>
    <r>
      <rPr>
        <b val="true"/>
        <sz val="10"/>
        <rFont val="Arial"/>
        <family val="0"/>
        <charset val="1"/>
      </rPr>
      <t xml:space="preserve">2</t>
    </r>
    <r>
      <rPr>
        <b val="true"/>
        <sz val="10"/>
        <rFont val="WenQuanYi Zen Hei"/>
        <family val="2"/>
      </rPr>
      <t xml:space="preserve">화</t>
    </r>
  </si>
  <si>
    <t xml:space="preserve">유언장: 공증인 앞에서 우산이 Larissa에게 간다 (양치기 소년 개그의 회수). Zumbi가 유언집행자(testamenteiro)</t>
  </si>
  <si>
    <t xml:space="preserve">공증인(TABELIÃ)이 유언 내용을 낭독하고 Larissa가 되묻는다.</t>
  </si>
  <si>
    <t xml:space="preserve">Para a Larissa, o meu guarda-chuva. Anotem no meu testamento.</t>
  </si>
  <si>
    <t xml:space="preserve">testamento público, testamenteiro, cartório de notas, busca de testamento</t>
  </si>
  <si>
    <r>
      <rPr>
        <b val="true"/>
        <sz val="10"/>
        <rFont val="Arial"/>
        <family val="0"/>
        <charset val="1"/>
      </rPr>
      <t xml:space="preserve">12</t>
    </r>
    <r>
      <rPr>
        <b val="true"/>
        <sz val="10"/>
        <rFont val="WenQuanYi Zen Hei"/>
        <family val="2"/>
      </rPr>
      <t xml:space="preserve">부 </t>
    </r>
    <r>
      <rPr>
        <b val="true"/>
        <sz val="10"/>
        <rFont val="Arial"/>
        <family val="0"/>
        <charset val="1"/>
      </rPr>
      <t xml:space="preserve">(</t>
    </r>
    <r>
      <rPr>
        <b val="true"/>
        <sz val="10"/>
        <rFont val="WenQuanYi Zen Hei"/>
        <family val="2"/>
      </rPr>
      <t xml:space="preserve">선택</t>
    </r>
    <r>
      <rPr>
        <b val="true"/>
        <sz val="10"/>
        <rFont val="Arial"/>
        <family val="0"/>
        <charset val="1"/>
      </rPr>
      <t xml:space="preserve">)</t>
    </r>
  </si>
  <si>
    <r>
      <rPr>
        <sz val="10"/>
        <rFont val="Arial"/>
        <family val="0"/>
        <charset val="1"/>
      </rPr>
      <t xml:space="preserve">Isabel</t>
    </r>
    <r>
      <rPr>
        <sz val="10"/>
        <rFont val="WenQuanYi Zen Hei"/>
        <family val="2"/>
      </rPr>
      <t xml:space="preserve">의 애도 상담</t>
    </r>
  </si>
  <si>
    <t xml:space="preserve">다들 질색하던 «E como isso faz você se sentir?»가 처음으로 진지하게 쓰인다.</t>
  </si>
  <si>
    <t xml:space="preserve">E como isso faz você se sentir?</t>
  </si>
  <si>
    <t xml:space="preserve">luto, perda, saudade</t>
  </si>
  <si>
    <r>
      <rPr>
        <b val="true"/>
        <sz val="14"/>
        <color rgb="FF1F3864"/>
        <rFont val="Arial"/>
        <family val="0"/>
        <charset val="1"/>
      </rPr>
      <t xml:space="preserve">Freire — </t>
    </r>
    <r>
      <rPr>
        <b val="true"/>
        <sz val="14"/>
        <color rgb="FF1F3864"/>
        <rFont val="WenQuanYi Zen Hei"/>
        <family val="2"/>
      </rPr>
      <t xml:space="preserve">결론 대신 출처를 가리키는 사람</t>
    </r>
  </si>
  <si>
    <t xml:space="preserve">직접 답하지 않고 '어디를 찾을지'만 알려 준다. 교육자의 논리: 답을 떠먹이면 배움이 끝난다. 답은 대부분 공개 출처에 있다.</t>
  </si>
  <si>
    <r>
      <rPr>
        <b val="true"/>
        <sz val="10"/>
        <rFont val="Arial"/>
        <family val="0"/>
        <charset val="1"/>
      </rPr>
      <t xml:space="preserve">1. </t>
    </r>
    <r>
      <rPr>
        <b val="true"/>
        <sz val="10"/>
        <rFont val="WenQuanYi Zen Hei"/>
        <family val="2"/>
      </rPr>
      <t xml:space="preserve">설정 변경</t>
    </r>
  </si>
  <si>
    <t xml:space="preserve">답하는 방식</t>
  </si>
  <si>
    <t xml:space="preserve">결론은 말하지 않고 질문과 출처만 준다. (13부 10화에서 처음으로 결론을 직접 말한다.)</t>
  </si>
  <si>
    <t xml:space="preserve">시그니처</t>
  </si>
  <si>
    <t xml:space="preserve">«Eu não disse nada. Mas olhe em…» / «Não te dou a resposta. Te digo onde ela mora.» / «Quase tudo está em fonte aberta. Só precisa saber ler.»</t>
  </si>
  <si>
    <t xml:space="preserve">도구 (대화문 처리)</t>
  </si>
  <si>
    <t xml:space="preserve">책을 꺼내 건네거나 카드에 적어 주는 행동은 지문 대신 대사로 말한다: «Terceira prateleira, à sua esquerda.» / «Anota. Procure: …»</t>
  </si>
  <si>
    <t xml:space="preserve">전원에게 você — «Procure você.»가 다정한데도 물러서지 않아 더 얄밉다.</t>
  </si>
  <si>
    <r>
      <rPr>
        <b val="true"/>
        <sz val="10"/>
        <rFont val="Arial"/>
        <family val="0"/>
        <charset val="1"/>
      </rPr>
      <t xml:space="preserve">Larissa</t>
    </r>
    <r>
      <rPr>
        <b val="true"/>
        <sz val="10"/>
        <rFont val="WenQuanYi Zen Hei"/>
        <family val="2"/>
      </rPr>
      <t xml:space="preserve">와의 관계</t>
    </r>
  </si>
  <si>
    <r>
      <rPr>
        <sz val="10"/>
        <rFont val="Arial"/>
        <family val="0"/>
        <charset val="1"/>
      </rPr>
      <t xml:space="preserve">Larissa</t>
    </r>
    <r>
      <rPr>
        <sz val="10"/>
        <rFont val="WenQuanYi Zen Hei"/>
        <family val="2"/>
      </rPr>
      <t xml:space="preserve">가 </t>
    </r>
    <r>
      <rPr>
        <sz val="10"/>
        <rFont val="Arial"/>
        <family val="0"/>
        <charset val="1"/>
      </rPr>
      <t xml:space="preserve">«Me fala a resposta!» </t>
    </r>
    <r>
      <rPr>
        <sz val="10"/>
        <rFont val="WenQuanYi Zen Hei"/>
        <family val="2"/>
      </rPr>
      <t xml:space="preserve">하면 서가 위치만 말한다</t>
    </r>
    <r>
      <rPr>
        <sz val="10"/>
        <rFont val="Arial"/>
        <family val="0"/>
        <charset val="1"/>
      </rPr>
      <t xml:space="preserve">. </t>
    </r>
    <r>
      <rPr>
        <sz val="10"/>
        <rFont val="WenQuanYi Zen Hei"/>
        <family val="2"/>
      </rPr>
      <t xml:space="preserve">짜증 나지만 정답을 떠먹이지 않는 이 교재의 태도와 같다</t>
    </r>
    <r>
      <rPr>
        <sz val="10"/>
        <rFont val="Arial"/>
        <family val="0"/>
        <charset val="1"/>
      </rPr>
      <t xml:space="preserve">.</t>
    </r>
  </si>
  <si>
    <t xml:space="preserve">현실 요소</t>
  </si>
  <si>
    <t xml:space="preserve">센트로의 헌책방(sebo) 거리와 시립 도서관(Biblioteca Mário de Andrade)을 단골 출처로. 학습자가 실제 상파울루에서 따라 걸어 볼 수 있다. 군사정권 시절 감시·투옥·망명의 기억이 12부 사찰 스캔들에서 쓰인다.</t>
  </si>
  <si>
    <t xml:space="preserve">헌책방 원칙</t>
  </si>
  <si>
    <t xml:space="preserve">손님이 찾던 답이 든 책일 때만 값을 받지 않는다(그가 운영하는 건 아니지만 단골 sebo 주인과의 약속).</t>
  </si>
  <si>
    <r>
      <rPr>
        <b val="true"/>
        <sz val="10"/>
        <rFont val="Arial"/>
        <family val="0"/>
        <charset val="1"/>
      </rPr>
      <t xml:space="preserve">2. </t>
    </r>
    <r>
      <rPr>
        <b val="true"/>
        <sz val="10"/>
        <rFont val="WenQuanYi Zen Hei"/>
        <family val="2"/>
      </rPr>
      <t xml:space="preserve">그의 서가 </t>
    </r>
    <r>
      <rPr>
        <b val="true"/>
        <sz val="10"/>
        <rFont val="Arial"/>
        <family val="0"/>
        <charset val="1"/>
      </rPr>
      <t xml:space="preserve">4</t>
    </r>
    <r>
      <rPr>
        <b val="true"/>
        <sz val="10"/>
        <rFont val="WenQuanYi Zen Hei"/>
        <family val="2"/>
      </rPr>
      <t xml:space="preserve">칸</t>
    </r>
  </si>
  <si>
    <t xml:space="preserve">칸</t>
  </si>
  <si>
    <t xml:space="preserve">대표 출처</t>
  </si>
  <si>
    <t xml:space="preserve">법령칸</t>
  </si>
  <si>
    <t xml:space="preserve">법과 조문</t>
  </si>
  <si>
    <r>
      <rPr>
        <sz val="10"/>
        <rFont val="Arial"/>
        <family val="0"/>
        <charset val="1"/>
      </rPr>
      <t xml:space="preserve">Planalto </t>
    </r>
    <r>
      <rPr>
        <sz val="10"/>
        <rFont val="WenQuanYi Zen Hei"/>
        <family val="2"/>
      </rPr>
      <t xml:space="preserve">법령 사이트</t>
    </r>
    <r>
      <rPr>
        <sz val="10"/>
        <rFont val="Arial"/>
        <family val="0"/>
        <charset val="1"/>
      </rPr>
      <t xml:space="preserve">(planalto.gov.br/legislacao), </t>
    </r>
    <r>
      <rPr>
        <sz val="10"/>
        <rFont val="WenQuanYi Zen Hei"/>
        <family val="2"/>
      </rPr>
      <t xml:space="preserve">헌법</t>
    </r>
    <r>
      <rPr>
        <sz val="10"/>
        <rFont val="Arial"/>
        <family val="0"/>
        <charset val="1"/>
      </rPr>
      <t xml:space="preserve">, </t>
    </r>
    <r>
      <rPr>
        <sz val="10"/>
        <rFont val="WenQuanYi Zen Hei"/>
        <family val="2"/>
      </rPr>
      <t xml:space="preserve">각 법률</t>
    </r>
    <r>
      <rPr>
        <sz val="10"/>
        <rFont val="Arial"/>
        <family val="0"/>
        <charset val="1"/>
      </rPr>
      <t xml:space="preserve">, </t>
    </r>
    <r>
      <rPr>
        <sz val="10"/>
        <rFont val="WenQuanYi Zen Hei"/>
        <family val="2"/>
      </rPr>
      <t xml:space="preserve">연방 관보</t>
    </r>
    <r>
      <rPr>
        <sz val="10"/>
        <rFont val="Arial"/>
        <family val="0"/>
        <charset val="1"/>
      </rPr>
      <t xml:space="preserve">(DOU)</t>
    </r>
  </si>
  <si>
    <t xml:space="preserve">문서칸</t>
  </si>
  <si>
    <t xml:space="preserve">기록과 자료</t>
  </si>
  <si>
    <t xml:space="preserve">국가기록원(Arquivo Nacional, SIAN), 상파울루주 공공기록원, 하원·시의회 회의록, 국가진실위원회 보고서(2014)</t>
  </si>
  <si>
    <t xml:space="preserve">신문칸</t>
  </si>
  <si>
    <t xml:space="preserve">과거 기사</t>
  </si>
  <si>
    <t xml:space="preserve">국립도서관 디지털 신문 아카이브 (Hemeroteca Digital Brasileira, BN)</t>
  </si>
  <si>
    <t xml:space="preserve">사전칸</t>
  </si>
  <si>
    <t xml:space="preserve">용어</t>
  </si>
  <si>
    <t xml:space="preserve">브라질 문학 아카데미 정서법 어휘집(VOLP, ABL), Michaelis 온라인 사전</t>
  </si>
  <si>
    <r>
      <rPr>
        <b val="true"/>
        <sz val="10"/>
        <rFont val="Arial"/>
        <family val="0"/>
        <charset val="1"/>
      </rPr>
      <t xml:space="preserve">3. </t>
    </r>
    <r>
      <rPr>
        <b val="true"/>
        <sz val="10"/>
        <rFont val="WenQuanYi Zen Hei"/>
        <family val="2"/>
      </rPr>
      <t xml:space="preserve">주제별 출처표 </t>
    </r>
    <r>
      <rPr>
        <b val="true"/>
        <sz val="10"/>
        <rFont val="Arial"/>
        <family val="0"/>
        <charset val="1"/>
      </rPr>
      <t xml:space="preserve">(</t>
    </r>
    <r>
      <rPr>
        <b val="true"/>
        <sz val="10"/>
        <rFont val="WenQuanYi Zen Hei"/>
        <family val="2"/>
      </rPr>
      <t xml:space="preserve">기획한 에피소드 기준</t>
    </r>
    <r>
      <rPr>
        <b val="true"/>
        <sz val="10"/>
        <rFont val="Arial"/>
        <family val="0"/>
        <charset val="1"/>
      </rPr>
      <t xml:space="preserve">)</t>
    </r>
  </si>
  <si>
    <t xml:space="preserve">상황</t>
  </si>
  <si>
    <t xml:space="preserve">관련 부·화</t>
  </si>
  <si>
    <r>
      <rPr>
        <b val="true"/>
        <sz val="10"/>
        <color rgb="FFFFFFFF"/>
        <rFont val="Arial"/>
        <family val="0"/>
        <charset val="1"/>
      </rPr>
      <t xml:space="preserve">Freire</t>
    </r>
    <r>
      <rPr>
        <b val="true"/>
        <sz val="10"/>
        <color rgb="FFFFFFFF"/>
        <rFont val="WenQuanYi Zen Hei"/>
        <family val="2"/>
      </rPr>
      <t xml:space="preserve">의 대사 </t>
    </r>
    <r>
      <rPr>
        <b val="true"/>
        <sz val="10"/>
        <color rgb="FFFFFFFF"/>
        <rFont val="Arial"/>
        <family val="0"/>
        <charset val="1"/>
      </rPr>
      <t xml:space="preserve">(PT)</t>
    </r>
  </si>
  <si>
    <t xml:space="preserve">찾을 곳</t>
  </si>
  <si>
    <t xml:space="preserve">검색어·키워드</t>
  </si>
  <si>
    <t xml:space="preserve">서가칸</t>
  </si>
  <si>
    <t xml:space="preserve">정보기관 개혁</t>
  </si>
  <si>
    <r>
      <rPr>
        <sz val="10"/>
        <rFont val="Arial"/>
        <family val="0"/>
        <charset val="1"/>
      </rPr>
      <t xml:space="preserve">12</t>
    </r>
    <r>
      <rPr>
        <sz val="10"/>
        <rFont val="WenQuanYi Zen Hei"/>
        <family val="2"/>
      </rPr>
      <t xml:space="preserve">부 </t>
    </r>
    <r>
      <rPr>
        <sz val="10"/>
        <rFont val="Arial"/>
        <family val="0"/>
        <charset val="1"/>
      </rPr>
      <t xml:space="preserve">5</t>
    </r>
    <r>
      <rPr>
        <sz val="10"/>
        <rFont val="WenQuanYi Zen Hei"/>
        <family val="2"/>
      </rPr>
      <t xml:space="preserve">화 </t>
    </r>
    <r>
      <rPr>
        <sz val="10"/>
        <rFont val="Arial"/>
        <family val="0"/>
        <charset val="1"/>
      </rPr>
      <t xml:space="preserve">(</t>
    </r>
    <r>
      <rPr>
        <sz val="10"/>
        <rFont val="WenQuanYi Zen Hei"/>
        <family val="2"/>
      </rPr>
      <t xml:space="preserve">감독 개혁 자문</t>
    </r>
    <r>
      <rPr>
        <sz val="10"/>
        <rFont val="Arial"/>
        <family val="0"/>
        <charset val="1"/>
      </rPr>
      <t xml:space="preserve">)</t>
    </r>
  </si>
  <si>
    <t xml:space="preserve">Comece pela lei que criou a agência.</t>
  </si>
  <si>
    <t xml:space="preserve">정보청법(Lei 9.883/1999), 의회 정보활동통제위원회(CCAI) — Planalto에서 검색</t>
  </si>
  <si>
    <t xml:space="preserve">Lei 9.883/1999 Abin; controle externo CCAI</t>
  </si>
  <si>
    <t xml:space="preserve">도청의 합법성</t>
  </si>
  <si>
    <t xml:space="preserve">Prova ilícita não vale. Procure.</t>
  </si>
  <si>
    <t xml:space="preserve">헌법 제5조 XII(통신의 비밀)·LVI(위법 수집 증거), 형사소송법 제157조, 감청법(Lei 9.296/1996)</t>
  </si>
  <si>
    <t xml:space="preserve">interceptação telefônica, autorização judicial, cadeia de custódia, prova ilícita</t>
  </si>
  <si>
    <t xml:space="preserve">기밀과 정보 공개</t>
  </si>
  <si>
    <r>
      <rPr>
        <sz val="10"/>
        <rFont val="Noto Sans CJK SC"/>
        <family val="2"/>
        <charset val="1"/>
      </rPr>
      <t xml:space="preserve">12</t>
    </r>
    <r>
      <rPr>
        <sz val="10"/>
        <rFont val="WenQuanYi Zen Hei"/>
        <family val="2"/>
      </rPr>
      <t xml:space="preserve">부 </t>
    </r>
    <r>
      <rPr>
        <sz val="10"/>
        <rFont val="Noto Sans CJK SC"/>
        <family val="2"/>
        <charset val="1"/>
      </rPr>
      <t xml:space="preserve">5</t>
    </r>
    <r>
      <rPr>
        <sz val="10"/>
        <rFont val="WenQuanYi Zen Hei"/>
        <family val="2"/>
      </rPr>
      <t xml:space="preserve">화</t>
    </r>
  </si>
  <si>
    <t xml:space="preserve">Existe uma lei que obriga o Estado a responder.</t>
  </si>
  <si>
    <t xml:space="preserve">정보접근법(Lei 12.527/2011), 정보공개 청구 포털(Fala.BR)</t>
  </si>
  <si>
    <t xml:space="preserve">Lei de Acesso à Informação, sigilo, classificação</t>
  </si>
  <si>
    <t xml:space="preserve">의사의 비밀유지</t>
  </si>
  <si>
    <r>
      <rPr>
        <sz val="10"/>
        <rFont val="Arial"/>
        <family val="0"/>
        <charset val="1"/>
      </rPr>
      <t xml:space="preserve">11</t>
    </r>
    <r>
      <rPr>
        <sz val="10"/>
        <rFont val="WenQuanYi Zen Hei"/>
        <family val="2"/>
      </rPr>
      <t xml:space="preserve">부 </t>
    </r>
    <r>
      <rPr>
        <sz val="10"/>
        <rFont val="Arial"/>
        <family val="0"/>
        <charset val="1"/>
      </rPr>
      <t xml:space="preserve">6·11~12</t>
    </r>
    <r>
      <rPr>
        <sz val="10"/>
        <rFont val="WenQuanYi Zen Hei"/>
        <family val="2"/>
      </rPr>
      <t xml:space="preserve">화 </t>
    </r>
    <r>
      <rPr>
        <sz val="10"/>
        <rFont val="Arial"/>
        <family val="0"/>
        <charset val="1"/>
      </rPr>
      <t xml:space="preserve">(Dom Pedro </t>
    </r>
    <r>
      <rPr>
        <sz val="10"/>
        <rFont val="WenQuanYi Zen Hei"/>
        <family val="2"/>
      </rPr>
      <t xml:space="preserve">복선</t>
    </r>
    <r>
      <rPr>
        <sz val="10"/>
        <rFont val="Arial"/>
        <family val="0"/>
        <charset val="1"/>
      </rPr>
      <t xml:space="preserve">)</t>
    </r>
  </si>
  <si>
    <t xml:space="preserve">Pergunte à doutora o que diz o código dela.</t>
  </si>
  <si>
    <t xml:space="preserve">연방의사회 의료윤리강령(CFM 결의 2.217/2018) 제73조, 형법 제154조(직업상 비밀 누설)</t>
  </si>
  <si>
    <t xml:space="preserve">sigilo médico, prontuário</t>
  </si>
  <si>
    <t xml:space="preserve">자금 세탁</t>
  </si>
  <si>
    <r>
      <rPr>
        <sz val="10"/>
        <rFont val="Arial"/>
        <family val="0"/>
        <charset val="1"/>
      </rPr>
      <t xml:space="preserve">4</t>
    </r>
    <r>
      <rPr>
        <sz val="10"/>
        <rFont val="WenQuanYi Zen Hei"/>
        <family val="2"/>
      </rPr>
      <t xml:space="preserve">부</t>
    </r>
    <r>
      <rPr>
        <sz val="10"/>
        <rFont val="Arial"/>
        <family val="0"/>
        <charset val="1"/>
      </rPr>
      <t xml:space="preserve">, 11</t>
    </r>
    <r>
      <rPr>
        <sz val="10"/>
        <rFont val="WenQuanYi Zen Hei"/>
        <family val="2"/>
      </rPr>
      <t xml:space="preserve">부 </t>
    </r>
    <r>
      <rPr>
        <sz val="10"/>
        <rFont val="Arial"/>
        <family val="0"/>
        <charset val="1"/>
      </rPr>
      <t xml:space="preserve">2</t>
    </r>
    <r>
      <rPr>
        <sz val="10"/>
        <rFont val="WenQuanYi Zen Hei"/>
        <family val="2"/>
      </rPr>
      <t xml:space="preserve">화</t>
    </r>
  </si>
  <si>
    <t xml:space="preserve">Todo dinheiro tem uma lei que o vigia. Procure.</t>
  </si>
  <si>
    <t xml:space="preserve">자금세탁방지법(Lei 9.613/1998), 금융정보분석원(COAF), 상업등기소(JUCESP)·국세청 법인 주주 명부</t>
  </si>
  <si>
    <t xml:space="preserve">lavagem de dinheiro, beneficiário final, paraíso fiscal</t>
  </si>
  <si>
    <t xml:space="preserve">문서칸·법령칸</t>
  </si>
  <si>
    <t xml:space="preserve">주거·퇴거</t>
  </si>
  <si>
    <r>
      <rPr>
        <sz val="10"/>
        <rFont val="Arial"/>
        <family val="0"/>
        <charset val="1"/>
      </rPr>
      <t xml:space="preserve">1·2·11</t>
    </r>
    <r>
      <rPr>
        <sz val="10"/>
        <rFont val="WenQuanYi Zen Hei"/>
        <family val="2"/>
      </rPr>
      <t xml:space="preserve">부</t>
    </r>
  </si>
  <si>
    <t xml:space="preserve">Compare o que dizem com o que existe.</t>
  </si>
  <si>
    <t xml:space="preserve">임대차법(Lei 8.245/1991), 도시법(Lei 10.257/2001), 민사소송법(CPC, Lei 13.105/2015)의 퇴거 절차, STF ADPF 828</t>
  </si>
  <si>
    <t xml:space="preserve">despejo, locação, retomada, ocupação</t>
  </si>
  <si>
    <t xml:space="preserve">가격 담합</t>
  </si>
  <si>
    <r>
      <rPr>
        <sz val="10"/>
        <rFont val="Arial"/>
        <family val="0"/>
        <charset val="1"/>
      </rPr>
      <t xml:space="preserve">11</t>
    </r>
    <r>
      <rPr>
        <sz val="10"/>
        <rFont val="WenQuanYi Zen Hei"/>
        <family val="2"/>
      </rPr>
      <t xml:space="preserve">부 </t>
    </r>
    <r>
      <rPr>
        <sz val="10"/>
        <rFont val="Arial"/>
        <family val="0"/>
        <charset val="1"/>
      </rPr>
      <t xml:space="preserve">7</t>
    </r>
    <r>
      <rPr>
        <sz val="10"/>
        <rFont val="WenQuanYi Zen Hei"/>
        <family val="2"/>
      </rPr>
      <t xml:space="preserve">화</t>
    </r>
  </si>
  <si>
    <t xml:space="preserve">Olhe no CADE.</t>
  </si>
  <si>
    <t xml:space="preserve">경쟁법(Lei 12.529/2011), 경쟁당국(CADE, cade.gov.br)의 제재 결정문</t>
  </si>
  <si>
    <t xml:space="preserve">cartel, processo administrativo, concorrência</t>
  </si>
  <si>
    <t xml:space="preserve">법령칸·문서칸</t>
  </si>
  <si>
    <t xml:space="preserve">초고소득 과세</t>
  </si>
  <si>
    <t xml:space="preserve">Você não inventou isso. Já foi feito.</t>
  </si>
  <si>
    <t xml:space="preserve">역외·전용펀드 과세법(Lei 14.754/2023), 헌법 제62조 2항·제150조 III</t>
  </si>
  <si>
    <t xml:space="preserve">tributação de altas rendas, offshore, fundos exclusivos</t>
  </si>
  <si>
    <t xml:space="preserve">Mercosul–EU·EUDR</t>
  </si>
  <si>
    <r>
      <rPr>
        <sz val="10"/>
        <rFont val="Arial"/>
        <family val="0"/>
        <charset val="1"/>
      </rPr>
      <t xml:space="preserve">11</t>
    </r>
    <r>
      <rPr>
        <sz val="10"/>
        <rFont val="WenQuanYi Zen Hei"/>
        <family val="2"/>
      </rPr>
      <t xml:space="preserve">부 </t>
    </r>
    <r>
      <rPr>
        <sz val="10"/>
        <rFont val="Arial"/>
        <family val="0"/>
        <charset val="1"/>
      </rPr>
      <t xml:space="preserve">9~10</t>
    </r>
    <r>
      <rPr>
        <sz val="10"/>
        <rFont val="WenQuanYi Zen Hei"/>
        <family val="2"/>
      </rPr>
      <t xml:space="preserve">화</t>
    </r>
  </si>
  <si>
    <t xml:space="preserve">Esse artigo não diz o que te disseram.</t>
  </si>
  <si>
    <r>
      <rPr>
        <sz val="10"/>
        <rFont val="Noto Sans CJK SC"/>
        <family val="2"/>
        <charset val="1"/>
      </rPr>
      <t xml:space="preserve">EU </t>
    </r>
    <r>
      <rPr>
        <sz val="10"/>
        <rFont val="WenQuanYi Zen Hei"/>
        <family val="2"/>
      </rPr>
      <t xml:space="preserve">규정 </t>
    </r>
    <r>
      <rPr>
        <sz val="10"/>
        <rFont val="Noto Sans CJK SC"/>
        <family val="2"/>
        <charset val="1"/>
      </rPr>
      <t xml:space="preserve">2023/1115(EUDR), EUR-Lex(eur-lex.europa.eu), </t>
    </r>
    <r>
      <rPr>
        <sz val="10"/>
        <rFont val="WenQuanYi Zen Hei"/>
        <family val="2"/>
      </rPr>
      <t xml:space="preserve">외교부</t>
    </r>
    <r>
      <rPr>
        <sz val="10"/>
        <rFont val="Noto Sans CJK SC"/>
        <family val="2"/>
        <charset val="1"/>
      </rPr>
      <t xml:space="preserve">(Itamaraty) </t>
    </r>
    <r>
      <rPr>
        <sz val="10"/>
        <rFont val="WenQuanYi Zen Hei"/>
        <family val="2"/>
      </rPr>
      <t xml:space="preserve">협정문 공개본</t>
    </r>
  </si>
  <si>
    <t xml:space="preserve">acordo Mercosul-UE, EUDR, salvaguarda</t>
  </si>
  <si>
    <t xml:space="preserve">과거의 감시 기록</t>
  </si>
  <si>
    <r>
      <rPr>
        <sz val="10"/>
        <rFont val="Arial"/>
        <family val="0"/>
        <charset val="1"/>
      </rPr>
      <t xml:space="preserve">7</t>
    </r>
    <r>
      <rPr>
        <sz val="10"/>
        <rFont val="WenQuanYi Zen Hei"/>
        <family val="2"/>
      </rPr>
      <t xml:space="preserve">부</t>
    </r>
    <r>
      <rPr>
        <sz val="10"/>
        <rFont val="Arial"/>
        <family val="0"/>
        <charset val="1"/>
      </rPr>
      <t xml:space="preserve">, 12</t>
    </r>
    <r>
      <rPr>
        <sz val="10"/>
        <rFont val="WenQuanYi Zen Hei"/>
        <family val="2"/>
      </rPr>
      <t xml:space="preserve">부 </t>
    </r>
    <r>
      <rPr>
        <sz val="10"/>
        <rFont val="Arial"/>
        <family val="0"/>
        <charset val="1"/>
      </rPr>
      <t xml:space="preserve">5</t>
    </r>
    <r>
      <rPr>
        <sz val="10"/>
        <rFont val="WenQuanYi Zen Hei"/>
        <family val="2"/>
      </rPr>
      <t xml:space="preserve">화</t>
    </r>
  </si>
  <si>
    <t xml:space="preserve">Os jornais guardam o que as pessoas esquecem.</t>
  </si>
  <si>
    <r>
      <rPr>
        <sz val="10"/>
        <rFont val="Noto Sans CJK SC"/>
        <family val="2"/>
        <charset val="1"/>
      </rPr>
      <t xml:space="preserve">Hemeroteca Digital Brasileira, </t>
    </r>
    <r>
      <rPr>
        <sz val="10"/>
        <rFont val="WenQuanYi Zen Hei"/>
        <family val="2"/>
      </rPr>
      <t xml:space="preserve">국가진실위원회 보고서</t>
    </r>
  </si>
  <si>
    <r>
      <rPr>
        <sz val="10"/>
        <rFont val="Arial"/>
        <family val="0"/>
        <charset val="1"/>
      </rPr>
      <t xml:space="preserve">'SNI', 'Comissão Nacional da Verdade'</t>
    </r>
    <r>
      <rPr>
        <sz val="10"/>
        <rFont val="WenQuanYi Zen Hei"/>
        <family val="2"/>
      </rPr>
      <t xml:space="preserve">로 검색</t>
    </r>
  </si>
  <si>
    <t xml:space="preserve">의회 발언 확인</t>
  </si>
  <si>
    <t xml:space="preserve">Tudo o que se disse na tribuna está escrito.</t>
  </si>
  <si>
    <t xml:space="preserve">시의회·하원 속기록(camara.leg.br '발언과 속기')</t>
  </si>
  <si>
    <t xml:space="preserve">discurso, notas taquigráficas, sessão</t>
  </si>
  <si>
    <r>
      <rPr>
        <sz val="10"/>
        <rFont val="Arial"/>
        <family val="0"/>
        <charset val="1"/>
      </rPr>
      <t xml:space="preserve">8</t>
    </r>
    <r>
      <rPr>
        <sz val="10"/>
        <rFont val="WenQuanYi Zen Hei"/>
        <family val="2"/>
      </rPr>
      <t xml:space="preserve">부 </t>
    </r>
    <r>
      <rPr>
        <sz val="10"/>
        <rFont val="Arial"/>
        <family val="0"/>
        <charset val="1"/>
      </rPr>
      <t xml:space="preserve">5~6</t>
    </r>
    <r>
      <rPr>
        <sz val="10"/>
        <rFont val="WenQuanYi Zen Hei"/>
        <family val="2"/>
      </rPr>
      <t xml:space="preserve">화</t>
    </r>
  </si>
  <si>
    <t xml:space="preserve">Um partido começa num papel público. Procure.</t>
  </si>
  <si>
    <t xml:space="preserve">정당법(Lei 9.096/1995), 선거법원(TSE) 정당 등록 결의</t>
  </si>
  <si>
    <t xml:space="preserve">ata de fundação, estatuto, apoiamento, registro</t>
  </si>
  <si>
    <t xml:space="preserve">정당 재정</t>
  </si>
  <si>
    <t xml:space="preserve">Quem conta o dinheiro de um partido também deixa rastro.</t>
  </si>
  <si>
    <t xml:space="preserve">정당법 제38조 이하, 선거법(Lei 9.504/1997), TSE 선거자금 공개 시스템(DivulgaCandContas)</t>
  </si>
  <si>
    <t xml:space="preserve">Fundo Partidário, FEFC, prestação de contas</t>
  </si>
  <si>
    <t xml:space="preserve">선거 규칙</t>
  </si>
  <si>
    <r>
      <rPr>
        <sz val="10"/>
        <rFont val="Arial"/>
        <family val="0"/>
        <charset val="1"/>
      </rPr>
      <t xml:space="preserve">8</t>
    </r>
    <r>
      <rPr>
        <sz val="10"/>
        <rFont val="WenQuanYi Zen Hei"/>
        <family val="2"/>
      </rPr>
      <t xml:space="preserve">부</t>
    </r>
    <r>
      <rPr>
        <sz val="10"/>
        <rFont val="Arial"/>
        <family val="0"/>
        <charset val="1"/>
      </rPr>
      <t xml:space="preserve">·10</t>
    </r>
    <r>
      <rPr>
        <sz val="10"/>
        <rFont val="WenQuanYi Zen Hei"/>
        <family val="2"/>
      </rPr>
      <t xml:space="preserve">부</t>
    </r>
  </si>
  <si>
    <t xml:space="preserve">As regras do jogo estão na Lei das Eleições.</t>
  </si>
  <si>
    <t xml:space="preserve">선거법(Lei 9.504/1997): 후보 등록 제11조, TV 토론 제46조, 반론권 제58조 / 선거법전(Lei 4.737/1965)</t>
  </si>
  <si>
    <t xml:space="preserve">registro de candidatura, quociente eleitoral, Justiça Eleitoral</t>
  </si>
  <si>
    <t xml:space="preserve">대통령 선출·탄핵</t>
  </si>
  <si>
    <r>
      <rPr>
        <sz val="10"/>
        <rFont val="Arial"/>
        <family val="0"/>
        <charset val="1"/>
      </rPr>
      <t xml:space="preserve">10</t>
    </r>
    <r>
      <rPr>
        <sz val="10"/>
        <rFont val="WenQuanYi Zen Hei"/>
        <family val="2"/>
      </rPr>
      <t xml:space="preserve">부</t>
    </r>
    <r>
      <rPr>
        <sz val="10"/>
        <rFont val="Arial"/>
        <family val="0"/>
        <charset val="1"/>
      </rPr>
      <t xml:space="preserve">, 12</t>
    </r>
    <r>
      <rPr>
        <sz val="10"/>
        <rFont val="WenQuanYi Zen Hei"/>
        <family val="2"/>
      </rPr>
      <t xml:space="preserve">부 </t>
    </r>
    <r>
      <rPr>
        <sz val="10"/>
        <rFont val="Arial"/>
        <family val="0"/>
        <charset val="1"/>
      </rPr>
      <t xml:space="preserve">7</t>
    </r>
    <r>
      <rPr>
        <sz val="10"/>
        <rFont val="WenQuanYi Zen Hei"/>
        <family val="2"/>
      </rPr>
      <t xml:space="preserve">화</t>
    </r>
  </si>
  <si>
    <t xml:space="preserve">Artigo 77. Leia devagar, duas vezes.</t>
  </si>
  <si>
    <t xml:space="preserve">헌법 제77조(선출), 제78조(취임), 제85·86조(탄핵), 책임범죄법(Lei 1.079/1950)</t>
  </si>
  <si>
    <t xml:space="preserve">segundo turno, posse, impeachment, crime de responsabilidade</t>
  </si>
  <si>
    <r>
      <rPr>
        <sz val="10"/>
        <rFont val="Arial"/>
        <family val="0"/>
        <charset val="1"/>
      </rPr>
      <t xml:space="preserve">9</t>
    </r>
    <r>
      <rPr>
        <sz val="10"/>
        <rFont val="WenQuanYi Zen Hei"/>
        <family val="2"/>
      </rPr>
      <t xml:space="preserve">부</t>
    </r>
    <r>
      <rPr>
        <sz val="10"/>
        <rFont val="Arial"/>
        <family val="0"/>
        <charset val="1"/>
      </rPr>
      <t xml:space="preserve">·11</t>
    </r>
    <r>
      <rPr>
        <sz val="10"/>
        <rFont val="WenQuanYi Zen Hei"/>
        <family val="2"/>
      </rPr>
      <t xml:space="preserve">부</t>
    </r>
  </si>
  <si>
    <t xml:space="preserve">Quem manda nisso? Olhe o Título III.</t>
  </si>
  <si>
    <t xml:space="preserve">헌법 제3편(국가의 조직) 제21~30조, 제198조(SUS), 상파울루시 조직법</t>
  </si>
  <si>
    <t xml:space="preserve">competência comum, concorrente, municipal</t>
  </si>
  <si>
    <r>
      <rPr>
        <sz val="10"/>
        <rFont val="Arial"/>
        <family val="0"/>
        <charset val="1"/>
      </rPr>
      <t xml:space="preserve">7</t>
    </r>
    <r>
      <rPr>
        <sz val="10"/>
        <rFont val="WenQuanYi Zen Hei"/>
        <family val="2"/>
      </rPr>
      <t xml:space="preserve">부</t>
    </r>
    <r>
      <rPr>
        <sz val="10"/>
        <rFont val="Arial"/>
        <family val="0"/>
        <charset val="1"/>
      </rPr>
      <t xml:space="preserve">·9</t>
    </r>
    <r>
      <rPr>
        <sz val="10"/>
        <rFont val="WenQuanYi Zen Hei"/>
        <family val="2"/>
      </rPr>
      <t xml:space="preserve">부</t>
    </r>
  </si>
  <si>
    <t xml:space="preserve">Existe uma lei para quem avisa.</t>
  </si>
  <si>
    <t xml:space="preserve">denunciante, retaliação, canal de denúncias</t>
  </si>
  <si>
    <t xml:space="preserve">의회 표결 확인</t>
  </si>
  <si>
    <t xml:space="preserve">Todo voto fica escrito.</t>
  </si>
  <si>
    <t xml:space="preserve">하원 기명 투표 결과(camara.leg.br '투표'), 선거법원 개표 결과(resultados.tse.jus.br)</t>
  </si>
  <si>
    <t xml:space="preserve">votação nominal, apuração, placar</t>
  </si>
  <si>
    <t xml:space="preserve">모르는 단어</t>
  </si>
  <si>
    <t xml:space="preserve">전 부</t>
  </si>
  <si>
    <t xml:space="preserve">Se você não sabe a palavra, não sabe a lei.</t>
  </si>
  <si>
    <t xml:space="preserve">VOLP(ABL), Michaelis</t>
  </si>
  <si>
    <t xml:space="preserve">※ 법령 번호와 조항은 기획 시점 지식으로 정리한 것입니다. 교재에 넣기 전에 Planalto 법령 사이트의 현행 통합본(texto compilado)으로 반드시 확인하세요. 참고 도서 제목은 지어낼 위험이 있어 제외하고 검색어만 적었습니다.</t>
  </si>
  <si>
    <r>
      <rPr>
        <b val="true"/>
        <sz val="10"/>
        <rFont val="Arial"/>
        <family val="0"/>
        <charset val="1"/>
      </rPr>
      <t xml:space="preserve">4. </t>
    </r>
    <r>
      <rPr>
        <b val="true"/>
        <sz val="10"/>
        <rFont val="WenQuanYi Zen Hei"/>
        <family val="2"/>
      </rPr>
      <t xml:space="preserve">카드</t>
    </r>
    <r>
      <rPr>
        <b val="true"/>
        <sz val="10"/>
        <rFont val="Arial"/>
        <family val="0"/>
        <charset val="1"/>
      </rPr>
      <t xml:space="preserve">(FICHA) </t>
    </r>
    <r>
      <rPr>
        <b val="true"/>
        <sz val="10"/>
        <rFont val="WenQuanYi Zen Hei"/>
        <family val="2"/>
      </rPr>
      <t xml:space="preserve">구술 템플릿 — 지문 없이 대사로만</t>
    </r>
  </si>
  <si>
    <t xml:space="preserve">화자</t>
  </si>
  <si>
    <t xml:space="preserve">기능</t>
  </si>
  <si>
    <t xml:space="preserve">FREIRE</t>
  </si>
  <si>
    <t xml:space="preserve">검색어 (Procure)</t>
  </si>
  <si>
    <t xml:space="preserve">Anota. Procure: «prova ilícita».</t>
  </si>
  <si>
    <t xml:space="preserve">적어 둬요. 찾을 것: «위법 수집 증거».</t>
  </si>
  <si>
    <t xml:space="preserve">LARISSA</t>
  </si>
  <si>
    <t xml:space="preserve">질문으로 다음 항목을 끌어냄</t>
  </si>
  <si>
    <t xml:space="preserve">Tá. Onde?</t>
  </si>
  <si>
    <t xml:space="preserve">알겠어요. 어디서요?</t>
  </si>
  <si>
    <t xml:space="preserve">출처 (Onde)</t>
  </si>
  <si>
    <t xml:space="preserve">No site do Planalto. Constituição, artigo quinto, inciso cinquenta e seis.</t>
  </si>
  <si>
    <r>
      <rPr>
        <sz val="10"/>
        <rFont val="Noto Sans CJK SC"/>
        <family val="2"/>
        <charset val="1"/>
      </rPr>
      <t xml:space="preserve">Planalto </t>
    </r>
    <r>
      <rPr>
        <sz val="10"/>
        <rFont val="WenQuanYi Zen Hei"/>
        <family val="2"/>
      </rPr>
      <t xml:space="preserve">법령 사이트</t>
    </r>
    <r>
      <rPr>
        <sz val="10"/>
        <rFont val="Noto Sans CJK SC"/>
        <family val="2"/>
        <charset val="1"/>
      </rPr>
      <t xml:space="preserve">. </t>
    </r>
    <r>
      <rPr>
        <sz val="10"/>
        <rFont val="WenQuanYi Zen Hei"/>
        <family val="2"/>
      </rPr>
      <t xml:space="preserve">헌법 제</t>
    </r>
    <r>
      <rPr>
        <sz val="10"/>
        <rFont val="Noto Sans CJK SC"/>
        <family val="2"/>
        <charset val="1"/>
      </rPr>
      <t xml:space="preserve">5</t>
    </r>
    <r>
      <rPr>
        <sz val="10"/>
        <rFont val="WenQuanYi Zen Hei"/>
        <family val="2"/>
      </rPr>
      <t xml:space="preserve">조 제</t>
    </r>
    <r>
      <rPr>
        <sz val="10"/>
        <rFont val="Noto Sans CJK SC"/>
        <family val="2"/>
        <charset val="1"/>
      </rPr>
      <t xml:space="preserve">56</t>
    </r>
    <r>
      <rPr>
        <sz val="10"/>
        <rFont val="WenQuanYi Zen Hei"/>
        <family val="2"/>
      </rPr>
      <t xml:space="preserve">호</t>
    </r>
    <r>
      <rPr>
        <sz val="10"/>
        <rFont val="Noto Sans CJK SC"/>
        <family val="2"/>
        <charset val="1"/>
      </rPr>
      <t xml:space="preserve">.</t>
    </r>
  </si>
  <si>
    <t xml:space="preserve">질문</t>
  </si>
  <si>
    <t xml:space="preserve">E que palavras eu procuro?</t>
  </si>
  <si>
    <t xml:space="preserve">그럼 어떤 단어를 찾죠?</t>
  </si>
  <si>
    <t xml:space="preserve">키워드 (Palavras-chave)</t>
  </si>
  <si>
    <t xml:space="preserve">Interceptação telefônica. Autorização judicial. Cadeia de custódia.</t>
  </si>
  <si>
    <t xml:space="preserve">통신 감청. 법원 허가. 증거 보관 연속성.</t>
  </si>
  <si>
    <r>
      <rPr>
        <sz val="10"/>
        <rFont val="Arial"/>
        <family val="0"/>
        <charset val="1"/>
      </rPr>
      <t xml:space="preserve">Larissa</t>
    </r>
    <r>
      <rPr>
        <sz val="10"/>
        <rFont val="WenQuanYi Zen Hei"/>
        <family val="2"/>
      </rPr>
      <t xml:space="preserve">의 조급함</t>
    </r>
  </si>
  <si>
    <t xml:space="preserve">E a resposta?</t>
  </si>
  <si>
    <t xml:space="preserve">그럼 답은요?</t>
  </si>
  <si>
    <t xml:space="preserve">시그니처 + 서가 위치 (손짓 지문 대체)</t>
  </si>
  <si>
    <t xml:space="preserve">Eu não disse nada. Terceira prateleira, à sua esquerda.</t>
  </si>
  <si>
    <t xml:space="preserve">나는 아무 말도 안 했어요. 세 번째 선반, 왼쪽이에요.</t>
  </si>
  <si>
    <t xml:space="preserve">카드는 3줄(검색어·출처·키워드)과 마지막 시그니처로 짧게 유지한다. 이 카드가 모이면 교재 전체의 포르투갈어 자료 색인이 된다. 카드를 넣을 화의 범위(전 화 vs Freire 등장 화)는 미결사항 참고.</t>
  </si>
  <si>
    <t xml:space="preserve">대화문 규칙 — 모든 것은 대화문으로 풀어간다</t>
  </si>
  <si>
    <t xml:space="preserve">이전 안(상황 30% + 대화 70%)을 폐기하고, 전 화를 「화자명: 대사」만으로 구성한다.</t>
  </si>
  <si>
    <r>
      <rPr>
        <b val="true"/>
        <sz val="10"/>
        <rFont val="Arial"/>
        <family val="0"/>
        <charset val="1"/>
      </rPr>
      <t xml:space="preserve">1. </t>
    </r>
    <r>
      <rPr>
        <b val="true"/>
        <sz val="10"/>
        <rFont val="WenQuanYi Zen Hei"/>
        <family val="2"/>
      </rPr>
      <t xml:space="preserve">원칙</t>
    </r>
  </si>
  <si>
    <t xml:space="preserve">예시</t>
  </si>
  <si>
    <t xml:space="preserve">전 화 100% 대화문</t>
  </si>
  <si>
    <t xml:space="preserve">지문(narração)은 0%. 각 화는 화자명 + 대사로만 구성한다.</t>
  </si>
  <si>
    <t xml:space="preserve">MARTA: São cinco horas. Começa a reunião.</t>
  </si>
  <si>
    <t xml:space="preserve">화 머리 표기</t>
  </si>
  <si>
    <t xml:space="preserve">부·화 번호, 제목, 장소·날짜는 낭독하지 않는 표기 전용 한 줄(메타). 낭독 본문에는 넣지 않는다.</t>
  </si>
  <si>
    <r>
      <rPr>
        <sz val="10"/>
        <rFont val="Arial"/>
        <family val="0"/>
        <charset val="1"/>
      </rPr>
      <t xml:space="preserve">[11</t>
    </r>
    <r>
      <rPr>
        <sz val="10"/>
        <rFont val="WenQuanYi Zen Hei"/>
        <family val="2"/>
      </rPr>
      <t xml:space="preserve">부 </t>
    </r>
    <r>
      <rPr>
        <sz val="10"/>
        <rFont val="Arial"/>
        <family val="0"/>
        <charset val="1"/>
      </rPr>
      <t xml:space="preserve">4</t>
    </r>
    <r>
      <rPr>
        <sz val="10"/>
        <rFont val="WenQuanYi Zen Hei"/>
        <family val="2"/>
      </rPr>
      <t xml:space="preserve">화 </t>
    </r>
    <r>
      <rPr>
        <sz val="10"/>
        <rFont val="Arial"/>
        <family val="0"/>
        <charset val="1"/>
      </rPr>
      <t xml:space="preserve">· Colapso na emergência]</t>
    </r>
  </si>
  <si>
    <t xml:space="preserve">괄호 무대지시 금지</t>
  </si>
  <si>
    <t xml:space="preserve">행동·표정·침묵은 괄호 지문이 아니라 대사로 표현한다.</t>
  </si>
  <si>
    <t xml:space="preserve">(Marta põe o prato na mesa) → MARTA: Deixa eu pôr esse prato na mesa antes que ele voe.</t>
  </si>
  <si>
    <t xml:space="preserve">장소·시간 소개</t>
  </si>
  <si>
    <t xml:space="preserve">지정 화자가 대사로 알린다: Marta(식사·장소), Larissa(질문), Zumbi(보고).</t>
  </si>
  <si>
    <t xml:space="preserve">MARTA: São cinco horas. Reunião na minha mesa.</t>
  </si>
  <si>
    <t xml:space="preserve">시간 경과·장면 전환</t>
  </si>
  <si>
    <t xml:space="preserve">인물이 말로 알린다. 전환은 화자 교체 + 장소 언급으로.</t>
  </si>
  <si>
    <t xml:space="preserve">DUMONT: Já faz três meses desde o despejo, não é?</t>
  </si>
  <si>
    <t xml:space="preserve">문서·기사·메모</t>
  </si>
  <si>
    <t xml:space="preserve">소리 내어 읽는다: Rafael=조항, Dumont=기사·팟캐스트 원고, Machado=초고·메모, Freire=카드.</t>
  </si>
  <si>
    <t xml:space="preserve">RAFAEL: Artigo sexto: «São direitos sociais a educação, a saúde, a alimentação, o trabalho, a moradia…»</t>
  </si>
  <si>
    <t xml:space="preserve">무거운 장면 (죽음·침묵)</t>
  </si>
  <si>
    <t xml:space="preserve">짧은 호명·확인 대사로 처리한다.</t>
  </si>
  <si>
    <t xml:space="preserve">LARISSA: Dom Pedro? / CAMILA: Ele se foi, Larissa.</t>
  </si>
  <si>
    <t xml:space="preserve">내면·감정</t>
  </si>
  <si>
    <t xml:space="preserve">독백은 '소리 내어 하는 말'로만 허용. 감정 노출은 Isabel의 되받기 화법을 활용.</t>
  </si>
  <si>
    <t xml:space="preserve">ISABEL: Então você se sente sozinha. É isso?</t>
  </si>
  <si>
    <t xml:space="preserve">문장 길이</t>
  </si>
  <si>
    <r>
      <rPr>
        <sz val="10"/>
        <rFont val="Arial"/>
        <family val="0"/>
        <charset val="1"/>
      </rPr>
      <t xml:space="preserve">1</t>
    </r>
    <r>
      <rPr>
        <sz val="10"/>
        <rFont val="WenQuanYi Zen Hei"/>
        <family val="2"/>
      </rPr>
      <t xml:space="preserve">부</t>
    </r>
    <r>
      <rPr>
        <sz val="10"/>
        <rFont val="Arial"/>
        <family val="0"/>
        <charset val="1"/>
      </rPr>
      <t xml:space="preserve">(B1): </t>
    </r>
    <r>
      <rPr>
        <sz val="10"/>
        <rFont val="WenQuanYi Zen Hei"/>
        <family val="2"/>
      </rPr>
      <t xml:space="preserve">대사 한 줄 </t>
    </r>
    <r>
      <rPr>
        <sz val="10"/>
        <rFont val="Arial"/>
        <family val="0"/>
        <charset val="1"/>
      </rPr>
      <t xml:space="preserve">15</t>
    </r>
    <r>
      <rPr>
        <sz val="10"/>
        <rFont val="WenQuanYi Zen Hei"/>
        <family val="2"/>
      </rPr>
      <t xml:space="preserve">단어 이내</t>
    </r>
    <r>
      <rPr>
        <sz val="10"/>
        <rFont val="Arial"/>
        <family val="0"/>
        <charset val="1"/>
      </rPr>
      <t xml:space="preserve">. Dom Pedro·Rafael</t>
    </r>
    <r>
      <rPr>
        <sz val="10"/>
        <rFont val="WenQuanYi Zen Hei"/>
        <family val="2"/>
      </rPr>
      <t xml:space="preserve">의 격식체는 한두 줄만 </t>
    </r>
    <r>
      <rPr>
        <sz val="10"/>
        <rFont val="Arial"/>
        <family val="0"/>
        <charset val="1"/>
      </rPr>
      <t xml:space="preserve">'</t>
    </r>
    <r>
      <rPr>
        <sz val="10"/>
        <rFont val="WenQuanYi Zen Hei"/>
        <family val="2"/>
      </rPr>
      <t xml:space="preserve">어른들 말투 맛보기</t>
    </r>
    <r>
      <rPr>
        <sz val="10"/>
        <rFont val="Arial"/>
        <family val="0"/>
        <charset val="1"/>
      </rPr>
      <t xml:space="preserve">'. </t>
    </r>
    <r>
      <rPr>
        <sz val="10"/>
        <rFont val="WenQuanYi Zen Hei"/>
        <family val="2"/>
      </rPr>
      <t xml:space="preserve">부가 올라갈수록 인물별 허용 길이 확대</t>
    </r>
    <r>
      <rPr>
        <sz val="10"/>
        <rFont val="Arial"/>
        <family val="0"/>
        <charset val="1"/>
      </rPr>
      <t xml:space="preserve">. Larissa</t>
    </r>
    <r>
      <rPr>
        <sz val="10"/>
        <rFont val="WenQuanYi Zen Hei"/>
        <family val="2"/>
      </rPr>
      <t xml:space="preserve">의 질문은 끝까지 짧게</t>
    </r>
    <r>
      <rPr>
        <sz val="10"/>
        <rFont val="Arial"/>
        <family val="0"/>
        <charset val="1"/>
      </rPr>
      <t xml:space="preserve">.</t>
    </r>
  </si>
  <si>
    <r>
      <rPr>
        <sz val="10"/>
        <rFont val="Arial"/>
        <family val="0"/>
        <charset val="1"/>
      </rPr>
      <t xml:space="preserve">1</t>
    </r>
    <r>
      <rPr>
        <sz val="10"/>
        <rFont val="WenQuanYi Zen Hei"/>
        <family val="2"/>
      </rPr>
      <t xml:space="preserve">부는 대사마다 단어 수를 세어 </t>
    </r>
    <r>
      <rPr>
        <sz val="10"/>
        <rFont val="Arial"/>
        <family val="0"/>
        <charset val="1"/>
      </rPr>
      <t xml:space="preserve">15</t>
    </r>
    <r>
      <rPr>
        <sz val="10"/>
        <rFont val="WenQuanYi Zen Hei"/>
        <family val="2"/>
      </rPr>
      <t xml:space="preserve">단어 상한을 점검한다</t>
    </r>
  </si>
  <si>
    <t xml:space="preserve">화당 분량 = 120턴</t>
  </si>
  <si>
    <t xml:space="preserve">한 화는 대화 120턴(화자 교대 1회 = 1턴)으로 구성한다. 한 턴은 1부 15단어 이내, 연설·조항·기사 낭독은 긴 턴 1개로 세되 화당 3개까지. 화 유형별 도입·장면·절정·마무리 배분과 화자 점유율은 '턴_설계' 시트.</t>
  </si>
  <si>
    <r>
      <rPr>
        <sz val="10"/>
        <rFont val="Arial"/>
        <family val="0"/>
        <charset val="1"/>
      </rPr>
      <t xml:space="preserve">120</t>
    </r>
    <r>
      <rPr>
        <sz val="10"/>
        <rFont val="WenQuanYi Zen Hei"/>
        <family val="2"/>
      </rPr>
      <t xml:space="preserve">턴 중 장면 전환</t>
    </r>
    <r>
      <rPr>
        <sz val="10"/>
        <rFont val="Arial"/>
        <family val="0"/>
        <charset val="1"/>
      </rPr>
      <t xml:space="preserve">·</t>
    </r>
    <r>
      <rPr>
        <sz val="10"/>
        <rFont val="WenQuanYi Zen Hei"/>
        <family val="2"/>
      </rPr>
      <t xml:space="preserve">시간</t>
    </r>
    <r>
      <rPr>
        <sz val="10"/>
        <rFont val="Arial"/>
        <family val="0"/>
        <charset val="1"/>
      </rPr>
      <t xml:space="preserve">·</t>
    </r>
    <r>
      <rPr>
        <sz val="10"/>
        <rFont val="WenQuanYi Zen Hei"/>
        <family val="2"/>
      </rPr>
      <t xml:space="preserve">장소 안내 </t>
    </r>
    <r>
      <rPr>
        <sz val="10"/>
        <rFont val="Arial"/>
        <family val="0"/>
        <charset val="1"/>
      </rPr>
      <t xml:space="preserve">5~10</t>
    </r>
    <r>
      <rPr>
        <sz val="10"/>
        <rFont val="WenQuanYi Zen Hei"/>
        <family val="2"/>
      </rPr>
      <t xml:space="preserve">턴</t>
    </r>
    <r>
      <rPr>
        <sz val="10"/>
        <rFont val="Arial"/>
        <family val="0"/>
        <charset val="1"/>
      </rPr>
      <t xml:space="preserve">, Larissa </t>
    </r>
    <r>
      <rPr>
        <sz val="10"/>
        <rFont val="WenQuanYi Zen Hei"/>
        <family val="2"/>
      </rPr>
      <t xml:space="preserve">질문→재설명 </t>
    </r>
    <r>
      <rPr>
        <sz val="10"/>
        <rFont val="Arial"/>
        <family val="0"/>
        <charset val="1"/>
      </rPr>
      <t xml:space="preserve">6~12</t>
    </r>
    <r>
      <rPr>
        <sz val="10"/>
        <rFont val="WenQuanYi Zen Hei"/>
        <family val="2"/>
      </rPr>
      <t xml:space="preserve">턴</t>
    </r>
  </si>
  <si>
    <t xml:space="preserve">화자 식별 장치이자 반복 학습 문장. 한 화에 화자당 1~2회까지.</t>
  </si>
  <si>
    <r>
      <rPr>
        <sz val="10"/>
        <rFont val="Arial"/>
        <family val="0"/>
        <charset val="1"/>
      </rPr>
      <t xml:space="preserve">Larissa</t>
    </r>
    <r>
      <rPr>
        <sz val="10"/>
        <rFont val="WenQuanYi Zen Hei"/>
        <family val="2"/>
      </rPr>
      <t xml:space="preserve">의 질문 장치</t>
    </r>
  </si>
  <si>
    <t xml:space="preserve">어려운 용어 뒤에는 Larissa의 질문 → 쉬운 재설명이 온다 (전문 표현 → 쉬운 표현 짝).</t>
  </si>
  <si>
    <t xml:space="preserve">LARISSA: Desculpa, o que isso significa?</t>
  </si>
  <si>
    <r>
      <rPr>
        <sz val="10"/>
        <rFont val="Arial"/>
        <family val="0"/>
        <charset val="1"/>
      </rPr>
      <t xml:space="preserve">Freire</t>
    </r>
    <r>
      <rPr>
        <sz val="10"/>
        <rFont val="WenQuanYi Zen Hei"/>
        <family val="2"/>
      </rPr>
      <t xml:space="preserve">의 카드</t>
    </r>
  </si>
  <si>
    <t xml:space="preserve">카드는 구술로 처리한다 (Freire_출처 시트 템플릿).</t>
  </si>
  <si>
    <t xml:space="preserve">FREIRE: Anota. Procure: …</t>
  </si>
  <si>
    <t xml:space="preserve">욕설 수위</t>
  </si>
  <si>
    <r>
      <rPr>
        <sz val="10"/>
        <rFont val="Arial"/>
        <family val="0"/>
        <charset val="1"/>
      </rPr>
      <t xml:space="preserve">porra, caralho </t>
    </r>
    <r>
      <rPr>
        <sz val="10"/>
        <rFont val="WenQuanYi Zen Hei"/>
        <family val="2"/>
      </rPr>
      <t xml:space="preserve">등은 교재 제외</t>
    </r>
    <r>
      <rPr>
        <sz val="10"/>
        <rFont val="Arial"/>
        <family val="0"/>
        <charset val="1"/>
      </rPr>
      <t xml:space="preserve">. </t>
    </r>
    <r>
      <rPr>
        <sz val="10"/>
        <rFont val="WenQuanYi Zen Hei"/>
        <family val="2"/>
      </rPr>
      <t xml:space="preserve">순한 표현만 </t>
    </r>
    <r>
      <rPr>
        <sz val="10"/>
        <rFont val="Arial"/>
        <family val="0"/>
        <charset val="1"/>
      </rPr>
      <t xml:space="preserve">(Larissa_</t>
    </r>
    <r>
      <rPr>
        <sz val="10"/>
        <rFont val="WenQuanYi Zen Hei"/>
        <family val="2"/>
      </rPr>
      <t xml:space="preserve">폭발과욕 시트</t>
    </r>
    <r>
      <rPr>
        <sz val="10"/>
        <rFont val="Arial"/>
        <family val="0"/>
        <charset val="1"/>
      </rPr>
      <t xml:space="preserve">).</t>
    </r>
  </si>
  <si>
    <t xml:space="preserve">호칭 전환</t>
  </si>
  <si>
    <r>
      <rPr>
        <sz val="10"/>
        <rFont val="Arial"/>
        <family val="0"/>
        <charset val="1"/>
      </rPr>
      <t xml:space="preserve">o senhor/a senhora ↔ você </t>
    </r>
    <r>
      <rPr>
        <sz val="10"/>
        <rFont val="WenQuanYi Zen Hei"/>
        <family val="2"/>
      </rPr>
      <t xml:space="preserve">전환은 대사로 명시한다 </t>
    </r>
    <r>
      <rPr>
        <sz val="10"/>
        <rFont val="Arial"/>
        <family val="0"/>
        <charset val="1"/>
      </rPr>
      <t xml:space="preserve">(</t>
    </r>
    <r>
      <rPr>
        <sz val="10"/>
        <rFont val="WenQuanYi Zen Hei"/>
        <family val="2"/>
      </rPr>
      <t xml:space="preserve">호칭규칙 시트</t>
    </r>
    <r>
      <rPr>
        <sz val="10"/>
        <rFont val="Arial"/>
        <family val="0"/>
        <charset val="1"/>
      </rPr>
      <t xml:space="preserve">).</t>
    </r>
  </si>
  <si>
    <t xml:space="preserve">DOM PEDRO: Pode me chamar de você.</t>
  </si>
  <si>
    <t xml:space="preserve">가상 정치 세계</t>
  </si>
  <si>
    <t xml:space="preserve">정당·정치인은 전부 가상. 실존 정치인·정당명을 쓰지 않는다. 공식 결과는 선거법원장·하원의장의 대사로 낭독한다.</t>
  </si>
  <si>
    <t xml:space="preserve">PRESIDENTE DA CÂMARA: Votaram sim duzentos e trinta e dois deputados.</t>
  </si>
  <si>
    <t xml:space="preserve">현안을 다루는 법</t>
  </si>
  <si>
    <t xml:space="preserve">시사 현안은 가상 설정으로 각색하고 실존 인물·참사 희생자를 특정하지 않는다. 찬반 양측이 각자의 가장 강한 논거를 말하게 하고, 결론은 화 안에서 제도의 결과(표결·판결·협약)로만 닫는다. 수치는 Freire의 카드로 출처를 안내한다.</t>
  </si>
  <si>
    <t xml:space="preserve">LARISSA: Desculpa, o que é «auxílio-aluguel»? / BRUNO: É um dinheiro da prefeitura pra ajudar a pagar o aluguel.</t>
  </si>
  <si>
    <t xml:space="preserve">화자 표기</t>
  </si>
  <si>
    <t xml:space="preserve">화자명은 대문자 + 콜론. 포르투갈어 본문과 한국어 번역은 열(또는 파일)을 분리해 낭독 시 번역이 섞이지 않게 한다.</t>
  </si>
  <si>
    <t xml:space="preserve">LARISSA: CHEGA!</t>
  </si>
  <si>
    <t xml:space="preserve">고전 인용</t>
  </si>
  <si>
    <t xml:space="preserve">인물마다 다른 포르투갈어·브라질 고전 출처를 맡겨 화마다 1~2명이 짧게 인용한다. 전부 저작권 만료 공유 저작물(작가 사후 70년 경과)만 쓰고, 원문을 정확히 인용한다 (배정표는 아래 3번).</t>
  </si>
  <si>
    <t xml:space="preserve">DOM PEDRO: Minha terra tem palmeiras, / Onde canta o Sabiá.</t>
  </si>
  <si>
    <r>
      <rPr>
        <b val="true"/>
        <sz val="10"/>
        <rFont val="Arial"/>
        <family val="0"/>
        <charset val="1"/>
      </rPr>
      <t xml:space="preserve">3. </t>
    </r>
    <r>
      <rPr>
        <b val="true"/>
        <sz val="10"/>
        <rFont val="WenQuanYi Zen Hei"/>
        <family val="2"/>
      </rPr>
      <t xml:space="preserve">고전 인용 배정 </t>
    </r>
    <r>
      <rPr>
        <b val="true"/>
        <sz val="10"/>
        <rFont val="Arial"/>
        <family val="0"/>
        <charset val="1"/>
      </rPr>
      <t xml:space="preserve">(</t>
    </r>
    <r>
      <rPr>
        <b val="true"/>
        <sz val="10"/>
        <rFont val="WenQuanYi Zen Hei"/>
        <family val="2"/>
      </rPr>
      <t xml:space="preserve">화마다 </t>
    </r>
    <r>
      <rPr>
        <b val="true"/>
        <sz val="10"/>
        <rFont val="Arial"/>
        <family val="0"/>
        <charset val="1"/>
      </rPr>
      <t xml:space="preserve">1~2</t>
    </r>
    <r>
      <rPr>
        <b val="true"/>
        <sz val="10"/>
        <rFont val="WenQuanYi Zen Hei"/>
        <family val="2"/>
      </rPr>
      <t xml:space="preserve">명</t>
    </r>
    <r>
      <rPr>
        <b val="true"/>
        <sz val="10"/>
        <rFont val="Arial"/>
        <family val="0"/>
        <charset val="1"/>
      </rPr>
      <t xml:space="preserve">)</t>
    </r>
  </si>
  <si>
    <t xml:space="preserve">인물마다 다른 출처를 맡겨 반복되지 않게 하고, Marta가 거의 전 화에 등장하므로 로테이션 캐스트인 1부에서도 대부분의 화가 커버된다. 전부 저작권 만료 공유 저작물(카몽이스 16세기, 곤사우베스 지아스·카스트루 아우베스 19세기, 마샤두·에우클리지스·빌락·후이 바르보자는 사후 70년 경과)만 쓰고, 원문을 정확히 인용한다. 인터넷에 떠도는 출처 불명 '명언'(유명 작가 이름을 붙인 가짜 인용)은 쓰지 않는다.</t>
  </si>
  <si>
    <r>
      <rPr>
        <sz val="10"/>
        <rFont val="Arial"/>
        <family val="0"/>
        <charset val="1"/>
      </rPr>
      <t xml:space="preserve">(Silencio.) </t>
    </r>
    <r>
      <rPr>
        <sz val="10"/>
        <rFont val="WenQuanYi Zen Hei"/>
        <family val="2"/>
      </rPr>
      <t xml:space="preserve">폭발 직후 정적</t>
    </r>
  </si>
  <si>
    <r>
      <rPr>
        <sz val="10"/>
        <rFont val="Arial"/>
        <family val="0"/>
        <charset val="1"/>
      </rPr>
      <t xml:space="preserve">«Opa.» — </t>
    </r>
    <r>
      <rPr>
        <sz val="10"/>
        <rFont val="WenQuanYi Zen Hei"/>
        <family val="2"/>
      </rPr>
      <t xml:space="preserve">정적 대신 짧은 감탄으로 멈춤을 표현</t>
    </r>
  </si>
  <si>
    <t xml:space="preserve">출처</t>
  </si>
  <si>
    <t xml:space="preserve">쓰는 방식</t>
  </si>
  <si>
    <t xml:space="preserve">실제 인용 예시 (PT)</t>
  </si>
  <si>
    <t xml:space="preserve">등장 부</t>
  </si>
  <si>
    <t xml:space="preserve">브라질 속담(ditados populares)</t>
  </si>
  <si>
    <t xml:space="preserve">인용이 아니라 그냥 말버릇처럼 자연스럽게 섞인다. 따뜻하고 실용적.</t>
  </si>
  <si>
    <t xml:space="preserve">Água mole em pedra dura, tanto bate até que fura. / Devagar se vai ao longe.</t>
  </si>
  <si>
    <t xml:space="preserve">거의 전 화</t>
  </si>
  <si>
    <t xml:space="preserve">카몽이스·곤사우베스 지아스(망명의 시)</t>
  </si>
  <si>
    <t xml:space="preserve">정중하게 비꼬는 코미디로(평소), 죽음 앞에서는 무겁게(11부). 망명 시는 이번엔 조국에서 죽는다는 아이러니로.</t>
  </si>
  <si>
    <t xml:space="preserve">Amor é fogo que arde sem se ver. (Camões) / Minha terra tem palmeiras, / Onde canta o Sabiá. (Gonçalves Dias, «Canção do Exílio»)</t>
  </si>
  <si>
    <r>
      <rPr>
        <sz val="10"/>
        <rFont val="Arial"/>
        <family val="0"/>
        <charset val="1"/>
      </rPr>
      <t xml:space="preserve">1</t>
    </r>
    <r>
      <rPr>
        <sz val="10"/>
        <rFont val="WenQuanYi Zen Hei"/>
        <family val="2"/>
      </rPr>
      <t xml:space="preserve">부</t>
    </r>
    <r>
      <rPr>
        <sz val="10"/>
        <rFont val="Arial"/>
        <family val="0"/>
        <charset val="1"/>
      </rPr>
      <t xml:space="preserve">, 11</t>
    </r>
    <r>
      <rPr>
        <sz val="10"/>
        <rFont val="WenQuanYi Zen Hei"/>
        <family val="2"/>
      </rPr>
      <t xml:space="preserve">부</t>
    </r>
  </si>
  <si>
    <t xml:space="preserve">에우클리지스 다 쿠냐 등</t>
  </si>
  <si>
    <t xml:space="preserve">감정으로 낭송하지 않고 서지 정보처럼 인용한다 — 「몇 번째 선반」식 습관과 같은 화법.</t>
  </si>
  <si>
    <t xml:space="preserve">O sertanejo é, antes de tudo, um forte. Euclides da Cunha, «Os Sertões», 1902.</t>
  </si>
  <si>
    <r>
      <rPr>
        <sz val="10"/>
        <rFont val="Arial"/>
        <family val="0"/>
        <charset val="1"/>
      </rPr>
      <t xml:space="preserve">1·2·6·11·12</t>
    </r>
    <r>
      <rPr>
        <sz val="10"/>
        <rFont val="WenQuanYi Zen Hei"/>
        <family val="2"/>
      </rPr>
      <t xml:space="preserve">부</t>
    </r>
  </si>
  <si>
    <t xml:space="preserve">자기 작품·빌락</t>
  </si>
  <si>
    <t xml:space="preserve">자기 글을 인용해 놓고 남의 글인 척 시치미를 뗀다. 아이러니하고 머뭇거리는 톤.</t>
  </si>
  <si>
    <t xml:space="preserve">Ao vencedor, as batatas. (Quincas Borba) / Ora (direis) ouvir estrelas! (Olavo Bilac)</t>
  </si>
  <si>
    <r>
      <rPr>
        <sz val="10"/>
        <rFont val="Arial"/>
        <family val="0"/>
        <charset val="1"/>
      </rPr>
      <t xml:space="preserve">6</t>
    </r>
    <r>
      <rPr>
        <sz val="10"/>
        <rFont val="WenQuanYi Zen Hei"/>
        <family val="2"/>
      </rPr>
      <t xml:space="preserve">부 이후</t>
    </r>
  </si>
  <si>
    <t xml:space="preserve">후이 바르보자의 연설</t>
  </si>
  <si>
    <t xml:space="preserve">대통령이 되어 가며 연설에 섞어 쓴다.</t>
  </si>
  <si>
    <t xml:space="preserve">A justiça atrasada não é justiça, senão injustiça qualificada e manifesta. (Rui Barbosa, «Oração aos Moços»)</t>
  </si>
  <si>
    <r>
      <rPr>
        <sz val="10"/>
        <rFont val="Arial"/>
        <family val="0"/>
        <charset val="1"/>
      </rPr>
      <t xml:space="preserve">8~13</t>
    </r>
    <r>
      <rPr>
        <sz val="10"/>
        <rFont val="WenQuanYi Zen Hei"/>
        <family val="2"/>
      </rPr>
      <t xml:space="preserve">부</t>
    </r>
  </si>
  <si>
    <t xml:space="preserve">시간 경과</t>
  </si>
  <si>
    <t xml:space="preserve">«Já faz três meses desde o despejo.»</t>
  </si>
  <si>
    <r>
      <rPr>
        <sz val="10"/>
        <rFont val="Arial"/>
        <family val="0"/>
        <charset val="1"/>
      </rPr>
      <t xml:space="preserve">Dumont (</t>
    </r>
    <r>
      <rPr>
        <sz val="10"/>
        <rFont val="WenQuanYi Zen Hei"/>
        <family val="2"/>
      </rPr>
      <t xml:space="preserve">질문 형태</t>
    </r>
    <r>
      <rPr>
        <sz val="10"/>
        <rFont val="Arial"/>
        <family val="0"/>
        <charset val="1"/>
      </rPr>
      <t xml:space="preserve">)</t>
    </r>
  </si>
  <si>
    <t xml:space="preserve">기사·팟캐스트 원고 삽입</t>
  </si>
  <si>
    <r>
      <rPr>
        <sz val="10"/>
        <rFont val="Arial"/>
        <family val="0"/>
        <charset val="1"/>
      </rPr>
      <t xml:space="preserve">Dumont</t>
    </r>
    <r>
      <rPr>
        <sz val="10"/>
        <rFont val="WenQuanYi Zen Hei"/>
        <family val="2"/>
      </rPr>
      <t xml:space="preserve">이 기사 첫 문단이나 팟캐스트 오프닝을 소리 내어 읽는다</t>
    </r>
  </si>
  <si>
    <t xml:space="preserve">연설문 초고 삽입</t>
  </si>
  <si>
    <r>
      <rPr>
        <sz val="10"/>
        <rFont val="Arial"/>
        <family val="0"/>
        <charset val="1"/>
      </rPr>
      <t xml:space="preserve">Machado</t>
    </r>
    <r>
      <rPr>
        <sz val="10"/>
        <rFont val="WenQuanYi Zen Hei"/>
        <family val="2"/>
      </rPr>
      <t xml:space="preserve">가 초고를 읽고 </t>
    </r>
    <r>
      <rPr>
        <sz val="10"/>
        <rFont val="Arial"/>
        <family val="0"/>
        <charset val="1"/>
      </rPr>
      <t xml:space="preserve">Rafael</t>
    </r>
    <r>
      <rPr>
        <sz val="10"/>
        <rFont val="WenQuanYi Zen Hei"/>
        <family val="2"/>
      </rPr>
      <t xml:space="preserve">이 고친다</t>
    </r>
  </si>
  <si>
    <t xml:space="preserve">Machado, Rafael</t>
  </si>
  <si>
    <t xml:space="preserve">개표·표결 결과 전광판</t>
  </si>
  <si>
    <t xml:space="preserve">선거법원장이 개표 결과를, 하원의장이 표결 결과를 낭독한다: «Apurados cem por cento das urnas…» / «Votaram sim…»</t>
  </si>
  <si>
    <t xml:space="preserve">PRESIDENTE DO TSE, PRESIDENTE DA CÂMARA</t>
  </si>
  <si>
    <t xml:space="preserve">취임 선서</t>
  </si>
  <si>
    <t xml:space="preserve">연방의회 의장이 절차를 진행하고 Rafael이 헌법 선서문을 낭독한다: «Prometo manter, defender e cumprir a Constituição…»</t>
  </si>
  <si>
    <t xml:space="preserve">PRESIDENTE DO CONGRESSO, Rafael</t>
  </si>
  <si>
    <t xml:space="preserve">변경 이력과 미결 사항</t>
  </si>
  <si>
    <r>
      <rPr>
        <b val="true"/>
        <sz val="10"/>
        <rFont val="Arial"/>
        <family val="0"/>
        <charset val="1"/>
      </rPr>
      <t xml:space="preserve">1. </t>
    </r>
    <r>
      <rPr>
        <b val="true"/>
        <sz val="10"/>
        <rFont val="WenQuanYi Zen Hei"/>
        <family val="2"/>
      </rPr>
      <t xml:space="preserve">변경 이력</t>
    </r>
  </si>
  <si>
    <t xml:space="preserve">이전</t>
  </si>
  <si>
    <t xml:space="preserve">이후</t>
  </si>
  <si>
    <t xml:space="preserve">반영 시트</t>
  </si>
  <si>
    <r>
      <rPr>
        <sz val="10"/>
        <rFont val="Noto Sans CJK SC"/>
        <family val="2"/>
        <charset val="1"/>
      </rPr>
      <t xml:space="preserve">v1 </t>
    </r>
    <r>
      <rPr>
        <sz val="10"/>
        <rFont val="WenQuanYi Zen Hei"/>
        <family val="2"/>
      </rPr>
      <t xml:space="preserve">이력</t>
    </r>
  </si>
  <si>
    <t xml:space="preserve">스페인판(마드리드) 기획 이력 47건</t>
  </si>
  <si>
    <t xml:space="preserve">인원·말투·1부 재설계·13부 확장·현안 15→18개 등 스페인판의 결정 사항은 브라질판에 구조 그대로 이어받음(부·화 수, 120턴, 100% 대화문, 원형 구조, 복선 28건)</t>
  </si>
  <si>
    <t xml:space="preserve">배경 도시</t>
  </si>
  <si>
    <r>
      <rPr>
        <sz val="10"/>
        <rFont val="Arial"/>
        <family val="0"/>
        <charset val="1"/>
      </rPr>
      <t xml:space="preserve">Madrid(Lavapiés) / </t>
    </r>
    <r>
      <rPr>
        <sz val="10"/>
        <rFont val="WenQuanYi Zen Hei"/>
        <family val="2"/>
      </rPr>
      <t xml:space="preserve">캐릭터 시트만 </t>
    </r>
    <r>
      <rPr>
        <sz val="10"/>
        <rFont val="Arial"/>
        <family val="0"/>
        <charset val="1"/>
      </rPr>
      <t xml:space="preserve">Rio(Lapa)</t>
    </r>
  </si>
  <si>
    <t xml:space="preserve">상파울루 Bixiga(이탈리아 이민자·삼바 학교 동네, 시의회 청사 옆). 10부 대선 이후는 브라질리아(정부)와 상파울루(주말의 식탁·사무소) 이원 배경</t>
  </si>
  <si>
    <t xml:space="preserve">개요, 13부 구성, 아크, 화별목차</t>
  </si>
  <si>
    <t xml:space="preserve">인물 대응</t>
  </si>
  <si>
    <t xml:space="preserve">스페인판 14인 이름이 캐릭터 시트 외 시트에 남아 있었음</t>
  </si>
  <si>
    <r>
      <rPr>
        <sz val="10"/>
        <rFont val="Arial"/>
        <family val="0"/>
        <charset val="1"/>
      </rPr>
      <t xml:space="preserve">Mateo→Rafael, Javier→Camila, Sofía→Bruno, Diego→Juliana, Anselmo→Dom Pedro, Ramón→Zumbi, Raimundo→Freire, Inés→Dumont, Lucía→Isabel, Pepa→Marta, Nieves→Edson, Tomás→Machado, Carmen→Larissa, Gonzalo→Sérgio </t>
    </r>
    <r>
      <rPr>
        <sz val="10"/>
        <rFont val="WenQuanYi Zen Hei"/>
        <family val="2"/>
      </rPr>
      <t xml:space="preserve">로 전 시트 통일</t>
    </r>
    <r>
      <rPr>
        <sz val="10"/>
        <rFont val="Arial"/>
        <family val="0"/>
        <charset val="1"/>
      </rPr>
      <t xml:space="preserve">(</t>
    </r>
    <r>
      <rPr>
        <sz val="10"/>
        <rFont val="WenQuanYi Zen Hei"/>
        <family val="2"/>
      </rPr>
      <t xml:space="preserve">한국어 조사 포함</t>
    </r>
    <r>
      <rPr>
        <sz val="10"/>
        <rFont val="Arial"/>
        <family val="0"/>
        <charset val="1"/>
      </rPr>
      <t xml:space="preserve">)</t>
    </r>
  </si>
  <si>
    <t xml:space="preserve">부활 6인의 기능</t>
  </si>
  <si>
    <r>
      <rPr>
        <sz val="10"/>
        <rFont val="Arial"/>
        <family val="0"/>
        <charset val="1"/>
      </rPr>
      <t xml:space="preserve">Dom Pedro=</t>
    </r>
    <r>
      <rPr>
        <sz val="10"/>
        <rFont val="WenQuanYi Zen Hei"/>
        <family val="2"/>
      </rPr>
      <t xml:space="preserve">심술 원로</t>
    </r>
    <r>
      <rPr>
        <sz val="10"/>
        <rFont val="Arial"/>
        <family val="0"/>
        <charset val="1"/>
      </rPr>
      <t xml:space="preserve">·</t>
    </r>
    <r>
      <rPr>
        <sz val="10"/>
        <rFont val="WenQuanYi Zen Hei"/>
        <family val="2"/>
      </rPr>
      <t xml:space="preserve">외교</t>
    </r>
    <r>
      <rPr>
        <sz val="10"/>
        <rFont val="Arial"/>
        <family val="0"/>
        <charset val="1"/>
      </rPr>
      <t xml:space="preserve">(Anselmo), Zumbi=</t>
    </r>
    <r>
      <rPr>
        <sz val="10"/>
        <rFont val="WenQuanYi Zen Hei"/>
        <family val="2"/>
      </rPr>
      <t xml:space="preserve">현장</t>
    </r>
    <r>
      <rPr>
        <sz val="10"/>
        <rFont val="Arial"/>
        <family val="0"/>
        <charset val="1"/>
      </rPr>
      <t xml:space="preserve">·</t>
    </r>
    <r>
      <rPr>
        <sz val="10"/>
        <rFont val="WenQuanYi Zen Hei"/>
        <family val="2"/>
      </rPr>
      <t xml:space="preserve">캠프</t>
    </r>
    <r>
      <rPr>
        <sz val="10"/>
        <rFont val="Arial"/>
        <family val="0"/>
        <charset val="1"/>
      </rPr>
      <t xml:space="preserve">·</t>
    </r>
    <r>
      <rPr>
        <sz val="10"/>
        <rFont val="WenQuanYi Zen Hei"/>
        <family val="2"/>
      </rPr>
      <t xml:space="preserve">재난 지휘</t>
    </r>
    <r>
      <rPr>
        <sz val="10"/>
        <rFont val="Arial"/>
        <family val="0"/>
        <charset val="1"/>
      </rPr>
      <t xml:space="preserve">(Ramón), Freire=</t>
    </r>
    <r>
      <rPr>
        <sz val="10"/>
        <rFont val="WenQuanYi Zen Hei"/>
        <family val="2"/>
      </rPr>
      <t xml:space="preserve">출처 안내</t>
    </r>
    <r>
      <rPr>
        <sz val="10"/>
        <rFont val="Arial"/>
        <family val="0"/>
        <charset val="1"/>
      </rPr>
      <t xml:space="preserve">(Raimundo, </t>
    </r>
    <r>
      <rPr>
        <sz val="10"/>
        <rFont val="WenQuanYi Zen Hei"/>
        <family val="2"/>
      </rPr>
      <t xml:space="preserve">군사정권 감시 경험 추가</t>
    </r>
    <r>
      <rPr>
        <sz val="10"/>
        <rFont val="Arial"/>
        <family val="0"/>
        <charset val="1"/>
      </rPr>
      <t xml:space="preserve">), Dumont=</t>
    </r>
    <r>
      <rPr>
        <sz val="10"/>
        <rFont val="WenQuanYi Zen Hei"/>
        <family val="2"/>
      </rPr>
      <t xml:space="preserve">공론화</t>
    </r>
    <r>
      <rPr>
        <sz val="10"/>
        <rFont val="Arial"/>
        <family val="0"/>
        <charset val="1"/>
      </rPr>
      <t xml:space="preserve">·</t>
    </r>
    <r>
      <rPr>
        <sz val="10"/>
        <rFont val="WenQuanYi Zen Hei"/>
        <family val="2"/>
      </rPr>
      <t xml:space="preserve">팟캐스트</t>
    </r>
    <r>
      <rPr>
        <sz val="10"/>
        <rFont val="Arial"/>
        <family val="0"/>
        <charset val="1"/>
      </rPr>
      <t xml:space="preserve">(Inés), Isabel=</t>
    </r>
    <r>
      <rPr>
        <sz val="10"/>
        <rFont val="WenQuanYi Zen Hei"/>
        <family val="2"/>
      </rPr>
      <t xml:space="preserve">상담</t>
    </r>
    <r>
      <rPr>
        <sz val="10"/>
        <rFont val="Arial"/>
        <family val="0"/>
        <charset val="1"/>
      </rPr>
      <t xml:space="preserve">(Lucía, CVV </t>
    </r>
    <r>
      <rPr>
        <sz val="10"/>
        <rFont val="WenQuanYi Zen Hei"/>
        <family val="2"/>
      </rPr>
      <t xml:space="preserve">자원봉사</t>
    </r>
    <r>
      <rPr>
        <sz val="10"/>
        <rFont val="Arial"/>
        <family val="0"/>
        <charset val="1"/>
      </rPr>
      <t xml:space="preserve">), Machado=</t>
    </r>
    <r>
      <rPr>
        <sz val="10"/>
        <rFont val="WenQuanYi Zen Hei"/>
        <family val="2"/>
      </rPr>
      <t xml:space="preserve">글</t>
    </r>
    <r>
      <rPr>
        <sz val="10"/>
        <rFont val="Arial"/>
        <family val="0"/>
        <charset val="1"/>
      </rPr>
      <t xml:space="preserve">·</t>
    </r>
    <r>
      <rPr>
        <sz val="10"/>
        <rFont val="WenQuanYi Zen Hei"/>
        <family val="2"/>
      </rPr>
      <t xml:space="preserve">연설</t>
    </r>
    <r>
      <rPr>
        <sz val="10"/>
        <rFont val="Arial"/>
        <family val="0"/>
        <charset val="1"/>
      </rPr>
      <t xml:space="preserve">(Tomás)</t>
    </r>
  </si>
  <si>
    <t xml:space="preserve">캐릭터, 등장비중</t>
  </si>
  <si>
    <t xml:space="preserve">시트 이름</t>
  </si>
  <si>
    <r>
      <rPr>
        <sz val="10"/>
        <rFont val="Noto Sans CJK SC"/>
        <family val="2"/>
        <charset val="1"/>
      </rPr>
      <t xml:space="preserve">Carmen_</t>
    </r>
    <r>
      <rPr>
        <sz val="10"/>
        <rFont val="WenQuanYi Zen Hei"/>
        <family val="2"/>
      </rPr>
      <t xml:space="preserve">폭발과욕 </t>
    </r>
    <r>
      <rPr>
        <sz val="10"/>
        <rFont val="Noto Sans CJK SC"/>
        <family val="2"/>
        <charset val="1"/>
      </rPr>
      <t xml:space="preserve">/ Anselmo_</t>
    </r>
    <r>
      <rPr>
        <sz val="10"/>
        <rFont val="WenQuanYi Zen Hei"/>
        <family val="2"/>
      </rPr>
      <t xml:space="preserve">죽음 </t>
    </r>
    <r>
      <rPr>
        <sz val="10"/>
        <rFont val="Noto Sans CJK SC"/>
        <family val="2"/>
        <charset val="1"/>
      </rPr>
      <t xml:space="preserve">/ Raimundo_</t>
    </r>
    <r>
      <rPr>
        <sz val="10"/>
        <rFont val="WenQuanYi Zen Hei"/>
        <family val="2"/>
      </rPr>
      <t xml:space="preserve">출처</t>
    </r>
  </si>
  <si>
    <r>
      <rPr>
        <sz val="10"/>
        <rFont val="Noto Sans CJK SC"/>
        <family val="2"/>
        <charset val="1"/>
      </rPr>
      <t xml:space="preserve">Larissa_</t>
    </r>
    <r>
      <rPr>
        <sz val="10"/>
        <rFont val="WenQuanYi Zen Hei"/>
        <family val="2"/>
      </rPr>
      <t xml:space="preserve">폭발과욕 </t>
    </r>
    <r>
      <rPr>
        <sz val="10"/>
        <rFont val="Noto Sans CJK SC"/>
        <family val="2"/>
        <charset val="1"/>
      </rPr>
      <t xml:space="preserve">/ DomPedro_</t>
    </r>
    <r>
      <rPr>
        <sz val="10"/>
        <rFont val="WenQuanYi Zen Hei"/>
        <family val="2"/>
      </rPr>
      <t xml:space="preserve">죽음 </t>
    </r>
    <r>
      <rPr>
        <sz val="10"/>
        <rFont val="Noto Sans CJK SC"/>
        <family val="2"/>
        <charset val="1"/>
      </rPr>
      <t xml:space="preserve">/ Freire_</t>
    </r>
    <r>
      <rPr>
        <sz val="10"/>
        <rFont val="WenQuanYi Zen Hei"/>
        <family val="2"/>
      </rPr>
      <t xml:space="preserve">출처 </t>
    </r>
    <r>
      <rPr>
        <sz val="10"/>
        <rFont val="Noto Sans CJK SC"/>
        <family val="2"/>
        <charset val="1"/>
      </rPr>
      <t xml:space="preserve">(</t>
    </r>
    <r>
      <rPr>
        <sz val="10"/>
        <rFont val="WenQuanYi Zen Hei"/>
        <family val="2"/>
      </rPr>
      <t xml:space="preserve">개요의 링크도 갱신</t>
    </r>
    <r>
      <rPr>
        <sz val="10"/>
        <rFont val="Noto Sans CJK SC"/>
        <family val="2"/>
        <charset val="1"/>
      </rPr>
      <t xml:space="preserve">)</t>
    </r>
  </si>
  <si>
    <t xml:space="preserve">개요</t>
  </si>
  <si>
    <t xml:space="preserve">제목 언어</t>
  </si>
  <si>
    <t xml:space="preserve">스페인어 제목 156개</t>
  </si>
  <si>
    <t xml:space="preserve">브라질 포르투갈어 제목 156개로 새로 작성. 열 이름 '제목 (ES)' → '제목 (PT-BR)', 대사 열 '(ES)' → '(PT)'</t>
  </si>
  <si>
    <t xml:space="preserve">화별목차, 13부 구성</t>
  </si>
  <si>
    <t xml:space="preserve">정치 제도</t>
  </si>
  <si>
    <t xml:space="preserve">의원내각제: investidura·두 달 시계·재선거·건설적 불신임안·국왕</t>
  </si>
  <si>
    <t xml:space="preserve">대통령제: 전당대회·후보 등록·45일 유세·1차 투표·결선·당선증·1월 5일 취임, 연립 대통령제, 탄핵(하원 3분의 2), 임시조치(MP)</t>
  </si>
  <si>
    <t xml:space="preserve">정치제도, 정치경로_의석, 10~12부</t>
  </si>
  <si>
    <t xml:space="preserve">총리 → 대통령</t>
  </si>
  <si>
    <r>
      <rPr>
        <sz val="10"/>
        <rFont val="Arial"/>
        <family val="0"/>
        <charset val="1"/>
      </rPr>
      <t xml:space="preserve">Mateo </t>
    </r>
    <r>
      <rPr>
        <sz val="10"/>
        <rFont val="WenQuanYi Zen Hei"/>
        <family val="2"/>
      </rPr>
      <t xml:space="preserve">총리</t>
    </r>
    <r>
      <rPr>
        <sz val="10"/>
        <rFont val="Arial"/>
        <family val="0"/>
        <charset val="1"/>
      </rPr>
      <t xml:space="preserve">, </t>
    </r>
    <r>
      <rPr>
        <sz val="10"/>
        <rFont val="WenQuanYi Zen Hei"/>
        <family val="2"/>
      </rPr>
      <t xml:space="preserve">대통령실장 등 스페인 직제</t>
    </r>
  </si>
  <si>
    <r>
      <rPr>
        <sz val="10"/>
        <rFont val="Arial"/>
        <family val="0"/>
        <charset val="1"/>
      </rPr>
      <t xml:space="preserve">Rafael </t>
    </r>
    <r>
      <rPr>
        <sz val="10"/>
        <rFont val="WenQuanYi Zen Hei"/>
        <family val="2"/>
      </rPr>
      <t xml:space="preserve">대통령</t>
    </r>
    <r>
      <rPr>
        <sz val="10"/>
        <rFont val="Arial"/>
        <family val="0"/>
        <charset val="1"/>
      </rPr>
      <t xml:space="preserve">, Juliana </t>
    </r>
    <r>
      <rPr>
        <sz val="10"/>
        <rFont val="WenQuanYi Zen Hei"/>
        <family val="2"/>
      </rPr>
      <t xml:space="preserve">수석장관</t>
    </r>
    <r>
      <rPr>
        <sz val="10"/>
        <rFont val="Arial"/>
        <family val="0"/>
        <charset val="1"/>
      </rPr>
      <t xml:space="preserve">(Casa Civil), Bruno </t>
    </r>
    <r>
      <rPr>
        <sz val="10"/>
        <rFont val="WenQuanYi Zen Hei"/>
        <family val="2"/>
      </rPr>
      <t xml:space="preserve">재무장관</t>
    </r>
    <r>
      <rPr>
        <sz val="10"/>
        <rFont val="Arial"/>
        <family val="0"/>
        <charset val="1"/>
      </rPr>
      <t xml:space="preserve">, Camila </t>
    </r>
    <r>
      <rPr>
        <sz val="10"/>
        <rFont val="WenQuanYi Zen Hei"/>
        <family val="2"/>
      </rPr>
      <t xml:space="preserve">보건장관</t>
    </r>
    <r>
      <rPr>
        <sz val="10"/>
        <rFont val="Arial"/>
        <family val="0"/>
        <charset val="1"/>
      </rPr>
      <t xml:space="preserve">, Zumbi </t>
    </r>
    <r>
      <rPr>
        <sz val="10"/>
        <rFont val="WenQuanYi Zen Hei"/>
        <family val="2"/>
      </rPr>
      <t xml:space="preserve">통합</t>
    </r>
    <r>
      <rPr>
        <sz val="10"/>
        <rFont val="Arial"/>
        <family val="0"/>
        <charset val="1"/>
      </rPr>
      <t xml:space="preserve">·</t>
    </r>
    <r>
      <rPr>
        <sz val="10"/>
        <rFont val="WenQuanYi Zen Hei"/>
        <family val="2"/>
      </rPr>
      <t xml:space="preserve">지역개발장관</t>
    </r>
    <r>
      <rPr>
        <sz val="10"/>
        <rFont val="Arial"/>
        <family val="0"/>
        <charset val="1"/>
      </rPr>
      <t xml:space="preserve">, Dumont </t>
    </r>
    <r>
      <rPr>
        <sz val="10"/>
        <rFont val="WenQuanYi Zen Hei"/>
        <family val="2"/>
      </rPr>
      <t xml:space="preserve">대변인</t>
    </r>
  </si>
  <si>
    <t xml:space="preserve">캐릭터, 아크</t>
  </si>
  <si>
    <t xml:space="preserve">지방 정치</t>
  </si>
  <si>
    <t xml:space="preserve">시의회·자치의회 동시 선거(5월)</t>
  </si>
  <si>
    <t xml:space="preserve">브라질은 시장·시의원 선거가 총선 2년 뒤 따로 치러지므로 8부=시장·시의원 선거(Rafael 시장 후보 3위), 9부=시의회만(Bruno 재정위, Camila 보건위), 10부=총선의 해로 재구성</t>
  </si>
  <si>
    <r>
      <rPr>
        <sz val="10"/>
        <rFont val="Arial"/>
        <family val="0"/>
        <charset val="1"/>
      </rPr>
      <t xml:space="preserve">8~10</t>
    </r>
    <r>
      <rPr>
        <sz val="10"/>
        <rFont val="WenQuanYi Zen Hei"/>
        <family val="2"/>
      </rPr>
      <t xml:space="preserve">부</t>
    </r>
  </si>
  <si>
    <t xml:space="preserve">시뮬레이션</t>
  </si>
  <si>
    <t xml:space="preserve">하원 350석 investidura 1·2차, 불신임안(176표)</t>
  </si>
  <si>
    <t xml:space="preserve">대선 1차 득표(A), 결선 표 이동(B), 하원 513석 구성과 탄핵 개시 표결(342표 문턱, C)을 수식으로 계산</t>
  </si>
  <si>
    <t xml:space="preserve">사회 현안</t>
  </si>
  <si>
    <t xml:space="preserve">스페인 현안 18개(사면·DANA·NATO·라이더법 등)</t>
  </si>
  <si>
    <t xml:space="preserve">브라질 현안 18개로 교체(같은 ID 유지): 연립 대통령제, 주 부채 재협상, 사법–정치 충돌, 주거·점거, 비공식 경제, 재정규칙·고금리, 청년 고용, 이주·노동 착취, 지역 의료 격차, 폭염·가뭄, 대홍수, 의원 예산 불투명, Mercosul–EU·관세, 부모소외법, 풍력단지 갈등, 앱 노동, 정보기관 사찰, 청년 정신건강·온라인 도박</t>
  </si>
  <si>
    <t xml:space="preserve">현안_배치, 현안_분포</t>
  </si>
  <si>
    <t xml:space="preserve">국제 협상</t>
  </si>
  <si>
    <r>
      <rPr>
        <sz val="10"/>
        <rFont val="Arial"/>
        <family val="0"/>
        <charset val="1"/>
      </rPr>
      <t xml:space="preserve">NATO </t>
    </r>
    <r>
      <rPr>
        <sz val="10"/>
        <rFont val="WenQuanYi Zen Hei"/>
        <family val="2"/>
      </rPr>
      <t xml:space="preserve">방위비</t>
    </r>
    <r>
      <rPr>
        <sz val="10"/>
        <rFont val="Arial"/>
        <family val="0"/>
        <charset val="1"/>
      </rPr>
      <t xml:space="preserve">·EU </t>
    </r>
    <r>
      <rPr>
        <sz val="10"/>
        <rFont val="WenQuanYi Zen Hei"/>
        <family val="2"/>
      </rPr>
      <t xml:space="preserve">재정규칙</t>
    </r>
    <r>
      <rPr>
        <sz val="10"/>
        <rFont val="Arial"/>
        <family val="0"/>
        <charset val="1"/>
      </rPr>
      <t xml:space="preserve">(</t>
    </r>
    <r>
      <rPr>
        <sz val="10"/>
        <rFont val="WenQuanYi Zen Hei"/>
        <family val="2"/>
      </rPr>
      <t xml:space="preserve">브뤼셀</t>
    </r>
    <r>
      <rPr>
        <sz val="10"/>
        <rFont val="Arial"/>
        <family val="0"/>
        <charset val="1"/>
      </rPr>
      <t xml:space="preserve">)</t>
    </r>
  </si>
  <si>
    <r>
      <rPr>
        <sz val="10"/>
        <rFont val="Arial"/>
        <family val="0"/>
        <charset val="1"/>
      </rPr>
      <t xml:space="preserve">Mercosul–EU </t>
    </r>
    <r>
      <rPr>
        <sz val="10"/>
        <rFont val="WenQuanYi Zen Hei"/>
        <family val="2"/>
      </rPr>
      <t xml:space="preserve">협정 비준과 </t>
    </r>
    <r>
      <rPr>
        <sz val="10"/>
        <rFont val="Arial"/>
        <family val="0"/>
        <charset val="1"/>
      </rPr>
      <t xml:space="preserve">EU </t>
    </r>
    <r>
      <rPr>
        <sz val="10"/>
        <rFont val="WenQuanYi Zen Hei"/>
        <family val="2"/>
      </rPr>
      <t xml:space="preserve">산림전용방지규정</t>
    </r>
    <r>
      <rPr>
        <sz val="10"/>
        <rFont val="Arial"/>
        <family val="0"/>
        <charset val="1"/>
      </rPr>
      <t xml:space="preserve">(EUDR), </t>
    </r>
    <r>
      <rPr>
        <sz val="10"/>
        <rFont val="WenQuanYi Zen Hei"/>
        <family val="2"/>
      </rPr>
      <t xml:space="preserve">관세 압박</t>
    </r>
    <r>
      <rPr>
        <sz val="10"/>
        <rFont val="Arial"/>
        <family val="0"/>
        <charset val="1"/>
      </rPr>
      <t xml:space="preserve">. </t>
    </r>
    <r>
      <rPr>
        <sz val="10"/>
        <rFont val="WenQuanYi Zen Hei"/>
        <family val="2"/>
      </rPr>
      <t xml:space="preserve">무대는 그대로 브뤼셀</t>
    </r>
    <r>
      <rPr>
        <sz val="10"/>
        <rFont val="Arial"/>
        <family val="0"/>
        <charset val="1"/>
      </rPr>
      <t xml:space="preserve">, </t>
    </r>
    <r>
      <rPr>
        <sz val="10"/>
        <rFont val="WenQuanYi Zen Hei"/>
        <family val="2"/>
      </rPr>
      <t xml:space="preserve">반박 근거는 위성 산림 감시 자료</t>
    </r>
  </si>
  <si>
    <r>
      <rPr>
        <sz val="10"/>
        <rFont val="Noto Sans CJK SC"/>
        <family val="2"/>
        <charset val="1"/>
      </rPr>
      <t xml:space="preserve">11</t>
    </r>
    <r>
      <rPr>
        <sz val="10"/>
        <rFont val="WenQuanYi Zen Hei"/>
        <family val="2"/>
      </rPr>
      <t xml:space="preserve">부 </t>
    </r>
    <r>
      <rPr>
        <sz val="10"/>
        <rFont val="Noto Sans CJK SC"/>
        <family val="2"/>
        <charset val="1"/>
      </rPr>
      <t xml:space="preserve">9~11</t>
    </r>
    <r>
      <rPr>
        <sz val="10"/>
        <rFont val="WenQuanYi Zen Hei"/>
        <family val="2"/>
      </rPr>
      <t xml:space="preserve">화</t>
    </r>
    <r>
      <rPr>
        <sz val="10"/>
        <rFont val="Noto Sans CJK SC"/>
        <family val="2"/>
        <charset val="1"/>
      </rPr>
      <t xml:space="preserve">, 12</t>
    </r>
    <r>
      <rPr>
        <sz val="10"/>
        <rFont val="WenQuanYi Zen Hei"/>
        <family val="2"/>
      </rPr>
      <t xml:space="preserve">부 </t>
    </r>
    <r>
      <rPr>
        <sz val="10"/>
        <rFont val="Noto Sans CJK SC"/>
        <family val="2"/>
        <charset val="1"/>
      </rPr>
      <t xml:space="preserve">3</t>
    </r>
    <r>
      <rPr>
        <sz val="10"/>
        <rFont val="WenQuanYi Zen Hei"/>
        <family val="2"/>
      </rPr>
      <t xml:space="preserve">화</t>
    </r>
  </si>
  <si>
    <r>
      <rPr>
        <sz val="10"/>
        <rFont val="Arial"/>
        <family val="0"/>
        <charset val="1"/>
      </rPr>
      <t xml:space="preserve">DANA(</t>
    </r>
    <r>
      <rPr>
        <sz val="10"/>
        <rFont val="WenQuanYi Zen Hei"/>
        <family val="2"/>
      </rPr>
      <t xml:space="preserve">지중해 폭우</t>
    </r>
    <r>
      <rPr>
        <sz val="10"/>
        <rFont val="Arial"/>
        <family val="0"/>
        <charset val="1"/>
      </rPr>
      <t xml:space="preserve">)</t>
    </r>
  </si>
  <si>
    <t xml:space="preserve">남부 대홍수(가상), 민방위법·공공재난사태·특별 예산. 11부 11화로 잘못 적혀 있던 위치를 12부 8화로 통일</t>
  </si>
  <si>
    <r>
      <rPr>
        <sz val="10"/>
        <rFont val="Arial"/>
        <family val="0"/>
        <charset val="1"/>
      </rPr>
      <t xml:space="preserve">12</t>
    </r>
    <r>
      <rPr>
        <sz val="10"/>
        <rFont val="WenQuanYi Zen Hei"/>
        <family val="2"/>
      </rPr>
      <t xml:space="preserve">부 </t>
    </r>
    <r>
      <rPr>
        <sz val="10"/>
        <rFont val="Arial"/>
        <family val="0"/>
        <charset val="1"/>
      </rPr>
      <t xml:space="preserve">8</t>
    </r>
    <r>
      <rPr>
        <sz val="10"/>
        <rFont val="WenQuanYi Zen Hei"/>
        <family val="2"/>
      </rPr>
      <t xml:space="preserve">화</t>
    </r>
    <r>
      <rPr>
        <sz val="10"/>
        <rFont val="Arial"/>
        <family val="0"/>
        <charset val="1"/>
      </rPr>
      <t xml:space="preserve">, </t>
    </r>
    <r>
      <rPr>
        <sz val="10"/>
        <rFont val="WenQuanYi Zen Hei"/>
        <family val="2"/>
      </rPr>
      <t xml:space="preserve">복선</t>
    </r>
    <r>
      <rPr>
        <sz val="10"/>
        <rFont val="Arial"/>
        <family val="0"/>
        <charset val="1"/>
      </rPr>
      <t xml:space="preserve">_</t>
    </r>
    <r>
      <rPr>
        <sz val="10"/>
        <rFont val="WenQuanYi Zen Hei"/>
        <family val="2"/>
      </rPr>
      <t xml:space="preserve">회수</t>
    </r>
  </si>
  <si>
    <t xml:space="preserve">젠더 현안</t>
  </si>
  <si>
    <t xml:space="preserve">성적 자유법의 형량 감경 부작용</t>
  </si>
  <si>
    <t xml:space="preserve">부모소외법이 학대 신고 어머니의 양육권 박탈에 쓰이는 문제(좋은 뜻의 나쁜 법 구조 유지)</t>
  </si>
  <si>
    <r>
      <rPr>
        <sz val="10"/>
        <rFont val="Noto Sans CJK SC"/>
        <family val="2"/>
        <charset val="1"/>
      </rPr>
      <t xml:space="preserve">7</t>
    </r>
    <r>
      <rPr>
        <sz val="10"/>
        <rFont val="WenQuanYi Zen Hei"/>
        <family val="2"/>
      </rPr>
      <t xml:space="preserve">부 </t>
    </r>
    <r>
      <rPr>
        <sz val="10"/>
        <rFont val="Noto Sans CJK SC"/>
        <family val="2"/>
        <charset val="1"/>
      </rPr>
      <t xml:space="preserve">3</t>
    </r>
    <r>
      <rPr>
        <sz val="10"/>
        <rFont val="WenQuanYi Zen Hei"/>
        <family val="2"/>
      </rPr>
      <t xml:space="preserve">화</t>
    </r>
  </si>
  <si>
    <t xml:space="preserve">법령 근거</t>
  </si>
  <si>
    <r>
      <rPr>
        <sz val="10"/>
        <rFont val="Noto Sans CJK SC"/>
        <family val="2"/>
        <charset val="1"/>
      </rPr>
      <t xml:space="preserve">BOE·LO·Ley </t>
    </r>
    <r>
      <rPr>
        <sz val="10"/>
        <rFont val="WenQuanYi Zen Hei"/>
        <family val="2"/>
      </rPr>
      <t xml:space="preserve">번호</t>
    </r>
  </si>
  <si>
    <r>
      <rPr>
        <sz val="10"/>
        <rFont val="Noto Sans CJK SC"/>
        <family val="2"/>
        <charset val="1"/>
      </rPr>
      <t xml:space="preserve">Planalto </t>
    </r>
    <r>
      <rPr>
        <sz val="10"/>
        <rFont val="WenQuanYi Zen Hei"/>
        <family val="2"/>
      </rPr>
      <t xml:space="preserve">법령 사이트 기준 브라질 법령 번호</t>
    </r>
    <r>
      <rPr>
        <sz val="10"/>
        <rFont val="Noto Sans CJK SC"/>
        <family val="2"/>
        <charset val="1"/>
      </rPr>
      <t xml:space="preserve">(</t>
    </r>
    <r>
      <rPr>
        <sz val="10"/>
        <rFont val="WenQuanYi Zen Hei"/>
        <family val="2"/>
      </rPr>
      <t xml:space="preserve">헌법</t>
    </r>
    <r>
      <rPr>
        <sz val="10"/>
        <rFont val="Noto Sans CJK SC"/>
        <family val="2"/>
        <charset val="1"/>
      </rPr>
      <t xml:space="preserve">·Lei·LC)</t>
    </r>
    <r>
      <rPr>
        <sz val="10"/>
        <rFont val="WenQuanYi Zen Hei"/>
        <family val="2"/>
      </rPr>
      <t xml:space="preserve">로 교체</t>
    </r>
    <r>
      <rPr>
        <sz val="10"/>
        <rFont val="Noto Sans CJK SC"/>
        <family val="2"/>
        <charset val="1"/>
      </rPr>
      <t xml:space="preserve">. </t>
    </r>
    <r>
      <rPr>
        <sz val="10"/>
        <rFont val="WenQuanYi Zen Hei"/>
        <family val="2"/>
      </rPr>
      <t xml:space="preserve">스페인판의 </t>
    </r>
    <r>
      <rPr>
        <sz val="10"/>
        <rFont val="Noto Sans CJK SC"/>
        <family val="2"/>
        <charset val="1"/>
      </rPr>
      <t xml:space="preserve">'</t>
    </r>
    <r>
      <rPr>
        <sz val="10"/>
        <rFont val="WenQuanYi Zen Hei"/>
        <family val="2"/>
      </rPr>
      <t xml:space="preserve">검색 확인</t>
    </r>
    <r>
      <rPr>
        <sz val="10"/>
        <rFont val="Noto Sans CJK SC"/>
        <family val="2"/>
        <charset val="1"/>
      </rPr>
      <t xml:space="preserve">' </t>
    </r>
    <r>
      <rPr>
        <sz val="10"/>
        <rFont val="WenQuanYi Zen Hei"/>
        <family val="2"/>
      </rPr>
      <t xml:space="preserve">표시는 모두 </t>
    </r>
    <r>
      <rPr>
        <sz val="10"/>
        <rFont val="Noto Sans CJK SC"/>
        <family val="2"/>
        <charset val="1"/>
      </rPr>
      <t xml:space="preserve">'</t>
    </r>
    <r>
      <rPr>
        <sz val="10"/>
        <rFont val="WenQuanYi Zen Hei"/>
        <family val="2"/>
      </rPr>
      <t xml:space="preserve">기획 시점 지식 — 확인 필요</t>
    </r>
    <r>
      <rPr>
        <sz val="10"/>
        <rFont val="Noto Sans CJK SC"/>
        <family val="2"/>
        <charset val="1"/>
      </rPr>
      <t xml:space="preserve">'</t>
    </r>
    <r>
      <rPr>
        <sz val="10"/>
        <rFont val="WenQuanYi Zen Hei"/>
        <family val="2"/>
      </rPr>
      <t xml:space="preserve">로 되돌림</t>
    </r>
  </si>
  <si>
    <t xml:space="preserve">정치제도, Freire_출처, 아크, 화별목차</t>
  </si>
  <si>
    <t xml:space="preserve">출처 서가</t>
  </si>
  <si>
    <t xml:space="preserve">BOE·AHN·Hemeroteca(BNE)·DLE</t>
  </si>
  <si>
    <r>
      <rPr>
        <sz val="10"/>
        <rFont val="Noto Sans CJK SC"/>
        <family val="2"/>
        <charset val="1"/>
      </rPr>
      <t xml:space="preserve">Planalto·DOU / </t>
    </r>
    <r>
      <rPr>
        <sz val="10"/>
        <rFont val="WenQuanYi Zen Hei"/>
        <family val="2"/>
      </rPr>
      <t xml:space="preserve">국가기록원</t>
    </r>
    <r>
      <rPr>
        <sz val="10"/>
        <rFont val="Noto Sans CJK SC"/>
        <family val="2"/>
        <charset val="1"/>
      </rPr>
      <t xml:space="preserve">·</t>
    </r>
    <r>
      <rPr>
        <sz val="10"/>
        <rFont val="WenQuanYi Zen Hei"/>
        <family val="2"/>
      </rPr>
      <t xml:space="preserve">국가진실위원회 보고서 </t>
    </r>
    <r>
      <rPr>
        <sz val="10"/>
        <rFont val="Noto Sans CJK SC"/>
        <family val="2"/>
        <charset val="1"/>
      </rPr>
      <t xml:space="preserve">/ Hemeroteca Digital Brasileira / VOLP·Michaelis. </t>
    </r>
    <r>
      <rPr>
        <sz val="10"/>
        <rFont val="WenQuanYi Zen Hei"/>
        <family val="2"/>
      </rPr>
      <t xml:space="preserve">현실 동선은 센트로의 헌책방과 </t>
    </r>
    <r>
      <rPr>
        <sz val="10"/>
        <rFont val="Noto Sans CJK SC"/>
        <family val="2"/>
        <charset val="1"/>
      </rPr>
      <t xml:space="preserve">Biblioteca Mário de Andrade</t>
    </r>
  </si>
  <si>
    <r>
      <rPr>
        <sz val="10"/>
        <rFont val="Noto Sans CJK SC"/>
        <family val="2"/>
        <charset val="1"/>
      </rPr>
      <t xml:space="preserve">Freire_</t>
    </r>
    <r>
      <rPr>
        <sz val="10"/>
        <rFont val="WenQuanYi Zen Hei"/>
        <family val="2"/>
      </rPr>
      <t xml:space="preserve">출처</t>
    </r>
  </si>
  <si>
    <t xml:space="preserve">tú / usted / vosotros / ustedes</t>
  </si>
  <si>
    <r>
      <rPr>
        <sz val="10"/>
        <rFont val="Noto Sans CJK SC"/>
        <family val="2"/>
        <charset val="1"/>
      </rPr>
      <t xml:space="preserve">você / o senhor·a senhora / vocês / os senhores. Larissa→Dom Pedro 'o senhor' </t>
    </r>
    <r>
      <rPr>
        <sz val="10"/>
        <rFont val="WenQuanYi Zen Hei"/>
        <family val="2"/>
      </rPr>
      <t xml:space="preserve">유지 → </t>
    </r>
    <r>
      <rPr>
        <sz val="10"/>
        <rFont val="Noto Sans CJK SC"/>
        <family val="2"/>
        <charset val="1"/>
      </rPr>
      <t xml:space="preserve">12</t>
    </r>
    <r>
      <rPr>
        <sz val="10"/>
        <rFont val="WenQuanYi Zen Hei"/>
        <family val="2"/>
      </rPr>
      <t xml:space="preserve">부 </t>
    </r>
    <r>
      <rPr>
        <sz val="10"/>
        <rFont val="Noto Sans CJK SC"/>
        <family val="2"/>
        <charset val="1"/>
      </rPr>
      <t xml:space="preserve">1</t>
    </r>
    <r>
      <rPr>
        <sz val="10"/>
        <rFont val="WenQuanYi Zen Hei"/>
        <family val="2"/>
      </rPr>
      <t xml:space="preserve">화 장례식에서 처음 </t>
    </r>
    <r>
      <rPr>
        <sz val="10"/>
        <rFont val="Noto Sans CJK SC"/>
        <family val="2"/>
        <charset val="1"/>
      </rPr>
      <t xml:space="preserve">'você'</t>
    </r>
  </si>
  <si>
    <t xml:space="preserve">호칭규칙, DomPedro_죽음</t>
  </si>
  <si>
    <t xml:space="preserve">욕 배정</t>
  </si>
  <si>
    <t xml:space="preserve">Mentecata·Recluta·Melona·Pánfila</t>
  </si>
  <si>
    <r>
      <rPr>
        <sz val="10"/>
        <rFont val="Noto Sans CJK SC"/>
        <family val="2"/>
        <charset val="1"/>
      </rPr>
      <t xml:space="preserve">Mentecapta·Recruta·Mané·Pamonha. </t>
    </r>
    <r>
      <rPr>
        <sz val="10"/>
        <rFont val="WenQuanYi Zen Hei"/>
        <family val="2"/>
      </rPr>
      <t xml:space="preserve">제외어</t>
    </r>
    <r>
      <rPr>
        <sz val="10"/>
        <rFont val="Noto Sans CJK SC"/>
        <family val="2"/>
        <charset val="1"/>
      </rPr>
      <t xml:space="preserve">: porra, caralho</t>
    </r>
  </si>
  <si>
    <r>
      <rPr>
        <sz val="10"/>
        <rFont val="Noto Sans CJK SC"/>
        <family val="2"/>
        <charset val="1"/>
      </rPr>
      <t xml:space="preserve">Larissa_</t>
    </r>
    <r>
      <rPr>
        <sz val="10"/>
        <rFont val="WenQuanYi Zen Hei"/>
        <family val="2"/>
      </rPr>
      <t xml:space="preserve">폭발과욕</t>
    </r>
  </si>
  <si>
    <t xml:space="preserve">스페인 고전(세르반테스·만리케·케베도·로르카·마차도)</t>
  </si>
  <si>
    <t xml:space="preserve">포르투갈어·브라질 공유 저작물: Marta=속담, Dom Pedro=카몽이스·곤사우베스 지아스(망명의 시), Freire=에우클리지스 다 쿠냐, Machado=자기 작품·빌락, Rafael=후이 바르보자</t>
  </si>
  <si>
    <t xml:space="preserve">시그니처 대사</t>
  </si>
  <si>
    <t xml:space="preserve">«No está mal» «Sin novedad» «Búscalo tú» «Sentaos, que os pongo algo»</t>
  </si>
  <si>
    <t xml:space="preserve">«Não é ruim» «Sem novidade no quilombo» «Procure você» «Senta aí, que eu trago alguma coisa»</t>
  </si>
  <si>
    <t xml:space="preserve">가상 인물·기관</t>
  </si>
  <si>
    <t xml:space="preserve">Salvat·Quintana·Ochoa·Remedios·Marisol·Encarna·Rueda·Banco Ibérico·Cenit</t>
  </si>
  <si>
    <r>
      <rPr>
        <sz val="10"/>
        <rFont val="Noto Sans CJK SC"/>
        <family val="2"/>
        <charset val="1"/>
      </rPr>
      <t xml:space="preserve">Salgado·Quintela·Barros·Dona Conceição·Rosângela·Dona Cida·Tavares·Banco Atlântico·Zênite. 1</t>
    </r>
    <r>
      <rPr>
        <sz val="10"/>
        <rFont val="WenQuanYi Zen Hei"/>
        <family val="2"/>
      </rPr>
      <t xml:space="preserve">부 사건</t>
    </r>
    <r>
      <rPr>
        <sz val="10"/>
        <rFont val="Noto Sans CJK SC"/>
        <family val="2"/>
        <charset val="1"/>
      </rPr>
      <t xml:space="preserve">6 </t>
    </r>
    <r>
      <rPr>
        <sz val="10"/>
        <rFont val="WenQuanYi Zen Hei"/>
        <family val="2"/>
      </rPr>
      <t xml:space="preserve">의뢰인은 주인공과 이름이 겹쳐 </t>
    </r>
    <r>
      <rPr>
        <sz val="10"/>
        <rFont val="Noto Sans CJK SC"/>
        <family val="2"/>
        <charset val="1"/>
      </rPr>
      <t xml:space="preserve">Seu Jurandir</t>
    </r>
    <r>
      <rPr>
        <sz val="10"/>
        <rFont val="WenQuanYi Zen Hei"/>
        <family val="2"/>
      </rPr>
      <t xml:space="preserve">로 변경</t>
    </r>
  </si>
  <si>
    <t xml:space="preserve">화별목차, 아크</t>
  </si>
  <si>
    <t xml:space="preserve">가상 정당</t>
  </si>
  <si>
    <t xml:space="preserve">UCN·PPS·HU(Hispania Unida)·TA·TB</t>
  </si>
  <si>
    <r>
      <rPr>
        <sz val="10"/>
        <rFont val="Arial"/>
        <family val="0"/>
        <charset val="1"/>
      </rPr>
      <t xml:space="preserve">UCN·PPS </t>
    </r>
    <r>
      <rPr>
        <sz val="10"/>
        <rFont val="WenQuanYi Zen Hei"/>
        <family val="2"/>
      </rPr>
      <t xml:space="preserve">유지</t>
    </r>
    <r>
      <rPr>
        <sz val="10"/>
        <rFont val="Arial"/>
        <family val="0"/>
        <charset val="1"/>
      </rPr>
      <t xml:space="preserve">, HU=Honra e União, </t>
    </r>
    <r>
      <rPr>
        <sz val="10"/>
        <rFont val="WenQuanYi Zen Hei"/>
        <family val="2"/>
      </rPr>
      <t xml:space="preserve">중도 연합 </t>
    </r>
    <r>
      <rPr>
        <sz val="10"/>
        <rFont val="Arial"/>
        <family val="0"/>
        <charset val="1"/>
      </rPr>
      <t xml:space="preserve">PCN </t>
    </r>
    <r>
      <rPr>
        <sz val="10"/>
        <rFont val="WenQuanYi Zen Hei"/>
        <family val="2"/>
      </rPr>
      <t xml:space="preserve">추가</t>
    </r>
    <r>
      <rPr>
        <sz val="10"/>
        <rFont val="Arial"/>
        <family val="0"/>
        <charset val="1"/>
      </rPr>
      <t xml:space="preserve">, TA/TB=Frente Regional A/B</t>
    </r>
  </si>
  <si>
    <t xml:space="preserve">캐릭터 시트 정합</t>
  </si>
  <si>
    <r>
      <rPr>
        <sz val="10"/>
        <rFont val="Arial"/>
        <family val="0"/>
        <charset val="1"/>
      </rPr>
      <t xml:space="preserve">Dom Pedro </t>
    </r>
    <r>
      <rPr>
        <sz val="10"/>
        <rFont val="WenQuanYi Zen Hei"/>
        <family val="2"/>
      </rPr>
      <t xml:space="preserve">사망 </t>
    </r>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화</t>
    </r>
    <r>
      <rPr>
        <sz val="10"/>
        <rFont val="Arial"/>
        <family val="0"/>
        <charset val="1"/>
      </rPr>
      <t xml:space="preserve">, </t>
    </r>
    <r>
      <rPr>
        <sz val="10"/>
        <rFont val="WenQuanYi Zen Hei"/>
        <family val="2"/>
      </rPr>
      <t xml:space="preserve">현안 담당 </t>
    </r>
    <r>
      <rPr>
        <sz val="10"/>
        <rFont val="Arial"/>
        <family val="0"/>
        <charset val="1"/>
      </rPr>
      <t xml:space="preserve">TBD, </t>
    </r>
    <r>
      <rPr>
        <sz val="10"/>
        <rFont val="WenQuanYi Zen Hei"/>
        <family val="2"/>
      </rPr>
      <t xml:space="preserve">전 소속 이름이 주인공 성과 겹침</t>
    </r>
  </si>
  <si>
    <t xml:space="preserve">사망 11부 12화로 통일, 현안 담당 ID 기입, 전 소속을 Aguiar &amp; Salgado·Barros &amp; Teixeira로 변경, Dom Pedro 폐위 경위(1889 공화정 쿠데타) 정정</t>
  </si>
  <si>
    <t xml:space="preserve">파일명</t>
  </si>
  <si>
    <t xml:space="preserve">Biblia_de_Personajes_Rio_v1.xlsx</t>
  </si>
  <si>
    <t xml:space="preserve">Biblia_de_Personagens_SaoPaulo_v2.xlsx</t>
  </si>
  <si>
    <t xml:space="preserve">시범 장면 탭</t>
  </si>
  <si>
    <r>
      <rPr>
        <sz val="10"/>
        <rFont val="Noto Sans CJK SC"/>
        <family val="2"/>
        <charset val="1"/>
      </rPr>
      <t xml:space="preserve">1</t>
    </r>
    <r>
      <rPr>
        <sz val="10"/>
        <rFont val="WenQuanYi Zen Hei"/>
        <family val="2"/>
      </rPr>
      <t xml:space="preserve">부</t>
    </r>
    <r>
      <rPr>
        <sz val="10"/>
        <rFont val="Noto Sans CJK SC"/>
        <family val="2"/>
        <charset val="1"/>
      </rPr>
      <t xml:space="preserve">_</t>
    </r>
    <r>
      <rPr>
        <sz val="10"/>
        <rFont val="WenQuanYi Zen Hei"/>
        <family val="2"/>
      </rPr>
      <t xml:space="preserve">시범대사 </t>
    </r>
    <r>
      <rPr>
        <sz val="10"/>
        <rFont val="Noto Sans CJK SC"/>
        <family val="2"/>
        <charset val="1"/>
      </rPr>
      <t xml:space="preserve">(Larissa 1</t>
    </r>
    <r>
      <rPr>
        <sz val="10"/>
        <rFont val="WenQuanYi Zen Hei"/>
        <family val="2"/>
      </rPr>
      <t xml:space="preserve">차 폭발 </t>
    </r>
    <r>
      <rPr>
        <sz val="10"/>
        <rFont val="Noto Sans CJK SC"/>
        <family val="2"/>
        <charset val="1"/>
      </rPr>
      <t xml:space="preserve">22</t>
    </r>
    <r>
      <rPr>
        <sz val="10"/>
        <rFont val="WenQuanYi Zen Hei"/>
        <family val="2"/>
      </rPr>
      <t xml:space="preserve">턴 샘플</t>
    </r>
    <r>
      <rPr>
        <sz val="10"/>
        <rFont val="Noto Sans CJK SC"/>
        <family val="2"/>
        <charset val="1"/>
      </rPr>
      <t xml:space="preserve">)</t>
    </r>
  </si>
  <si>
    <r>
      <rPr>
        <sz val="10"/>
        <rFont val="WenQuanYi Zen Hei"/>
        <family val="2"/>
      </rPr>
      <t xml:space="preserve">요청에 따라 탭 삭제</t>
    </r>
    <r>
      <rPr>
        <sz val="10"/>
        <rFont val="Noto Sans CJK SC"/>
        <family val="2"/>
        <charset val="1"/>
      </rPr>
      <t xml:space="preserve">, </t>
    </r>
    <r>
      <rPr>
        <sz val="10"/>
        <rFont val="WenQuanYi Zen Hei"/>
        <family val="2"/>
      </rPr>
      <t xml:space="preserve">개요 목차에서도 제거</t>
    </r>
  </si>
  <si>
    <r>
      <rPr>
        <sz val="10"/>
        <rFont val="WenQuanYi Zen Hei"/>
        <family val="2"/>
      </rPr>
      <t xml:space="preserve">개요</t>
    </r>
    <r>
      <rPr>
        <sz val="10"/>
        <rFont val="Noto Sans CJK SC"/>
        <family val="2"/>
        <charset val="1"/>
      </rPr>
      <t xml:space="preserve">, </t>
    </r>
    <r>
      <rPr>
        <sz val="10"/>
        <rFont val="WenQuanYi Zen Hei"/>
        <family val="2"/>
      </rPr>
      <t xml:space="preserve">대화문규칙</t>
    </r>
  </si>
  <si>
    <r>
      <rPr>
        <b val="true"/>
        <sz val="10"/>
        <rFont val="Arial"/>
        <family val="0"/>
        <charset val="1"/>
      </rPr>
      <t xml:space="preserve">2. </t>
    </r>
    <r>
      <rPr>
        <b val="true"/>
        <sz val="10"/>
        <rFont val="WenQuanYi Zen Hei"/>
        <family val="2"/>
      </rPr>
      <t xml:space="preserve">미결 사항 </t>
    </r>
    <r>
      <rPr>
        <b val="true"/>
        <sz val="10"/>
        <rFont val="Arial"/>
        <family val="0"/>
        <charset val="1"/>
      </rPr>
      <t xml:space="preserve">(</t>
    </r>
    <r>
      <rPr>
        <b val="true"/>
        <sz val="10"/>
        <rFont val="WenQuanYi Zen Hei"/>
        <family val="2"/>
      </rPr>
      <t xml:space="preserve">확정 필요</t>
    </r>
    <r>
      <rPr>
        <b val="true"/>
        <sz val="10"/>
        <rFont val="Arial"/>
        <family val="0"/>
        <charset val="1"/>
      </rPr>
      <t xml:space="preserve">)</t>
    </r>
  </si>
  <si>
    <t xml:space="preserve">제안</t>
  </si>
  <si>
    <t xml:space="preserve">관련 시트</t>
  </si>
  <si>
    <t xml:space="preserve">대본 파일(docx)</t>
  </si>
  <si>
    <t xml:space="preserve">저장소의 7부 8~12화 대본(docx)은 아직 스페인어·스페인 설정 그대로다.</t>
  </si>
  <si>
    <t xml:space="preserve">이 워크북 기준으로 포르투갈어 대본을 다시 쓰거나 번역 (별도 작업)</t>
  </si>
  <si>
    <t xml:space="preserve">턴_설계 13부 열</t>
  </si>
  <si>
    <t xml:space="preserve">턴 설계 표는 1~12부 열만 있고 13부 열이 없다(스페인판 12부 시절 구조). 아크 13부의 대화량 수식은 '전체' 행을 가리킨다.</t>
  </si>
  <si>
    <r>
      <rPr>
        <sz val="10"/>
        <rFont val="Noto Sans CJK SC"/>
        <family val="2"/>
        <charset val="1"/>
      </rPr>
      <t xml:space="preserve">13</t>
    </r>
    <r>
      <rPr>
        <sz val="10"/>
        <rFont val="WenQuanYi Zen Hei"/>
        <family val="2"/>
      </rPr>
      <t xml:space="preserve">부 열을 추가하고 점유율을 새 인물 기준으로 다시 잡기</t>
    </r>
  </si>
  <si>
    <t xml:space="preserve">턴_설계, 아크_구성계획</t>
  </si>
  <si>
    <r>
      <rPr>
        <sz val="10"/>
        <rFont val="Arial"/>
        <family val="0"/>
        <charset val="1"/>
      </rPr>
      <t xml:space="preserve">Freire </t>
    </r>
    <r>
      <rPr>
        <sz val="10"/>
        <rFont val="WenQuanYi Zen Hei"/>
        <family val="2"/>
      </rPr>
      <t xml:space="preserve">카드의 범위</t>
    </r>
  </si>
  <si>
    <t xml:space="preserve">카드를 전 화(156화)에 넣을지, Freire 등장 화에만 넣을지.</t>
  </si>
  <si>
    <t xml:space="preserve">등장 화에만 넣고, 미등장 화는 Larissa가 사전(VOLP·Michaelis)을 찾는 짧은 대사로 대체</t>
  </si>
  <si>
    <r>
      <rPr>
        <sz val="10"/>
        <rFont val="Noto Sans CJK SC"/>
        <family val="2"/>
        <charset val="1"/>
      </rPr>
      <t xml:space="preserve">Larissa → </t>
    </r>
    <r>
      <rPr>
        <sz val="10"/>
        <rFont val="WenQuanYi Zen Hei"/>
        <family val="2"/>
      </rPr>
      <t xml:space="preserve">주력 </t>
    </r>
    <r>
      <rPr>
        <sz val="10"/>
        <rFont val="Noto Sans CJK SC"/>
        <family val="2"/>
        <charset val="1"/>
      </rPr>
      <t xml:space="preserve">4</t>
    </r>
    <r>
      <rPr>
        <sz val="10"/>
        <rFont val="WenQuanYi Zen Hei"/>
        <family val="2"/>
      </rPr>
      <t xml:space="preserve">인 호칭 전환</t>
    </r>
  </si>
  <si>
    <r>
      <rPr>
        <sz val="10"/>
        <rFont val="Arial"/>
        <family val="0"/>
        <charset val="1"/>
      </rPr>
      <t xml:space="preserve">Dom Pedro</t>
    </r>
    <r>
      <rPr>
        <sz val="10"/>
        <rFont val="WenQuanYi Zen Hei"/>
        <family val="2"/>
      </rPr>
      <t xml:space="preserve">에게만 </t>
    </r>
    <r>
      <rPr>
        <sz val="10"/>
        <rFont val="Arial"/>
        <family val="0"/>
        <charset val="1"/>
      </rPr>
      <t xml:space="preserve">12</t>
    </r>
    <r>
      <rPr>
        <sz val="10"/>
        <rFont val="WenQuanYi Zen Hei"/>
        <family val="2"/>
      </rPr>
      <t xml:space="preserve">부 </t>
    </r>
    <r>
      <rPr>
        <sz val="10"/>
        <rFont val="Arial"/>
        <family val="0"/>
        <charset val="1"/>
      </rPr>
      <t xml:space="preserve">1</t>
    </r>
    <r>
      <rPr>
        <sz val="10"/>
        <rFont val="WenQuanYi Zen Hei"/>
        <family val="2"/>
      </rPr>
      <t xml:space="preserve">화에서 </t>
    </r>
    <r>
      <rPr>
        <sz val="10"/>
        <rFont val="Arial"/>
        <family val="0"/>
        <charset val="1"/>
      </rPr>
      <t xml:space="preserve">você</t>
    </r>
    <r>
      <rPr>
        <sz val="10"/>
        <rFont val="WenQuanYi Zen Hei"/>
        <family val="2"/>
      </rPr>
      <t xml:space="preserve">로 전환한다는 것 외에</t>
    </r>
    <r>
      <rPr>
        <sz val="10"/>
        <rFont val="Arial"/>
        <family val="0"/>
        <charset val="1"/>
      </rPr>
      <t xml:space="preserve">, </t>
    </r>
    <r>
      <rPr>
        <sz val="10"/>
        <rFont val="WenQuanYi Zen Hei"/>
        <family val="2"/>
      </rPr>
      <t xml:space="preserve">다른 인물에게 언제 </t>
    </r>
    <r>
      <rPr>
        <sz val="10"/>
        <rFont val="Arial"/>
        <family val="0"/>
        <charset val="1"/>
      </rPr>
      <t xml:space="preserve">você</t>
    </r>
    <r>
      <rPr>
        <sz val="10"/>
        <rFont val="WenQuanYi Zen Hei"/>
        <family val="2"/>
      </rPr>
      <t xml:space="preserve">로 넘어가는지 미정</t>
    </r>
    <r>
      <rPr>
        <sz val="10"/>
        <rFont val="Arial"/>
        <family val="0"/>
        <charset val="1"/>
      </rPr>
      <t xml:space="preserve">.</t>
    </r>
  </si>
  <si>
    <r>
      <rPr>
        <sz val="10"/>
        <rFont val="Noto Sans CJK SC"/>
        <family val="2"/>
        <charset val="1"/>
      </rPr>
      <t xml:space="preserve">6</t>
    </r>
    <r>
      <rPr>
        <sz val="10"/>
        <rFont val="WenQuanYi Zen Hei"/>
        <family val="2"/>
      </rPr>
      <t xml:space="preserve">부 만남 이후 자연스럽게 </t>
    </r>
    <r>
      <rPr>
        <sz val="10"/>
        <rFont val="Noto Sans CJK SC"/>
        <family val="2"/>
        <charset val="1"/>
      </rPr>
      <t xml:space="preserve">você (Dom Pedro·Zumbi·Sérgio·Freire</t>
    </r>
    <r>
      <rPr>
        <sz val="10"/>
        <rFont val="WenQuanYi Zen Hei"/>
        <family val="2"/>
      </rPr>
      <t xml:space="preserve">는 </t>
    </r>
    <r>
      <rPr>
        <sz val="10"/>
        <rFont val="Noto Sans CJK SC"/>
        <family val="2"/>
        <charset val="1"/>
      </rPr>
      <t xml:space="preserve">o senhor </t>
    </r>
    <r>
      <rPr>
        <sz val="10"/>
        <rFont val="WenQuanYi Zen Hei"/>
        <family val="2"/>
      </rPr>
      <t xml:space="preserve">유지</t>
    </r>
    <r>
      <rPr>
        <sz val="10"/>
        <rFont val="Noto Sans CJK SC"/>
        <family val="2"/>
        <charset val="1"/>
      </rPr>
      <t xml:space="preserve">)</t>
    </r>
  </si>
  <si>
    <t xml:space="preserve">경과 연수 가정</t>
  </si>
  <si>
    <r>
      <rPr>
        <sz val="10"/>
        <rFont val="Arial"/>
        <family val="0"/>
        <charset val="1"/>
      </rPr>
      <t xml:space="preserve">1</t>
    </r>
    <r>
      <rPr>
        <sz val="10"/>
        <rFont val="WenQuanYi Zen Hei"/>
        <family val="2"/>
      </rPr>
      <t xml:space="preserve">부→</t>
    </r>
    <r>
      <rPr>
        <sz val="10"/>
        <rFont val="Arial"/>
        <family val="0"/>
        <charset val="1"/>
      </rPr>
      <t xml:space="preserve">11</t>
    </r>
    <r>
      <rPr>
        <sz val="10"/>
        <rFont val="WenQuanYi Zen Hei"/>
        <family val="2"/>
      </rPr>
      <t xml:space="preserve">부 </t>
    </r>
    <r>
      <rPr>
        <sz val="10"/>
        <rFont val="Arial"/>
        <family val="0"/>
        <charset val="1"/>
      </rPr>
      <t xml:space="preserve">6</t>
    </r>
    <r>
      <rPr>
        <sz val="10"/>
        <rFont val="WenQuanYi Zen Hei"/>
        <family val="2"/>
      </rPr>
      <t xml:space="preserve">년 가정</t>
    </r>
    <r>
      <rPr>
        <sz val="10"/>
        <rFont val="Arial"/>
        <family val="0"/>
        <charset val="1"/>
      </rPr>
      <t xml:space="preserve">(Dom Pedro 65→71</t>
    </r>
    <r>
      <rPr>
        <sz val="10"/>
        <rFont val="WenQuanYi Zen Hei"/>
        <family val="2"/>
      </rPr>
      <t xml:space="preserve">세</t>
    </r>
    <r>
      <rPr>
        <sz val="10"/>
        <rFont val="Arial"/>
        <family val="0"/>
        <charset val="1"/>
      </rPr>
      <t xml:space="preserve">). </t>
    </r>
    <r>
      <rPr>
        <sz val="10"/>
        <rFont val="WenQuanYi Zen Hei"/>
        <family val="2"/>
      </rPr>
      <t xml:space="preserve">부활자의 나이를 </t>
    </r>
    <r>
      <rPr>
        <sz val="10"/>
        <rFont val="Arial"/>
        <family val="0"/>
        <charset val="1"/>
      </rPr>
      <t xml:space="preserve">'</t>
    </r>
    <r>
      <rPr>
        <sz val="10"/>
        <rFont val="WenQuanYi Zen Hei"/>
        <family val="2"/>
      </rPr>
      <t xml:space="preserve">죽을 때 나이</t>
    </r>
    <r>
      <rPr>
        <sz val="10"/>
        <rFont val="Arial"/>
        <family val="0"/>
        <charset val="1"/>
      </rPr>
      <t xml:space="preserve">'</t>
    </r>
    <r>
      <rPr>
        <sz val="10"/>
        <rFont val="WenQuanYi Zen Hei"/>
        <family val="2"/>
      </rPr>
      <t xml:space="preserve">로 할지 </t>
    </r>
    <r>
      <rPr>
        <sz val="10"/>
        <rFont val="Arial"/>
        <family val="0"/>
        <charset val="1"/>
      </rPr>
      <t xml:space="preserve">'</t>
    </r>
    <r>
      <rPr>
        <sz val="10"/>
        <rFont val="WenQuanYi Zen Hei"/>
        <family val="2"/>
      </rPr>
      <t xml:space="preserve">되살아난 뒤 몸 나이</t>
    </r>
    <r>
      <rPr>
        <sz val="10"/>
        <rFont val="Arial"/>
        <family val="0"/>
        <charset val="1"/>
      </rPr>
      <t xml:space="preserve">'</t>
    </r>
    <r>
      <rPr>
        <sz val="10"/>
        <rFont val="WenQuanYi Zen Hei"/>
        <family val="2"/>
      </rPr>
      <t xml:space="preserve">로 할지</t>
    </r>
    <r>
      <rPr>
        <sz val="10"/>
        <rFont val="Arial"/>
        <family val="0"/>
        <charset val="1"/>
      </rPr>
      <t xml:space="preserve">.</t>
    </r>
  </si>
  <si>
    <t xml:space="preserve">확정 시 개요!C11만 수정</t>
  </si>
  <si>
    <t xml:space="preserve">정치 연도</t>
  </si>
  <si>
    <t xml:space="preserve">시장·시의원 선거(8부)와 총선(10부) 사이가 2년이라 7~10부의 경과 시간이 스페인판보다 길어진다.</t>
  </si>
  <si>
    <t xml:space="preserve">가상 연도를 명시할지(예: 지방선거 2028·총선 2030) 연도 없이 '2년 뒤'로만 쓸지 결정</t>
  </si>
  <si>
    <r>
      <rPr>
        <sz val="10"/>
        <rFont val="Arial"/>
        <family val="0"/>
        <charset val="1"/>
      </rPr>
      <t xml:space="preserve">12</t>
    </r>
    <r>
      <rPr>
        <sz val="10"/>
        <rFont val="WenQuanYi Zen Hei"/>
        <family val="2"/>
      </rPr>
      <t xml:space="preserve">부</t>
    </r>
    <r>
      <rPr>
        <sz val="10"/>
        <rFont val="Arial"/>
        <family val="0"/>
        <charset val="1"/>
      </rPr>
      <t xml:space="preserve">_</t>
    </r>
    <r>
      <rPr>
        <sz val="10"/>
        <rFont val="WenQuanYi Zen Hei"/>
        <family val="2"/>
      </rPr>
      <t xml:space="preserve">구성</t>
    </r>
    <r>
      <rPr>
        <sz val="10"/>
        <rFont val="Arial"/>
        <family val="0"/>
        <charset val="1"/>
      </rPr>
      <t xml:space="preserve">, </t>
    </r>
    <r>
      <rPr>
        <sz val="10"/>
        <rFont val="WenQuanYi Zen Hei"/>
        <family val="2"/>
      </rPr>
      <t xml:space="preserve">아크</t>
    </r>
    <r>
      <rPr>
        <sz val="10"/>
        <rFont val="Arial"/>
        <family val="0"/>
        <charset val="1"/>
      </rPr>
      <t xml:space="preserve">_</t>
    </r>
    <r>
      <rPr>
        <sz val="10"/>
        <rFont val="WenQuanYi Zen Hei"/>
        <family val="2"/>
      </rPr>
      <t xml:space="preserve">구성계획</t>
    </r>
  </si>
  <si>
    <t xml:space="preserve">법령·통계 확인</t>
  </si>
  <si>
    <t xml:space="preserve">브라질 법령 번호·조항·수치는 기획 시점 지식 기준. 특히 주 부채 재협상법, 앱 노동 법안, 초고소득 과세법, Mercosul–EU 비준·EUDR 일정은 변동이 잦다.</t>
  </si>
  <si>
    <t xml:space="preserve">교재 반영 전 Planalto·TSE·IBGE·중앙은행 자료로 확인</t>
  </si>
  <si>
    <t xml:space="preserve">정치제도, 현안_배치, Freire_출처</t>
  </si>
  <si>
    <t xml:space="preserve">부통령 러닝메이트</t>
  </si>
  <si>
    <r>
      <rPr>
        <sz val="10"/>
        <rFont val="Noto Sans CJK SC"/>
        <family val="2"/>
        <charset val="1"/>
      </rPr>
      <t xml:space="preserve">10</t>
    </r>
    <r>
      <rPr>
        <sz val="10"/>
        <rFont val="WenQuanYi Zen Hei"/>
        <family val="2"/>
      </rPr>
      <t xml:space="preserve">부에서 연합 정당 출신 부통령</t>
    </r>
    <r>
      <rPr>
        <sz val="10"/>
        <rFont val="Noto Sans CJK SC"/>
        <family val="2"/>
        <charset val="1"/>
      </rPr>
      <t xml:space="preserve">(</t>
    </r>
    <r>
      <rPr>
        <sz val="10"/>
        <rFont val="WenQuanYi Zen Hei"/>
        <family val="2"/>
      </rPr>
      <t xml:space="preserve">가상</t>
    </r>
    <r>
      <rPr>
        <sz val="10"/>
        <rFont val="Noto Sans CJK SC"/>
        <family val="2"/>
        <charset val="1"/>
      </rPr>
      <t xml:space="preserve">)</t>
    </r>
    <r>
      <rPr>
        <sz val="10"/>
        <rFont val="WenQuanYi Zen Hei"/>
        <family val="2"/>
      </rPr>
      <t xml:space="preserve">을 영입하는 설정만 있고 인물 정보가 없다</t>
    </r>
    <r>
      <rPr>
        <sz val="10"/>
        <rFont val="Noto Sans CJK SC"/>
        <family val="2"/>
        <charset val="1"/>
      </rPr>
      <t xml:space="preserve">.</t>
    </r>
  </si>
  <si>
    <t xml:space="preserve">이름·정당·말투를 부록으로 확정 (탄핵 정국에서 역할 부여 가능)</t>
  </si>
  <si>
    <r>
      <rPr>
        <sz val="10"/>
        <rFont val="Arial"/>
        <family val="0"/>
        <charset val="1"/>
      </rPr>
      <t xml:space="preserve">Casa Comum + PPS + PCN </t>
    </r>
    <r>
      <rPr>
        <sz val="10"/>
        <rFont val="WenQuanYi Zen Hei"/>
        <family val="2"/>
      </rPr>
      <t xml:space="preserve">친정부파 </t>
    </r>
    <r>
      <rPr>
        <sz val="10"/>
        <rFont val="Arial"/>
        <family val="0"/>
        <charset val="1"/>
      </rPr>
      <t xml:space="preserve">+ TA</t>
    </r>
    <r>
      <rPr>
        <sz val="10"/>
        <rFont val="WenQuanYi Zen Hei"/>
        <family val="2"/>
      </rPr>
      <t xml:space="preserve">의 연립 </t>
    </r>
    <r>
      <rPr>
        <sz val="10"/>
        <rFont val="Arial"/>
        <family val="0"/>
        <charset val="1"/>
      </rPr>
      <t xml:space="preserve">(</t>
    </r>
    <r>
      <rPr>
        <sz val="10"/>
        <rFont val="WenQuanYi Zen Hei"/>
        <family val="2"/>
      </rPr>
      <t xml:space="preserve">현재 설정</t>
    </r>
    <r>
      <rPr>
        <sz val="10"/>
        <rFont val="Arial"/>
        <family val="0"/>
        <charset val="1"/>
      </rPr>
      <t xml:space="preserve">)</t>
    </r>
  </si>
  <si>
    <r>
      <rPr>
        <sz val="10"/>
        <rFont val="Arial"/>
        <family val="0"/>
        <charset val="1"/>
      </rPr>
      <t xml:space="preserve">PCN </t>
    </r>
    <r>
      <rPr>
        <sz val="10"/>
        <rFont val="WenQuanYi Zen Hei"/>
        <family val="2"/>
      </rPr>
      <t xml:space="preserve">이탈파를 얼마나 크게 둘지</t>
    </r>
    <r>
      <rPr>
        <sz val="10"/>
        <rFont val="Arial"/>
        <family val="0"/>
        <charset val="1"/>
      </rPr>
      <t xml:space="preserve">, </t>
    </r>
    <r>
      <rPr>
        <sz val="10"/>
        <rFont val="WenQuanYi Zen Hei"/>
        <family val="2"/>
      </rPr>
      <t xml:space="preserve">장관직을 몇 개 나눠 줄지 결정</t>
    </r>
  </si>
  <si>
    <t xml:space="preserve">대선 득표·표 이동률·하원 의석은 교육용 가상 수치.</t>
  </si>
  <si>
    <t xml:space="preserve">드라마 효과에 맞춰 조정 가능 (정치경로_의석의 파란 셀)</t>
  </si>
  <si>
    <t xml:space="preserve">부활의 규칙</t>
  </si>
  <si>
    <t xml:space="preserve">부활 6인이 왜 되살아났는지, 서로의 과거(황제·노예제·킬롬부·황금법)를 어떻게 마주하는지의 규칙이 미정.</t>
  </si>
  <si>
    <r>
      <rPr>
        <sz val="10"/>
        <rFont val="Noto Sans CJK SC"/>
        <family val="2"/>
        <charset val="1"/>
      </rPr>
      <t xml:space="preserve">Dom Pedro–Zumbi–Isabel </t>
    </r>
    <r>
      <rPr>
        <sz val="10"/>
        <rFont val="WenQuanYi Zen Hei"/>
        <family val="2"/>
      </rPr>
      <t xml:space="preserve">삼각 관계를 </t>
    </r>
    <r>
      <rPr>
        <sz val="10"/>
        <rFont val="Noto Sans CJK SC"/>
        <family val="2"/>
        <charset val="1"/>
      </rPr>
      <t xml:space="preserve">12</t>
    </r>
    <r>
      <rPr>
        <sz val="10"/>
        <rFont val="WenQuanYi Zen Hei"/>
        <family val="2"/>
      </rPr>
      <t xml:space="preserve">부 </t>
    </r>
    <r>
      <rPr>
        <sz val="10"/>
        <rFont val="Noto Sans CJK SC"/>
        <family val="2"/>
        <charset val="1"/>
      </rPr>
      <t xml:space="preserve">10</t>
    </r>
    <r>
      <rPr>
        <sz val="10"/>
        <rFont val="WenQuanYi Zen Hei"/>
        <family val="2"/>
      </rPr>
      <t xml:space="preserve">화</t>
    </r>
    <r>
      <rPr>
        <sz val="10"/>
        <rFont val="Noto Sans CJK SC"/>
        <family val="2"/>
        <charset val="1"/>
      </rPr>
      <t xml:space="preserve">·13</t>
    </r>
    <r>
      <rPr>
        <sz val="10"/>
        <rFont val="WenQuanYi Zen Hei"/>
        <family val="2"/>
      </rPr>
      <t xml:space="preserve">부 </t>
    </r>
    <r>
      <rPr>
        <sz val="10"/>
        <rFont val="Noto Sans CJK SC"/>
        <family val="2"/>
        <charset val="1"/>
      </rPr>
      <t xml:space="preserve">9</t>
    </r>
    <r>
      <rPr>
        <sz val="10"/>
        <rFont val="WenQuanYi Zen Hei"/>
        <family val="2"/>
      </rPr>
      <t xml:space="preserve">화에서 정면으로 다룰지 결정</t>
    </r>
  </si>
  <si>
    <t xml:space="preserve">캐릭터, 아크_구성계획</t>
  </si>
  <si>
    <r>
      <rPr>
        <sz val="10"/>
        <rFont val="Noto Sans CJK SC"/>
        <family val="2"/>
        <charset val="1"/>
      </rPr>
      <t xml:space="preserve">Dumont·Isabel </t>
    </r>
    <r>
      <rPr>
        <sz val="10"/>
        <rFont val="WenQuanYi Zen Hei"/>
        <family val="2"/>
      </rPr>
      <t xml:space="preserve">비중</t>
    </r>
  </si>
  <si>
    <t xml:space="preserve">약 35%로 가장 얇다.</t>
  </si>
  <si>
    <r>
      <rPr>
        <sz val="10"/>
        <rFont val="Noto Sans CJK SC"/>
        <family val="2"/>
        <charset val="1"/>
      </rPr>
      <t xml:space="preserve">Dumont: 7</t>
    </r>
    <r>
      <rPr>
        <sz val="10"/>
        <rFont val="WenQuanYi Zen Hei"/>
        <family val="2"/>
      </rPr>
      <t xml:space="preserve">부 공론화</t>
    </r>
    <r>
      <rPr>
        <sz val="10"/>
        <rFont val="Noto Sans CJK SC"/>
        <family val="2"/>
        <charset val="1"/>
      </rPr>
      <t xml:space="preserve">·10</t>
    </r>
    <r>
      <rPr>
        <sz val="10"/>
        <rFont val="WenQuanYi Zen Hei"/>
        <family val="2"/>
      </rPr>
      <t xml:space="preserve">부 딥페이크 </t>
    </r>
    <r>
      <rPr>
        <sz val="10"/>
        <rFont val="Noto Sans CJK SC"/>
        <family val="2"/>
        <charset val="1"/>
      </rPr>
      <t xml:space="preserve">/ Isabel: 3·5</t>
    </r>
    <r>
      <rPr>
        <sz val="10"/>
        <rFont val="WenQuanYi Zen Hei"/>
        <family val="2"/>
      </rPr>
      <t xml:space="preserve">부 상담</t>
    </r>
    <r>
      <rPr>
        <sz val="10"/>
        <rFont val="Noto Sans CJK SC"/>
        <family val="2"/>
        <charset val="1"/>
      </rPr>
      <t xml:space="preserve">·12</t>
    </r>
    <r>
      <rPr>
        <sz val="10"/>
        <rFont val="WenQuanYi Zen Hei"/>
        <family val="2"/>
      </rPr>
      <t xml:space="preserve">부 청년 정신건강 확대</t>
    </r>
  </si>
  <si>
    <t xml:space="preserve">가상 인물 목록</t>
  </si>
  <si>
    <r>
      <rPr>
        <sz val="10"/>
        <rFont val="Arial"/>
        <family val="0"/>
        <charset val="1"/>
      </rPr>
      <t xml:space="preserve">Quintela(GM </t>
    </r>
    <r>
      <rPr>
        <sz val="10"/>
        <rFont val="WenQuanYi Zen Hei"/>
        <family val="2"/>
      </rPr>
      <t xml:space="preserve">회장</t>
    </r>
    <r>
      <rPr>
        <sz val="10"/>
        <rFont val="Arial"/>
        <family val="0"/>
        <charset val="1"/>
      </rPr>
      <t xml:space="preserve">), Salgado·Barros(</t>
    </r>
    <r>
      <rPr>
        <sz val="10"/>
        <rFont val="WenQuanYi Zen Hei"/>
        <family val="2"/>
      </rPr>
      <t xml:space="preserve">파트너</t>
    </r>
    <r>
      <rPr>
        <sz val="10"/>
        <rFont val="Arial"/>
        <family val="0"/>
        <charset val="1"/>
      </rPr>
      <t xml:space="preserve">), Dona Conceição·Marina, Rosângela(</t>
    </r>
    <r>
      <rPr>
        <sz val="10"/>
        <rFont val="WenQuanYi Zen Hei"/>
        <family val="2"/>
      </rPr>
      <t xml:space="preserve">간호사</t>
    </r>
    <r>
      <rPr>
        <sz val="10"/>
        <rFont val="Arial"/>
        <family val="0"/>
        <charset val="1"/>
      </rPr>
      <t xml:space="preserve">), Tavares(</t>
    </r>
    <r>
      <rPr>
        <sz val="10"/>
        <rFont val="WenQuanYi Zen Hei"/>
        <family val="2"/>
      </rPr>
      <t xml:space="preserve">공방</t>
    </r>
    <r>
      <rPr>
        <sz val="10"/>
        <rFont val="Arial"/>
        <family val="0"/>
        <charset val="1"/>
      </rPr>
      <t xml:space="preserve">), Lucas(</t>
    </r>
    <r>
      <rPr>
        <sz val="10"/>
        <rFont val="WenQuanYi Zen Hei"/>
        <family val="2"/>
      </rPr>
      <t xml:space="preserve">새 인턴</t>
    </r>
    <r>
      <rPr>
        <sz val="10"/>
        <rFont val="Arial"/>
        <family val="0"/>
        <charset val="1"/>
      </rPr>
      <t xml:space="preserve">), Seu Jurandir·Álvaro·Dona Cida </t>
    </r>
    <r>
      <rPr>
        <sz val="10"/>
        <rFont val="WenQuanYi Zen Hei"/>
        <family val="2"/>
      </rPr>
      <t xml:space="preserve">등</t>
    </r>
    <r>
      <rPr>
        <sz val="10"/>
        <rFont val="Arial"/>
        <family val="0"/>
        <charset val="1"/>
      </rPr>
      <t xml:space="preserve">.</t>
    </r>
  </si>
  <si>
    <t xml:space="preserve">이름·나이·말투를 캐릭터 바이블 부록으로 확정</t>
  </si>
  <si>
    <r>
      <rPr>
        <sz val="10"/>
        <rFont val="Noto Sans CJK SC"/>
        <family val="2"/>
        <charset val="1"/>
      </rPr>
      <t xml:space="preserve">Grupo Meridiano</t>
    </r>
    <r>
      <rPr>
        <sz val="10"/>
        <rFont val="WenQuanYi Zen Hei"/>
        <family val="2"/>
      </rPr>
      <t xml:space="preserve">의 결말</t>
    </r>
  </si>
  <si>
    <r>
      <rPr>
        <sz val="10"/>
        <rFont val="Arial"/>
        <family val="0"/>
        <charset val="1"/>
      </rPr>
      <t xml:space="preserve">12</t>
    </r>
    <r>
      <rPr>
        <sz val="10"/>
        <rFont val="WenQuanYi Zen Hei"/>
        <family val="2"/>
      </rPr>
      <t xml:space="preserve">부 </t>
    </r>
    <r>
      <rPr>
        <sz val="10"/>
        <rFont val="Arial"/>
        <family val="0"/>
        <charset val="1"/>
      </rPr>
      <t xml:space="preserve">9</t>
    </r>
    <r>
      <rPr>
        <sz val="10"/>
        <rFont val="WenQuanYi Zen Hei"/>
        <family val="2"/>
      </rPr>
      <t xml:space="preserve">화에서 재판 진행만 언급하고 판결은 열어 두는 안</t>
    </r>
    <r>
      <rPr>
        <sz val="10"/>
        <rFont val="Arial"/>
        <family val="0"/>
        <charset val="1"/>
      </rPr>
      <t xml:space="preserve">.</t>
    </r>
  </si>
  <si>
    <t xml:space="preserve">판결 여부를 정할지(열린 결말 vs 유죄/무죄)</t>
  </si>
  <si>
    <r>
      <rPr>
        <sz val="10"/>
        <rFont val="Noto Sans CJK SC"/>
        <family val="2"/>
        <charset val="1"/>
      </rPr>
      <t xml:space="preserve">7</t>
    </r>
    <r>
      <rPr>
        <sz val="10"/>
        <rFont val="WenQuanYi Zen Hei"/>
        <family val="2"/>
      </rPr>
      <t xml:space="preserve">부 </t>
    </r>
    <r>
      <rPr>
        <sz val="10"/>
        <rFont val="Noto Sans CJK SC"/>
        <family val="2"/>
        <charset val="1"/>
      </rPr>
      <t xml:space="preserve">3</t>
    </r>
    <r>
      <rPr>
        <sz val="10"/>
        <rFont val="WenQuanYi Zen Hei"/>
        <family val="2"/>
      </rPr>
      <t xml:space="preserve">화의 톤</t>
    </r>
  </si>
  <si>
    <t xml:space="preserve">부모소외법 화는 피해자(아동·어머니) 중심으로, 폐지·개정 양측 논거를 함께 담아야 한다.</t>
  </si>
  <si>
    <t xml:space="preserve">집필 전 톤 가이드 별도 확정</t>
  </si>
  <si>
    <t xml:space="preserve">가상 외교 인사</t>
  </si>
  <si>
    <t xml:space="preserve">브뤼셀 협상의 EU 상대역(가상)의 이름·직급 미정.</t>
  </si>
  <si>
    <t xml:space="preserve">실명 조직(EU 집행위원회, Mercosul)은 실제 기구명을 쓰되, 개인 인사는 전부 가상으로 이름을 지어야 함</t>
  </si>
  <si>
    <t xml:space="preserve">화별목차_전체 11부 9~10화</t>
  </si>
</sst>
</file>

<file path=xl/styles.xml><?xml version="1.0" encoding="utf-8"?>
<styleSheet xmlns="http://schemas.openxmlformats.org/spreadsheetml/2006/main">
  <numFmts count="8">
    <numFmt numFmtId="164" formatCode="General"/>
    <numFmt numFmtId="165" formatCode="General"/>
    <numFmt numFmtId="166" formatCode="0.0%"/>
    <numFmt numFmtId="167" formatCode="0%"/>
    <numFmt numFmtId="168" formatCode="#,##0"/>
    <numFmt numFmtId="169" formatCode="0.0"/>
    <numFmt numFmtId="170" formatCode="0.00"/>
    <numFmt numFmtId="171" formatCode="0"/>
  </numFmts>
  <fonts count="27">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4"/>
      <color rgb="FF1F3864"/>
      <name val="WenQuanYi Zen Hei"/>
      <family val="2"/>
    </font>
    <font>
      <i val="true"/>
      <sz val="9"/>
      <color rgb="FF595959"/>
      <name val="Arial"/>
      <family val="0"/>
      <charset val="1"/>
    </font>
    <font>
      <i val="true"/>
      <sz val="9"/>
      <color rgb="FF595959"/>
      <name val="WenQuanYi Zen Hei"/>
      <family val="2"/>
    </font>
    <font>
      <b val="true"/>
      <sz val="10"/>
      <name val="WenQuanYi Zen Hei"/>
      <family val="2"/>
      <charset val="1"/>
    </font>
    <font>
      <sz val="10"/>
      <color rgb="FF0000FF"/>
      <name val="Arial"/>
      <family val="0"/>
      <charset val="1"/>
    </font>
    <font>
      <sz val="10"/>
      <name val="Arial"/>
      <family val="0"/>
      <charset val="1"/>
    </font>
    <font>
      <sz val="10"/>
      <name val="WenQuanYi Zen Hei"/>
      <family val="2"/>
    </font>
    <font>
      <sz val="10"/>
      <name val="WenQuanYi Zen Hei"/>
      <family val="2"/>
      <charset val="1"/>
    </font>
    <font>
      <b val="true"/>
      <sz val="10"/>
      <name val="Arial"/>
      <family val="0"/>
      <charset val="1"/>
    </font>
    <font>
      <b val="true"/>
      <sz val="10"/>
      <name val="WenQuanYi Zen Hei"/>
      <family val="2"/>
    </font>
    <font>
      <u val="single"/>
      <sz val="10"/>
      <color rgb="FF0563C1"/>
      <name val="WenQuanYi Zen Hei"/>
      <family val="2"/>
      <charset val="1"/>
    </font>
    <font>
      <u val="single"/>
      <sz val="10"/>
      <color rgb="FF0563C1"/>
      <name val="Arial"/>
      <family val="0"/>
      <charset val="1"/>
    </font>
    <font>
      <sz val="10"/>
      <name val="Noto Sans CJK SC"/>
      <family val="2"/>
      <charset val="1"/>
    </font>
    <font>
      <u val="single"/>
      <sz val="10"/>
      <color rgb="FF0563C1"/>
      <name val="WenQuanYi Zen Hei"/>
      <family val="2"/>
    </font>
    <font>
      <sz val="10"/>
      <color rgb="FF0000FF"/>
      <name val="WenQuanYi Zen Hei"/>
      <family val="2"/>
      <charset val="1"/>
    </font>
    <font>
      <i val="true"/>
      <sz val="9"/>
      <color rgb="FF595959"/>
      <name val="WenQuanYi Zen Hei"/>
      <family val="2"/>
      <charset val="1"/>
    </font>
    <font>
      <b val="true"/>
      <sz val="14"/>
      <color rgb="FF1F3864"/>
      <name val="WenQuanYi Zen Hei"/>
      <family val="2"/>
      <charset val="1"/>
    </font>
    <font>
      <b val="true"/>
      <sz val="10"/>
      <color rgb="FFFFFFFF"/>
      <name val="Arial"/>
      <family val="0"/>
      <charset val="1"/>
    </font>
    <font>
      <b val="true"/>
      <sz val="10"/>
      <color rgb="FFFFFFFF"/>
      <name val="WenQuanYi Zen Hei"/>
      <family val="2"/>
      <charset val="1"/>
    </font>
    <font>
      <b val="true"/>
      <sz val="10"/>
      <color rgb="FFFFFFFF"/>
      <name val="WenQuanYi Zen Hei"/>
      <family val="2"/>
    </font>
    <font>
      <b val="true"/>
      <sz val="10"/>
      <name val="Noto Sans CJK SC"/>
      <family val="2"/>
      <charset val="1"/>
    </font>
    <font>
      <b val="true"/>
      <sz val="10"/>
      <color rgb="FFFFFFFF"/>
      <name val="Noto Sans CJK SC"/>
      <family val="2"/>
      <charset val="1"/>
    </font>
  </fonts>
  <fills count="6">
    <fill>
      <patternFill patternType="none"/>
    </fill>
    <fill>
      <patternFill patternType="gray125"/>
    </fill>
    <fill>
      <patternFill patternType="solid">
        <fgColor rgb="FFD9E2F3"/>
        <bgColor rgb="FFDDEBF7"/>
      </patternFill>
    </fill>
    <fill>
      <patternFill patternType="solid">
        <fgColor rgb="FFFFFF00"/>
        <bgColor rgb="FFFFFF00"/>
      </patternFill>
    </fill>
    <fill>
      <patternFill patternType="solid">
        <fgColor rgb="FF1F3864"/>
        <bgColor rgb="FF333333"/>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4" borderId="1" xfId="0" applyFont="true" applyBorder="true" applyAlignment="true" applyProtection="false">
      <alignment horizontal="center" vertical="center" textRotation="0" wrapText="true" indent="0"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0" fillId="5" borderId="1" xfId="0" applyFont="false" applyBorder="true" applyAlignment="true" applyProtection="false">
      <alignment horizontal="center" vertical="bottom" textRotation="0" wrapText="false" indent="0" shrinkToFit="false"/>
      <protection locked="true" hidden="false"/>
    </xf>
    <xf numFmtId="167" fontId="9"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8" fontId="10" fillId="0" borderId="1" xfId="0" applyFont="true" applyBorder="tru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bottom"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8" fillId="5" borderId="1" xfId="0" applyFont="true" applyBorder="true" applyAlignment="true" applyProtection="false">
      <alignment horizontal="left" vertical="center" textRotation="0" wrapText="false" indent="0" shrinkToFit="false"/>
      <protection locked="true" hidden="false"/>
    </xf>
    <xf numFmtId="164"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8" fontId="13" fillId="5" borderId="1" xfId="0" applyFont="true" applyBorder="true" applyAlignment="true" applyProtection="false">
      <alignment horizontal="center" vertical="center" textRotation="0" wrapText="false" indent="0" shrinkToFit="false"/>
      <protection locked="true" hidden="false"/>
    </xf>
    <xf numFmtId="169" fontId="13" fillId="5"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10"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0" fillId="0" borderId="0" xfId="0" applyFont="true" applyBorder="true" applyAlignment="true" applyProtection="false">
      <alignment horizontal="general" vertical="top" textRotation="0" wrapText="tru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2" fillId="4" borderId="1"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8" fontId="13"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0" shrinkToFit="false"/>
      <protection locked="true" hidden="false"/>
    </xf>
    <xf numFmtId="164" fontId="0" fillId="5" borderId="1" xfId="0" applyFont="fals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70" fontId="10" fillId="5"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25" fillId="5" borderId="1" xfId="0" applyFont="true" applyBorder="true" applyAlignment="true" applyProtection="false">
      <alignment horizontal="center" vertical="center" textRotation="0" wrapText="true" indent="0" shrinkToFit="false"/>
      <protection locked="true" hidden="false"/>
    </xf>
    <xf numFmtId="166" fontId="10" fillId="5" borderId="1" xfId="0" applyFont="true" applyBorder="true" applyAlignment="true" applyProtection="false">
      <alignment horizontal="center" vertical="center" textRotation="0" wrapText="true" indent="0" shrinkToFit="false"/>
      <protection locked="true" hidden="false"/>
    </xf>
    <xf numFmtId="164" fontId="26" fillId="4" borderId="1" xfId="0" applyFont="true" applyBorder="true" applyAlignment="true" applyProtection="false">
      <alignment horizontal="center" vertical="center" textRotation="0" wrapText="true" indent="0" shrinkToFit="false"/>
      <protection locked="true" hidden="false"/>
    </xf>
    <xf numFmtId="170"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71" fontId="9"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71" fontId="10" fillId="5"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9DC3E6"/>
        </patternFill>
      </fill>
    </dxf>
    <dxf>
      <fill>
        <patternFill>
          <bgColor rgb="FFDDEBF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7F7F7F"/>
      <rgbColor rgb="FF9999FF"/>
      <rgbColor rgb="FF993366"/>
      <rgbColor rgb="FFF2F2F2"/>
      <rgbColor rgb="FFDDEBF7"/>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BF8F00"/>
      <rgbColor rgb="FFC55A11"/>
      <rgbColor rgb="FF595959"/>
      <rgbColor rgb="FF969696"/>
      <rgbColor rgb="FF1F3864"/>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D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24"/>
    <col collapsed="false" customWidth="true" hidden="false" outlineLevel="0" max="4" min="4" style="1" width="78"/>
  </cols>
  <sheetData>
    <row r="1" customFormat="false" ht="24"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B4" s="4" t="s">
        <v>2</v>
      </c>
      <c r="C4" s="5"/>
      <c r="D4" s="5"/>
    </row>
    <row r="5" customFormat="false" ht="42" hidden="false" customHeight="true" outlineLevel="0" collapsed="false">
      <c r="B5" s="6" t="s">
        <v>3</v>
      </c>
      <c r="C5" s="7" t="n">
        <v>13</v>
      </c>
      <c r="D5" s="8" t="s">
        <v>4</v>
      </c>
    </row>
    <row r="6" customFormat="false" ht="16.5" hidden="false" customHeight="true" outlineLevel="0" collapsed="false">
      <c r="B6" s="6" t="s">
        <v>5</v>
      </c>
      <c r="C6" s="7" t="n">
        <v>12</v>
      </c>
      <c r="D6" s="9" t="s">
        <v>6</v>
      </c>
    </row>
    <row r="7" customFormat="false" ht="16.5" hidden="false" customHeight="true" outlineLevel="0" collapsed="false">
      <c r="B7" s="6" t="s">
        <v>7</v>
      </c>
      <c r="C7" s="10" t="n">
        <f aca="false">C5*C6</f>
        <v>156</v>
      </c>
      <c r="D7" s="9" t="s">
        <v>8</v>
      </c>
    </row>
    <row r="8" customFormat="false" ht="16.5" hidden="false" customHeight="true" outlineLevel="0" collapsed="false">
      <c r="B8" s="6" t="s">
        <v>9</v>
      </c>
      <c r="C8" s="10" t="n">
        <f aca="false">COUNTA(캐릭터!$D$5:$D$18)</f>
        <v>14</v>
      </c>
      <c r="D8" s="9" t="s">
        <v>10</v>
      </c>
    </row>
    <row r="9" customFormat="false" ht="16.5" hidden="false" customHeight="true" outlineLevel="0" collapsed="false">
      <c r="B9" s="6" t="s">
        <v>11</v>
      </c>
      <c r="C9" s="10" t="n">
        <f aca="false">COUNTIF(캐릭터!$G$5:$G$18,"남")</f>
        <v>9</v>
      </c>
      <c r="D9" s="9" t="s">
        <v>12</v>
      </c>
    </row>
    <row r="10" customFormat="false" ht="16.5" hidden="false" customHeight="true" outlineLevel="0" collapsed="false">
      <c r="B10" s="6" t="s">
        <v>13</v>
      </c>
      <c r="C10" s="10" t="n">
        <f aca="false">COUNTIF(캐릭터!$G$5:$G$18,"여")</f>
        <v>5</v>
      </c>
      <c r="D10" s="8"/>
    </row>
    <row r="11" customFormat="false" ht="29.25" hidden="false" customHeight="true" outlineLevel="0" collapsed="false">
      <c r="B11" s="11" t="s">
        <v>14</v>
      </c>
      <c r="C11" s="12" t="n">
        <v>6</v>
      </c>
      <c r="D11" s="9" t="s">
        <v>15</v>
      </c>
    </row>
    <row r="12" customFormat="false" ht="16.5" hidden="false" customHeight="true" outlineLevel="0" collapsed="false">
      <c r="B12" s="6" t="s">
        <v>16</v>
      </c>
      <c r="C12" s="9" t="s">
        <v>17</v>
      </c>
      <c r="D12" s="9" t="s">
        <v>18</v>
      </c>
    </row>
    <row r="13" customFormat="false" ht="29.25" hidden="false" customHeight="true" outlineLevel="0" collapsed="false">
      <c r="B13" s="6" t="s">
        <v>19</v>
      </c>
      <c r="C13" s="9" t="s">
        <v>20</v>
      </c>
      <c r="D13" s="8" t="str">
        <f aca="false">"지문(narração) 없음. 화당 "&amp;턴_설계!$B$5&amp;"턴 × "&amp;C7&amp;"화 = "&amp;TEXT(C7*턴_설계!$B$5,"#,##0")&amp;"턴. 상세는 '대화문규칙'·'턴_설계' 시트."</f>
        <v>지문(narração) 없음. 화당 120턴 × 156화 = 18,720턴. 상세는 '대화문규칙'·'턴_설계' 시트.</v>
      </c>
    </row>
    <row r="15" customFormat="false" ht="15" hidden="false" customHeight="true" outlineLevel="0" collapsed="false">
      <c r="B15" s="4" t="s">
        <v>21</v>
      </c>
      <c r="C15" s="5"/>
      <c r="D15" s="5"/>
    </row>
    <row r="16" customFormat="false" ht="16.5" hidden="false" customHeight="true" outlineLevel="0" collapsed="false">
      <c r="B16" s="13" t="s">
        <v>22</v>
      </c>
      <c r="C16" s="10" t="n">
        <f aca="false">COUNTIF(캐릭터!$B$5:$B$18,B16)</f>
        <v>4</v>
      </c>
      <c r="D16" s="8" t="s">
        <v>23</v>
      </c>
    </row>
    <row r="17" customFormat="false" ht="29.25" hidden="false" customHeight="true" outlineLevel="0" collapsed="false">
      <c r="B17" s="13" t="s">
        <v>24</v>
      </c>
      <c r="C17" s="10" t="n">
        <f aca="false">COUNTIF(캐릭터!$B$5:$B$18,B17)</f>
        <v>6</v>
      </c>
      <c r="D17" s="8" t="s">
        <v>25</v>
      </c>
    </row>
    <row r="18" customFormat="false" ht="16.5" hidden="false" customHeight="true" outlineLevel="0" collapsed="false">
      <c r="B18" s="13" t="s">
        <v>26</v>
      </c>
      <c r="C18" s="10" t="n">
        <f aca="false">COUNTIF(캐릭터!$B$5:$B$18,B18)</f>
        <v>3</v>
      </c>
      <c r="D18" s="8" t="s">
        <v>27</v>
      </c>
    </row>
    <row r="19" customFormat="false" ht="16.5" hidden="false" customHeight="true" outlineLevel="0" collapsed="false">
      <c r="B19" s="13" t="s">
        <v>28</v>
      </c>
      <c r="C19" s="10" t="n">
        <f aca="false">COUNTIF(캐릭터!$B$5:$B$18,B19)</f>
        <v>1</v>
      </c>
      <c r="D19" s="8" t="s">
        <v>29</v>
      </c>
    </row>
    <row r="22" customFormat="false" ht="15" hidden="false" customHeight="true" outlineLevel="0" collapsed="false">
      <c r="B22" s="4" t="s">
        <v>30</v>
      </c>
      <c r="C22" s="5"/>
      <c r="D22" s="5"/>
    </row>
    <row r="23" customFormat="false" ht="15" hidden="false" customHeight="true" outlineLevel="0" collapsed="false">
      <c r="B23" s="14" t="s">
        <v>31</v>
      </c>
      <c r="C23" s="15" t="s">
        <v>32</v>
      </c>
      <c r="D23" s="8" t="s">
        <v>33</v>
      </c>
    </row>
    <row r="24" customFormat="false" ht="15" hidden="false" customHeight="true" outlineLevel="0" collapsed="false">
      <c r="B24" s="14" t="s">
        <v>34</v>
      </c>
      <c r="C24" s="15" t="s">
        <v>32</v>
      </c>
      <c r="D24" s="8" t="s">
        <v>35</v>
      </c>
    </row>
    <row r="25" customFormat="false" ht="29.25" hidden="false" customHeight="true" outlineLevel="0" collapsed="false">
      <c r="B25" s="14" t="s">
        <v>36</v>
      </c>
      <c r="C25" s="15" t="s">
        <v>32</v>
      </c>
      <c r="D25" s="9" t="s">
        <v>37</v>
      </c>
    </row>
    <row r="26" customFormat="false" ht="15" hidden="false" customHeight="true" outlineLevel="0" collapsed="false">
      <c r="B26" s="16" t="s">
        <v>38</v>
      </c>
      <c r="C26" s="15" t="s">
        <v>39</v>
      </c>
      <c r="D26" s="8" t="s">
        <v>40</v>
      </c>
    </row>
    <row r="27" customFormat="false" ht="15" hidden="false" customHeight="true" outlineLevel="0" collapsed="false">
      <c r="B27" s="14" t="s">
        <v>41</v>
      </c>
      <c r="C27" s="15" t="s">
        <v>42</v>
      </c>
      <c r="D27" s="8" t="s">
        <v>43</v>
      </c>
    </row>
    <row r="28" customFormat="false" ht="15" hidden="false" customHeight="true" outlineLevel="0" collapsed="false">
      <c r="B28" s="14" t="s">
        <v>44</v>
      </c>
      <c r="C28" s="15" t="s">
        <v>45</v>
      </c>
      <c r="D28" s="8" t="s">
        <v>46</v>
      </c>
    </row>
    <row r="29" customFormat="false" ht="15" hidden="false" customHeight="true" outlineLevel="0" collapsed="false">
      <c r="B29" s="14" t="s">
        <v>47</v>
      </c>
      <c r="C29" s="15" t="s">
        <v>42</v>
      </c>
      <c r="D29" s="9" t="s">
        <v>48</v>
      </c>
    </row>
    <row r="30" customFormat="false" ht="15" hidden="false" customHeight="true" outlineLevel="0" collapsed="false">
      <c r="B30" s="14" t="s">
        <v>49</v>
      </c>
      <c r="C30" s="15" t="s">
        <v>50</v>
      </c>
      <c r="D30" s="9" t="s">
        <v>51</v>
      </c>
    </row>
    <row r="31" customFormat="false" ht="15" hidden="false" customHeight="true" outlineLevel="0" collapsed="false">
      <c r="B31" s="14" t="s">
        <v>52</v>
      </c>
      <c r="C31" s="15" t="s">
        <v>50</v>
      </c>
      <c r="D31" s="9" t="s">
        <v>53</v>
      </c>
    </row>
    <row r="32" customFormat="false" ht="15" hidden="false" customHeight="true" outlineLevel="0" collapsed="false">
      <c r="B32" s="14" t="s">
        <v>54</v>
      </c>
      <c r="C32" s="15" t="s">
        <v>55</v>
      </c>
      <c r="D32" s="9" t="s">
        <v>56</v>
      </c>
    </row>
    <row r="33" customFormat="false" ht="15" hidden="false" customHeight="true" outlineLevel="0" collapsed="false">
      <c r="B33" s="14" t="s">
        <v>57</v>
      </c>
      <c r="C33" s="15" t="s">
        <v>55</v>
      </c>
      <c r="D33" s="9" t="s">
        <v>58</v>
      </c>
    </row>
    <row r="34" customFormat="false" ht="15" hidden="false" customHeight="true" outlineLevel="0" collapsed="false">
      <c r="B34" s="14" t="s">
        <v>59</v>
      </c>
      <c r="C34" s="15" t="s">
        <v>60</v>
      </c>
      <c r="D34" s="8" t="s">
        <v>61</v>
      </c>
    </row>
    <row r="35" customFormat="false" ht="15" hidden="false" customHeight="true" outlineLevel="0" collapsed="false">
      <c r="B35" s="16" t="s">
        <v>62</v>
      </c>
      <c r="C35" s="15" t="s">
        <v>60</v>
      </c>
      <c r="D35" s="17" t="s">
        <v>63</v>
      </c>
    </row>
    <row r="36" customFormat="false" ht="15" hidden="false" customHeight="true" outlineLevel="0" collapsed="false">
      <c r="B36" s="16" t="s">
        <v>64</v>
      </c>
      <c r="C36" s="15" t="s">
        <v>65</v>
      </c>
      <c r="D36" s="9" t="s">
        <v>66</v>
      </c>
    </row>
    <row r="37" customFormat="false" ht="15" hidden="false" customHeight="true" outlineLevel="0" collapsed="false">
      <c r="B37" s="16" t="s">
        <v>67</v>
      </c>
      <c r="C37" s="15" t="s">
        <v>65</v>
      </c>
      <c r="D37" s="9" t="s">
        <v>68</v>
      </c>
    </row>
    <row r="38" customFormat="false" ht="15" hidden="false" customHeight="true" outlineLevel="0" collapsed="false">
      <c r="B38" s="14" t="s">
        <v>69</v>
      </c>
      <c r="C38" s="15" t="s">
        <v>60</v>
      </c>
      <c r="D38" s="9" t="s">
        <v>70</v>
      </c>
    </row>
    <row r="39" customFormat="false" ht="15" hidden="false" customHeight="true" outlineLevel="0" collapsed="false">
      <c r="B39" s="18" t="s">
        <v>71</v>
      </c>
      <c r="C39" s="15" t="s">
        <v>72</v>
      </c>
      <c r="D39" s="19" t="s">
        <v>73</v>
      </c>
    </row>
    <row r="40" customFormat="false" ht="15" hidden="false" customHeight="true" outlineLevel="0" collapsed="false"/>
    <row r="42" customFormat="false" ht="15" hidden="false" customHeight="true" outlineLevel="0" collapsed="false">
      <c r="B42" s="4" t="s">
        <v>74</v>
      </c>
      <c r="C42" s="5"/>
      <c r="D42" s="5"/>
    </row>
    <row r="43" customFormat="false" ht="15" hidden="false" customHeight="true" outlineLevel="0" collapsed="false">
      <c r="B43" s="20" t="s">
        <v>75</v>
      </c>
      <c r="C43" s="15" t="s">
        <v>76</v>
      </c>
      <c r="D43" s="21"/>
    </row>
    <row r="44" customFormat="false" ht="15" hidden="false" customHeight="true" outlineLevel="0" collapsed="false">
      <c r="B44" s="22" t="s">
        <v>77</v>
      </c>
      <c r="C44" s="15" t="s">
        <v>78</v>
      </c>
      <c r="D44" s="21"/>
    </row>
    <row r="45" customFormat="false" ht="15" hidden="false" customHeight="true" outlineLevel="0" collapsed="false">
      <c r="B45" s="15" t="s">
        <v>79</v>
      </c>
      <c r="C45" s="15" t="s">
        <v>80</v>
      </c>
      <c r="D45" s="21"/>
    </row>
    <row r="47" customFormat="false" ht="15" hidden="false" customHeight="true" outlineLevel="0" collapsed="false">
      <c r="B47" s="23" t="s">
        <v>81</v>
      </c>
    </row>
  </sheetData>
  <hyperlinks>
    <hyperlink ref="B23" location="'캐릭터'!A1" display="캐릭터"/>
    <hyperlink ref="B24" location="'등장비중'!A1" display="등장비중"/>
    <hyperlink ref="B25" location="'턴_설계'!A1" display="턴_설계"/>
    <hyperlink ref="B26" location="'12부_구성'!A1" display="12부_구성"/>
    <hyperlink ref="B27" location="'아크_구성계획'!A1" display="아크_구성계획"/>
    <hyperlink ref="B28" location="'화별목차_전체'!A1" display="화별목차_전체"/>
    <hyperlink ref="B29" location="'복선_회수'!A1" display="복선_회수"/>
    <hyperlink ref="B30" location="'현안_배치'!A1" display="현안_배치"/>
    <hyperlink ref="B31" location="'현안_분포'!A1" display="현안_분포"/>
    <hyperlink ref="B32" location="'정치제도'!A1" display="정치제도"/>
    <hyperlink ref="B33" location="'정치경로_의석'!A1" display="정치경로_의석"/>
    <hyperlink ref="B34" location="'호칭규칙'!A1" display="호칭규칙"/>
    <hyperlink ref="B35" location="'Larissa_폭발과욕'!A1" display="Larissa_폭발과욕"/>
    <hyperlink ref="B36" location="'DomPedro_죽음'!A1" display="DomPedro_죽음"/>
    <hyperlink ref="B37" location="'Freire_출처'!A1" display="Freire_출처"/>
    <hyperlink ref="B38" location="'대화문규칙'!A1" display="대화문규칙"/>
    <hyperlink ref="B39" location="'변경이력_미결'!A1" display="변경이력_미결"/>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S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4"/>
    <col collapsed="false" customWidth="true" hidden="false" outlineLevel="0" max="3" min="3" style="1" width="24"/>
    <col collapsed="false" customWidth="true" hidden="false" outlineLevel="0" max="4" min="4" style="1" width="10"/>
    <col collapsed="false" customWidth="true" hidden="false" outlineLevel="0" max="5" min="5" style="1" width="8"/>
    <col collapsed="false" customWidth="true" hidden="false" outlineLevel="0" max="6" min="6" style="1" width="10"/>
    <col collapsed="false" customWidth="true" hidden="false" outlineLevel="0" max="7" min="7" style="1" width="6"/>
    <col collapsed="false" customWidth="true" hidden="false" outlineLevel="0" max="8" min="8" style="1" width="22"/>
    <col collapsed="false" customWidth="true" hidden="false" outlineLevel="0" max="9" min="9" style="1" width="26"/>
    <col collapsed="false" customWidth="true" hidden="false" outlineLevel="0" max="10" min="10" style="1" width="30"/>
    <col collapsed="false" customWidth="true" hidden="false" outlineLevel="0" max="11" min="11" style="1" width="34"/>
    <col collapsed="false" customWidth="true" hidden="false" outlineLevel="0" max="12" min="12" style="1" width="44"/>
    <col collapsed="false" customWidth="true" hidden="false" outlineLevel="0" max="13" min="13" style="1" width="30"/>
    <col collapsed="false" customWidth="true" hidden="false" outlineLevel="0" max="14" min="14" style="1" width="36"/>
    <col collapsed="false" customWidth="true" hidden="false" outlineLevel="0" max="15" min="15" style="1" width="24"/>
    <col collapsed="false" customWidth="true" hidden="false" outlineLevel="0" max="16" min="16" style="1" width="20"/>
    <col collapsed="false" customWidth="true" hidden="false" outlineLevel="0" max="17" min="17" style="1" width="9"/>
    <col collapsed="false" customWidth="true" hidden="false" outlineLevel="0" max="18" min="18" style="1" width="11"/>
    <col collapsed="false" customWidth="true" hidden="false" outlineLevel="0" max="19" min="19" style="1" width="16"/>
  </cols>
  <sheetData>
    <row r="1" customFormat="false" ht="24" hidden="false" customHeight="true" outlineLevel="0" collapsed="false">
      <c r="A1" s="24" t="s">
        <v>82</v>
      </c>
    </row>
    <row r="2" customFormat="false" ht="15" hidden="false" customHeight="true" outlineLevel="0" collapsed="false">
      <c r="A2" s="3" t="s">
        <v>1</v>
      </c>
    </row>
    <row r="4" customFormat="false" ht="31.5" hidden="false" customHeight="true" outlineLevel="0" collapsed="false">
      <c r="A4" s="25" t="s">
        <v>83</v>
      </c>
      <c r="B4" s="26" t="s">
        <v>84</v>
      </c>
      <c r="C4" s="26" t="s">
        <v>85</v>
      </c>
      <c r="D4" s="26" t="s">
        <v>86</v>
      </c>
      <c r="E4" s="26" t="s">
        <v>87</v>
      </c>
      <c r="F4" s="26" t="s">
        <v>88</v>
      </c>
      <c r="G4" s="26" t="s">
        <v>89</v>
      </c>
      <c r="H4" s="26" t="s">
        <v>90</v>
      </c>
      <c r="I4" s="26" t="s">
        <v>91</v>
      </c>
      <c r="J4" s="26" t="s">
        <v>92</v>
      </c>
      <c r="K4" s="26" t="s">
        <v>93</v>
      </c>
      <c r="L4" s="26" t="s">
        <v>94</v>
      </c>
      <c r="M4" s="26" t="s">
        <v>95</v>
      </c>
      <c r="N4" s="26" t="s">
        <v>96</v>
      </c>
      <c r="O4" s="26" t="s">
        <v>97</v>
      </c>
      <c r="P4" s="25" t="s">
        <v>98</v>
      </c>
      <c r="Q4" s="26" t="s">
        <v>99</v>
      </c>
      <c r="R4" s="26" t="s">
        <v>100</v>
      </c>
      <c r="S4" s="26" t="s">
        <v>101</v>
      </c>
    </row>
    <row r="5" customFormat="false" ht="93" hidden="false" customHeight="true" outlineLevel="0" collapsed="false">
      <c r="A5" s="27" t="n">
        <v>1</v>
      </c>
      <c r="B5" s="9" t="s">
        <v>22</v>
      </c>
      <c r="C5" s="11" t="s">
        <v>102</v>
      </c>
      <c r="D5" s="11" t="s">
        <v>103</v>
      </c>
      <c r="E5" s="28" t="n">
        <v>39</v>
      </c>
      <c r="F5" s="27" t="n">
        <f aca="false">E5+개요!$C$11</f>
        <v>45</v>
      </c>
      <c r="G5" s="29" t="s">
        <v>104</v>
      </c>
      <c r="H5" s="9" t="s">
        <v>105</v>
      </c>
      <c r="I5" s="8" t="s">
        <v>106</v>
      </c>
      <c r="J5" s="9" t="s">
        <v>107</v>
      </c>
      <c r="K5" s="9" t="s">
        <v>108</v>
      </c>
      <c r="L5" s="8" t="s">
        <v>109</v>
      </c>
      <c r="M5" s="9" t="s">
        <v>110</v>
      </c>
      <c r="N5" s="9" t="s">
        <v>111</v>
      </c>
      <c r="O5" s="9" t="s">
        <v>112</v>
      </c>
      <c r="P5" s="9" t="s">
        <v>113</v>
      </c>
      <c r="Q5" s="27" t="n">
        <f aca="false">INDEX(등장비중!$O$5:$O$18,MATCH($D5,등장비중!$A$5:$A$18,0))</f>
        <v>108</v>
      </c>
      <c r="R5" s="27" t="str">
        <f aca="false">INDEX(등장비중!$Q$5:$Q$18,MATCH($D5,등장비중!$A$5:$A$18,0))</f>
        <v>주연</v>
      </c>
      <c r="S5" s="27" t="s">
        <v>114</v>
      </c>
    </row>
    <row r="6" customFormat="false" ht="54.75" hidden="false" customHeight="true" outlineLevel="0" collapsed="false">
      <c r="A6" s="27" t="n">
        <v>2</v>
      </c>
      <c r="B6" s="9" t="s">
        <v>22</v>
      </c>
      <c r="C6" s="11" t="s">
        <v>115</v>
      </c>
      <c r="D6" s="11" t="s">
        <v>116</v>
      </c>
      <c r="E6" s="28" t="n">
        <v>41</v>
      </c>
      <c r="F6" s="27" t="n">
        <f aca="false">E6+개요!$C$11</f>
        <v>47</v>
      </c>
      <c r="G6" s="29" t="s">
        <v>117</v>
      </c>
      <c r="H6" s="9" t="s">
        <v>118</v>
      </c>
      <c r="I6" s="8" t="s">
        <v>119</v>
      </c>
      <c r="J6" s="9" t="s">
        <v>120</v>
      </c>
      <c r="K6" s="9" t="s">
        <v>121</v>
      </c>
      <c r="L6" s="8" t="s">
        <v>122</v>
      </c>
      <c r="M6" s="9" t="s">
        <v>123</v>
      </c>
      <c r="N6" s="9" t="s">
        <v>124</v>
      </c>
      <c r="O6" s="9" t="s">
        <v>125</v>
      </c>
      <c r="P6" s="9" t="s">
        <v>113</v>
      </c>
      <c r="Q6" s="27" t="n">
        <f aca="false">INDEX(등장비중!$O$5:$O$18,MATCH($D6,등장비중!$A$5:$A$18,0))</f>
        <v>98</v>
      </c>
      <c r="R6" s="27" t="str">
        <f aca="false">INDEX(등장비중!$Q$5:$Q$18,MATCH($D6,등장비중!$A$5:$A$18,0))</f>
        <v>준주연</v>
      </c>
      <c r="S6" s="27" t="s">
        <v>126</v>
      </c>
    </row>
    <row r="7" customFormat="false" ht="42" hidden="false" customHeight="true" outlineLevel="0" collapsed="false">
      <c r="A7" s="27" t="n">
        <v>3</v>
      </c>
      <c r="B7" s="9" t="s">
        <v>22</v>
      </c>
      <c r="C7" s="11" t="s">
        <v>127</v>
      </c>
      <c r="D7" s="11" t="s">
        <v>128</v>
      </c>
      <c r="E7" s="28" t="n">
        <v>37</v>
      </c>
      <c r="F7" s="27" t="n">
        <f aca="false">E7+개요!$C$11</f>
        <v>43</v>
      </c>
      <c r="G7" s="29" t="s">
        <v>104</v>
      </c>
      <c r="H7" s="9" t="s">
        <v>129</v>
      </c>
      <c r="I7" s="8" t="s">
        <v>130</v>
      </c>
      <c r="J7" s="9" t="s">
        <v>131</v>
      </c>
      <c r="K7" s="9" t="s">
        <v>132</v>
      </c>
      <c r="L7" s="8" t="s">
        <v>133</v>
      </c>
      <c r="M7" s="9" t="s">
        <v>134</v>
      </c>
      <c r="N7" s="9" t="s">
        <v>135</v>
      </c>
      <c r="O7" s="9" t="s">
        <v>136</v>
      </c>
      <c r="P7" s="9" t="s">
        <v>113</v>
      </c>
      <c r="Q7" s="27" t="n">
        <f aca="false">INDEX(등장비중!$O$5:$O$18,MATCH($D7,등장비중!$A$5:$A$18,0))</f>
        <v>109</v>
      </c>
      <c r="R7" s="27" t="str">
        <f aca="false">INDEX(등장비중!$Q$5:$Q$18,MATCH($D7,등장비중!$A$5:$A$18,0))</f>
        <v>주연</v>
      </c>
      <c r="S7" s="27" t="s">
        <v>137</v>
      </c>
    </row>
    <row r="8" customFormat="false" ht="67.5" hidden="false" customHeight="true" outlineLevel="0" collapsed="false">
      <c r="A8" s="27" t="n">
        <v>4</v>
      </c>
      <c r="B8" s="9" t="s">
        <v>22</v>
      </c>
      <c r="C8" s="11" t="s">
        <v>138</v>
      </c>
      <c r="D8" s="11" t="s">
        <v>139</v>
      </c>
      <c r="E8" s="28" t="n">
        <v>36</v>
      </c>
      <c r="F8" s="27" t="n">
        <f aca="false">E8+개요!$C$11</f>
        <v>42</v>
      </c>
      <c r="G8" s="29" t="s">
        <v>117</v>
      </c>
      <c r="H8" s="9" t="s">
        <v>140</v>
      </c>
      <c r="I8" s="8" t="s">
        <v>141</v>
      </c>
      <c r="J8" s="9" t="s">
        <v>142</v>
      </c>
      <c r="K8" s="9" t="s">
        <v>143</v>
      </c>
      <c r="L8" s="8" t="s">
        <v>144</v>
      </c>
      <c r="M8" s="9" t="s">
        <v>145</v>
      </c>
      <c r="N8" s="9" t="s">
        <v>146</v>
      </c>
      <c r="O8" s="9" t="s">
        <v>147</v>
      </c>
      <c r="P8" s="9" t="s">
        <v>113</v>
      </c>
      <c r="Q8" s="27" t="n">
        <f aca="false">INDEX(등장비중!$O$5:$O$18,MATCH($D8,등장비중!$A$5:$A$18,0))</f>
        <v>101</v>
      </c>
      <c r="R8" s="27" t="str">
        <f aca="false">INDEX(등장비중!$Q$5:$Q$18,MATCH($D8,등장비중!$A$5:$A$18,0))</f>
        <v>준주연</v>
      </c>
      <c r="S8" s="27" t="s">
        <v>148</v>
      </c>
    </row>
    <row r="9" customFormat="false" ht="170.25" hidden="false" customHeight="true" outlineLevel="0" collapsed="false">
      <c r="A9" s="27" t="n">
        <v>5</v>
      </c>
      <c r="B9" s="9" t="s">
        <v>24</v>
      </c>
      <c r="C9" s="11" t="s">
        <v>149</v>
      </c>
      <c r="D9" s="11" t="s">
        <v>150</v>
      </c>
      <c r="E9" s="28" t="n">
        <v>65</v>
      </c>
      <c r="F9" s="27" t="n">
        <f aca="false">E9+개요!$C$11</f>
        <v>71</v>
      </c>
      <c r="G9" s="29" t="s">
        <v>104</v>
      </c>
      <c r="H9" s="9" t="s">
        <v>151</v>
      </c>
      <c r="I9" s="9" t="s">
        <v>152</v>
      </c>
      <c r="J9" s="9" t="s">
        <v>153</v>
      </c>
      <c r="K9" s="9" t="s">
        <v>154</v>
      </c>
      <c r="L9" s="8" t="s">
        <v>155</v>
      </c>
      <c r="M9" s="9" t="s">
        <v>156</v>
      </c>
      <c r="N9" s="8" t="s">
        <v>157</v>
      </c>
      <c r="O9" s="9" t="s">
        <v>158</v>
      </c>
      <c r="P9" s="9" t="s">
        <v>159</v>
      </c>
      <c r="Q9" s="27" t="n">
        <f aca="false">INDEX(등장비중!$O$5:$O$18,MATCH($D9,등장비중!$A$5:$A$18,0))</f>
        <v>65</v>
      </c>
      <c r="R9" s="27" t="str">
        <f aca="false">INDEX(등장비중!$Q$5:$Q$18,MATCH($D9,등장비중!$A$5:$A$18,0))</f>
        <v>핵심 조연</v>
      </c>
      <c r="S9" s="27" t="s">
        <v>160</v>
      </c>
    </row>
    <row r="10" customFormat="false" ht="54.75" hidden="false" customHeight="true" outlineLevel="0" collapsed="false">
      <c r="A10" s="27" t="n">
        <v>6</v>
      </c>
      <c r="B10" s="9" t="s">
        <v>24</v>
      </c>
      <c r="C10" s="11" t="s">
        <v>161</v>
      </c>
      <c r="D10" s="11" t="s">
        <v>162</v>
      </c>
      <c r="E10" s="28" t="n">
        <v>69</v>
      </c>
      <c r="F10" s="27" t="n">
        <f aca="false">E10+개요!$C$11</f>
        <v>75</v>
      </c>
      <c r="G10" s="29" t="s">
        <v>104</v>
      </c>
      <c r="H10" s="9" t="s">
        <v>163</v>
      </c>
      <c r="I10" s="9" t="s">
        <v>164</v>
      </c>
      <c r="J10" s="9" t="s">
        <v>165</v>
      </c>
      <c r="K10" s="9" t="s">
        <v>166</v>
      </c>
      <c r="L10" s="8" t="s">
        <v>167</v>
      </c>
      <c r="M10" s="9" t="s">
        <v>168</v>
      </c>
      <c r="N10" s="9" t="s">
        <v>169</v>
      </c>
      <c r="O10" s="9" t="s">
        <v>170</v>
      </c>
      <c r="P10" s="9" t="s">
        <v>171</v>
      </c>
      <c r="Q10" s="27" t="n">
        <f aca="false">INDEX(등장비중!$O$5:$O$18,MATCH($D10,등장비중!$A$5:$A$18,0))</f>
        <v>64</v>
      </c>
      <c r="R10" s="27" t="str">
        <f aca="false">INDEX(등장비중!$Q$5:$Q$18,MATCH($D10,등장비중!$A$5:$A$18,0))</f>
        <v>핵심 조연</v>
      </c>
      <c r="S10" s="27" t="s">
        <v>172</v>
      </c>
    </row>
    <row r="11" customFormat="false" ht="132" hidden="false" customHeight="true" outlineLevel="0" collapsed="false">
      <c r="A11" s="27" t="n">
        <v>7</v>
      </c>
      <c r="B11" s="9" t="s">
        <v>24</v>
      </c>
      <c r="C11" s="11" t="s">
        <v>173</v>
      </c>
      <c r="D11" s="11" t="s">
        <v>174</v>
      </c>
      <c r="E11" s="28" t="n">
        <v>40</v>
      </c>
      <c r="F11" s="27" t="n">
        <f aca="false">E11+개요!$C$11</f>
        <v>46</v>
      </c>
      <c r="G11" s="29" t="s">
        <v>104</v>
      </c>
      <c r="H11" s="9" t="s">
        <v>175</v>
      </c>
      <c r="I11" s="9" t="s">
        <v>176</v>
      </c>
      <c r="J11" s="9" t="s">
        <v>177</v>
      </c>
      <c r="K11" s="9" t="s">
        <v>178</v>
      </c>
      <c r="L11" s="8" t="s">
        <v>179</v>
      </c>
      <c r="M11" s="9" t="s">
        <v>180</v>
      </c>
      <c r="N11" s="9" t="s">
        <v>181</v>
      </c>
      <c r="O11" s="9" t="s">
        <v>182</v>
      </c>
      <c r="P11" s="9" t="s">
        <v>171</v>
      </c>
      <c r="Q11" s="27" t="n">
        <f aca="false">INDEX(등장비중!$O$5:$O$18,MATCH($D11,등장비중!$A$5:$A$18,0))</f>
        <v>63</v>
      </c>
      <c r="R11" s="27" t="str">
        <f aca="false">INDEX(등장비중!$Q$5:$Q$18,MATCH($D11,등장비중!$A$5:$A$18,0))</f>
        <v>핵심 조연</v>
      </c>
      <c r="S11" s="27" t="s">
        <v>183</v>
      </c>
    </row>
    <row r="12" customFormat="false" ht="42" hidden="false" customHeight="true" outlineLevel="0" collapsed="false">
      <c r="A12" s="27" t="n">
        <v>8</v>
      </c>
      <c r="B12" s="9" t="s">
        <v>24</v>
      </c>
      <c r="C12" s="11" t="s">
        <v>184</v>
      </c>
      <c r="D12" s="11" t="s">
        <v>185</v>
      </c>
      <c r="E12" s="28" t="n">
        <v>59</v>
      </c>
      <c r="F12" s="27" t="n">
        <f aca="false">E12+개요!$C$11</f>
        <v>65</v>
      </c>
      <c r="G12" s="29" t="s">
        <v>104</v>
      </c>
      <c r="H12" s="9" t="s">
        <v>186</v>
      </c>
      <c r="I12" s="9" t="s">
        <v>187</v>
      </c>
      <c r="J12" s="9" t="s">
        <v>188</v>
      </c>
      <c r="K12" s="9" t="s">
        <v>189</v>
      </c>
      <c r="L12" s="8" t="s">
        <v>190</v>
      </c>
      <c r="M12" s="9" t="s">
        <v>191</v>
      </c>
      <c r="N12" s="9" t="s">
        <v>192</v>
      </c>
      <c r="O12" s="9" t="s">
        <v>193</v>
      </c>
      <c r="P12" s="9" t="s">
        <v>171</v>
      </c>
      <c r="Q12" s="27" t="n">
        <f aca="false">INDEX(등장비중!$O$5:$O$18,MATCH($D12,등장비중!$A$5:$A$18,0))</f>
        <v>54</v>
      </c>
      <c r="R12" s="27" t="str">
        <f aca="false">INDEX(등장비중!$Q$5:$Q$18,MATCH($D12,등장비중!$A$5:$A$18,0))</f>
        <v>조연</v>
      </c>
      <c r="S12" s="27" t="s">
        <v>194</v>
      </c>
    </row>
    <row r="13" customFormat="false" ht="42" hidden="false" customHeight="true" outlineLevel="0" collapsed="false">
      <c r="A13" s="27" t="n">
        <v>9</v>
      </c>
      <c r="B13" s="9" t="s">
        <v>24</v>
      </c>
      <c r="C13" s="11" t="s">
        <v>195</v>
      </c>
      <c r="D13" s="11" t="s">
        <v>196</v>
      </c>
      <c r="E13" s="28" t="n">
        <v>75</v>
      </c>
      <c r="F13" s="27" t="n">
        <f aca="false">E13+개요!$C$11</f>
        <v>81</v>
      </c>
      <c r="G13" s="29" t="s">
        <v>104</v>
      </c>
      <c r="H13" s="9" t="s">
        <v>197</v>
      </c>
      <c r="I13" s="9" t="s">
        <v>198</v>
      </c>
      <c r="J13" s="9" t="s">
        <v>199</v>
      </c>
      <c r="K13" s="9" t="s">
        <v>200</v>
      </c>
      <c r="L13" s="8" t="s">
        <v>201</v>
      </c>
      <c r="M13" s="9" t="s">
        <v>202</v>
      </c>
      <c r="N13" s="9" t="s">
        <v>203</v>
      </c>
      <c r="O13" s="9" t="s">
        <v>204</v>
      </c>
      <c r="P13" s="9" t="s">
        <v>171</v>
      </c>
      <c r="Q13" s="27" t="n">
        <f aca="false">INDEX(등장비중!$O$5:$O$18,MATCH($D13,등장비중!$A$5:$A$18,0))</f>
        <v>56</v>
      </c>
      <c r="R13" s="27" t="str">
        <f aca="false">INDEX(등장비중!$Q$5:$Q$18,MATCH($D13,등장비중!$A$5:$A$18,0))</f>
        <v>조연</v>
      </c>
      <c r="S13" s="27" t="s">
        <v>205</v>
      </c>
    </row>
    <row r="14" customFormat="false" ht="93" hidden="false" customHeight="true" outlineLevel="0" collapsed="false">
      <c r="A14" s="27" t="n">
        <v>10</v>
      </c>
      <c r="B14" s="9" t="s">
        <v>26</v>
      </c>
      <c r="C14" s="11" t="s">
        <v>206</v>
      </c>
      <c r="D14" s="11" t="s">
        <v>207</v>
      </c>
      <c r="E14" s="28" t="n">
        <v>63</v>
      </c>
      <c r="F14" s="27" t="n">
        <f aca="false">E14+개요!$C$11</f>
        <v>69</v>
      </c>
      <c r="G14" s="29" t="s">
        <v>117</v>
      </c>
      <c r="H14" s="9" t="s">
        <v>208</v>
      </c>
      <c r="I14" s="8" t="s">
        <v>209</v>
      </c>
      <c r="J14" s="9" t="s">
        <v>210</v>
      </c>
      <c r="K14" s="17" t="s">
        <v>211</v>
      </c>
      <c r="L14" s="8" t="s">
        <v>212</v>
      </c>
      <c r="M14" s="9" t="s">
        <v>213</v>
      </c>
      <c r="N14" s="9" t="s">
        <v>214</v>
      </c>
      <c r="O14" s="9" t="s">
        <v>215</v>
      </c>
      <c r="P14" s="9" t="s">
        <v>113</v>
      </c>
      <c r="Q14" s="27" t="n">
        <f aca="false">INDEX(등장비중!$O$5:$O$18,MATCH($D14,등장비중!$A$5:$A$18,0))</f>
        <v>69</v>
      </c>
      <c r="R14" s="27" t="str">
        <f aca="false">INDEX(등장비중!$Q$5:$Q$18,MATCH($D14,등장비중!$A$5:$A$18,0))</f>
        <v>핵심 조연</v>
      </c>
      <c r="S14" s="27" t="s">
        <v>216</v>
      </c>
    </row>
    <row r="15" customFormat="false" ht="42" hidden="false" customHeight="true" outlineLevel="0" collapsed="false">
      <c r="A15" s="27" t="n">
        <v>11</v>
      </c>
      <c r="B15" s="9" t="s">
        <v>26</v>
      </c>
      <c r="C15" s="11" t="s">
        <v>217</v>
      </c>
      <c r="D15" s="11" t="s">
        <v>218</v>
      </c>
      <c r="E15" s="28" t="n">
        <v>55</v>
      </c>
      <c r="F15" s="27" t="n">
        <f aca="false">E15+개요!$C$11</f>
        <v>61</v>
      </c>
      <c r="G15" s="29" t="s">
        <v>104</v>
      </c>
      <c r="H15" s="9" t="s">
        <v>219</v>
      </c>
      <c r="I15" s="9" t="s">
        <v>220</v>
      </c>
      <c r="J15" s="9" t="s">
        <v>221</v>
      </c>
      <c r="K15" s="9" t="s">
        <v>222</v>
      </c>
      <c r="L15" s="8" t="s">
        <v>223</v>
      </c>
      <c r="M15" s="9" t="s">
        <v>224</v>
      </c>
      <c r="N15" s="9" t="s">
        <v>225</v>
      </c>
      <c r="O15" s="9" t="s">
        <v>226</v>
      </c>
      <c r="P15" s="9" t="s">
        <v>171</v>
      </c>
      <c r="Q15" s="27" t="n">
        <f aca="false">INDEX(등장비중!$O$5:$O$18,MATCH($D15,등장비중!$A$5:$A$18,0))</f>
        <v>58</v>
      </c>
      <c r="R15" s="27" t="str">
        <f aca="false">INDEX(등장비중!$Q$5:$Q$18,MATCH($D15,등장비중!$A$5:$A$18,0))</f>
        <v>조연</v>
      </c>
      <c r="S15" s="27" t="s">
        <v>227</v>
      </c>
    </row>
    <row r="16" customFormat="false" ht="67.5" hidden="false" customHeight="true" outlineLevel="0" collapsed="false">
      <c r="A16" s="27" t="n">
        <v>12</v>
      </c>
      <c r="B16" s="9" t="s">
        <v>26</v>
      </c>
      <c r="C16" s="11" t="s">
        <v>228</v>
      </c>
      <c r="D16" s="11" t="s">
        <v>229</v>
      </c>
      <c r="E16" s="28" t="n">
        <v>23</v>
      </c>
      <c r="F16" s="27" t="n">
        <f aca="false">E16+개요!$C$11</f>
        <v>29</v>
      </c>
      <c r="G16" s="29" t="s">
        <v>117</v>
      </c>
      <c r="H16" s="9" t="s">
        <v>230</v>
      </c>
      <c r="I16" s="9" t="s">
        <v>231</v>
      </c>
      <c r="J16" s="9" t="s">
        <v>232</v>
      </c>
      <c r="K16" s="17" t="s">
        <v>233</v>
      </c>
      <c r="L16" s="8" t="s">
        <v>234</v>
      </c>
      <c r="M16" s="9" t="s">
        <v>235</v>
      </c>
      <c r="N16" s="9" t="s">
        <v>236</v>
      </c>
      <c r="O16" s="9" t="s">
        <v>237</v>
      </c>
      <c r="P16" s="9" t="s">
        <v>113</v>
      </c>
      <c r="Q16" s="27" t="n">
        <f aca="false">INDEX(등장비중!$O$5:$O$18,MATCH($D16,등장비중!$A$5:$A$18,0))</f>
        <v>99</v>
      </c>
      <c r="R16" s="27" t="str">
        <f aca="false">INDEX(등장비중!$Q$5:$Q$18,MATCH($D16,등장비중!$A$5:$A$18,0))</f>
        <v>준주연</v>
      </c>
      <c r="S16" s="27" t="s">
        <v>238</v>
      </c>
    </row>
    <row r="17" customFormat="false" ht="67.5" hidden="false" customHeight="true" outlineLevel="0" collapsed="false">
      <c r="A17" s="27" t="n">
        <v>13</v>
      </c>
      <c r="B17" s="9" t="s">
        <v>28</v>
      </c>
      <c r="C17" s="11" t="s">
        <v>239</v>
      </c>
      <c r="D17" s="11" t="s">
        <v>240</v>
      </c>
      <c r="E17" s="28" t="n">
        <v>58</v>
      </c>
      <c r="F17" s="27" t="n">
        <f aca="false">E17+개요!$C$11</f>
        <v>64</v>
      </c>
      <c r="G17" s="29" t="s">
        <v>104</v>
      </c>
      <c r="H17" s="9" t="s">
        <v>241</v>
      </c>
      <c r="I17" s="17" t="s">
        <v>242</v>
      </c>
      <c r="J17" s="9" t="s">
        <v>243</v>
      </c>
      <c r="K17" s="9" t="s">
        <v>244</v>
      </c>
      <c r="L17" s="8" t="s">
        <v>245</v>
      </c>
      <c r="M17" s="9" t="s">
        <v>246</v>
      </c>
      <c r="N17" s="9" t="s">
        <v>247</v>
      </c>
      <c r="O17" s="9" t="s">
        <v>248</v>
      </c>
      <c r="P17" s="9" t="s">
        <v>249</v>
      </c>
      <c r="Q17" s="27" t="n">
        <f aca="false">INDEX(등장비중!$O$5:$O$18,MATCH($D17,등장비중!$A$5:$A$18,0))</f>
        <v>56</v>
      </c>
      <c r="R17" s="27" t="str">
        <f aca="false">INDEX(등장비중!$Q$5:$Q$18,MATCH($D17,등장비중!$A$5:$A$18,0))</f>
        <v>조연</v>
      </c>
      <c r="S17" s="27" t="s">
        <v>250</v>
      </c>
    </row>
    <row r="18" customFormat="false" ht="42" hidden="false" customHeight="true" outlineLevel="0" collapsed="false">
      <c r="A18" s="27" t="n">
        <v>14</v>
      </c>
      <c r="B18" s="9" t="s">
        <v>24</v>
      </c>
      <c r="C18" s="11" t="s">
        <v>251</v>
      </c>
      <c r="D18" s="11" t="s">
        <v>252</v>
      </c>
      <c r="E18" s="28" t="n">
        <v>75</v>
      </c>
      <c r="F18" s="27" t="n">
        <f aca="false">E18+개요!$C$11</f>
        <v>81</v>
      </c>
      <c r="G18" s="29" t="s">
        <v>117</v>
      </c>
      <c r="H18" s="9" t="s">
        <v>253</v>
      </c>
      <c r="I18" s="9" t="s">
        <v>254</v>
      </c>
      <c r="J18" s="9" t="s">
        <v>255</v>
      </c>
      <c r="K18" s="9" t="s">
        <v>256</v>
      </c>
      <c r="L18" s="8" t="s">
        <v>257</v>
      </c>
      <c r="M18" s="9" t="s">
        <v>258</v>
      </c>
      <c r="N18" s="9" t="s">
        <v>259</v>
      </c>
      <c r="O18" s="9" t="s">
        <v>260</v>
      </c>
      <c r="P18" s="9" t="s">
        <v>171</v>
      </c>
      <c r="Q18" s="27" t="n">
        <f aca="false">INDEX(등장비중!$O$5:$O$18,MATCH($D18,등장비중!$A$5:$A$18,0))</f>
        <v>54</v>
      </c>
      <c r="R18" s="27" t="str">
        <f aca="false">INDEX(등장비중!$Q$5:$Q$18,MATCH($D18,등장비중!$A$5:$A$18,0))</f>
        <v>조연</v>
      </c>
      <c r="S18" s="27" t="s">
        <v>261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S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14" min="2" style="1" width="9"/>
    <col collapsed="false" customWidth="true" hidden="false" outlineLevel="0" max="16" min="15" style="1" width="8"/>
    <col collapsed="false" customWidth="true" hidden="false" outlineLevel="0" max="17" min="17" style="1" width="11"/>
    <col collapsed="false" customWidth="true" hidden="false" outlineLevel="0" max="18" min="18" style="1" width="9"/>
    <col collapsed="false" customWidth="true" hidden="false" outlineLevel="0" max="19" min="19" style="1" width="12"/>
  </cols>
  <sheetData>
    <row r="1" customFormat="false" ht="24" hidden="false" customHeight="true" outlineLevel="0" collapsed="false">
      <c r="A1" s="24" t="s">
        <v>262</v>
      </c>
    </row>
    <row r="2" customFormat="false" ht="15" hidden="false" customHeight="true" outlineLevel="0" collapsed="false">
      <c r="A2" s="23" t="s">
        <v>263</v>
      </c>
    </row>
    <row r="4" customFormat="false" ht="43.5" hidden="false" customHeight="true" outlineLevel="0" collapsed="false">
      <c r="A4" s="26" t="s">
        <v>264</v>
      </c>
      <c r="B4" s="25" t="s">
        <v>265</v>
      </c>
      <c r="C4" s="25" t="s">
        <v>266</v>
      </c>
      <c r="D4" s="25" t="s">
        <v>267</v>
      </c>
      <c r="E4" s="25" t="s">
        <v>268</v>
      </c>
      <c r="F4" s="25" t="s">
        <v>269</v>
      </c>
      <c r="G4" s="25" t="s">
        <v>270</v>
      </c>
      <c r="H4" s="25" t="s">
        <v>271</v>
      </c>
      <c r="I4" s="25" t="s">
        <v>272</v>
      </c>
      <c r="J4" s="25" t="s">
        <v>273</v>
      </c>
      <c r="K4" s="25" t="s">
        <v>274</v>
      </c>
      <c r="L4" s="25" t="s">
        <v>275</v>
      </c>
      <c r="M4" s="25" t="s">
        <v>276</v>
      </c>
      <c r="N4" s="25" t="s">
        <v>277</v>
      </c>
      <c r="O4" s="26" t="s">
        <v>278</v>
      </c>
      <c r="P4" s="26" t="s">
        <v>279</v>
      </c>
      <c r="Q4" s="26" t="s">
        <v>100</v>
      </c>
      <c r="R4" s="26" t="s">
        <v>280</v>
      </c>
      <c r="S4" s="26" t="s">
        <v>281</v>
      </c>
    </row>
    <row r="5" customFormat="false" ht="15" hidden="false" customHeight="true" outlineLevel="0" collapsed="false">
      <c r="A5" s="30" t="s">
        <v>103</v>
      </c>
      <c r="B5" s="31" t="n">
        <v>7</v>
      </c>
      <c r="C5" s="31" t="n">
        <v>12</v>
      </c>
      <c r="D5" s="31" t="n">
        <v>3</v>
      </c>
      <c r="E5" s="31" t="n">
        <v>3</v>
      </c>
      <c r="F5" s="31" t="n">
        <v>3</v>
      </c>
      <c r="G5" s="31" t="n">
        <v>12</v>
      </c>
      <c r="H5" s="31" t="n">
        <v>11</v>
      </c>
      <c r="I5" s="31" t="n">
        <v>12</v>
      </c>
      <c r="J5" s="31" t="n">
        <v>11</v>
      </c>
      <c r="K5" s="31" t="n">
        <v>11</v>
      </c>
      <c r="L5" s="31" t="n">
        <v>10</v>
      </c>
      <c r="M5" s="31" t="n">
        <v>3</v>
      </c>
      <c r="N5" s="31" t="n">
        <v>10</v>
      </c>
      <c r="O5" s="32" t="n">
        <f aca="false">SUM(B5:N5)</f>
        <v>108</v>
      </c>
      <c r="P5" s="33" t="n">
        <f aca="false">O5/개요!$C$7</f>
        <v>0.692307692307692</v>
      </c>
      <c r="Q5" s="32" t="str">
        <f aca="false">IF(P5&gt;=$B$23,"주연",IF(P5&gt;=$B$24,"준주연",IF(P5&gt;=$B$25,"핵심 조연","조연")))</f>
        <v>주연</v>
      </c>
      <c r="R5" s="32" t="str">
        <f aca="false">IF(MAX(B5:N5)&lt;=개요!$C$6,"OK","확인")</f>
        <v>OK</v>
      </c>
      <c r="S5" s="32" t="s">
        <v>282</v>
      </c>
    </row>
    <row r="6" customFormat="false" ht="15" hidden="false" customHeight="true" outlineLevel="0" collapsed="false">
      <c r="A6" s="30" t="s">
        <v>116</v>
      </c>
      <c r="B6" s="31" t="n">
        <v>6</v>
      </c>
      <c r="C6" s="31" t="n">
        <v>3</v>
      </c>
      <c r="D6" s="31" t="n">
        <v>12</v>
      </c>
      <c r="E6" s="31" t="n">
        <v>3</v>
      </c>
      <c r="F6" s="31" t="n">
        <v>3</v>
      </c>
      <c r="G6" s="31" t="n">
        <v>12</v>
      </c>
      <c r="H6" s="31" t="n">
        <v>10</v>
      </c>
      <c r="I6" s="31" t="n">
        <v>10</v>
      </c>
      <c r="J6" s="31" t="n">
        <v>8</v>
      </c>
      <c r="K6" s="31" t="n">
        <v>10</v>
      </c>
      <c r="L6" s="31" t="n">
        <v>10</v>
      </c>
      <c r="M6" s="31" t="n">
        <v>2</v>
      </c>
      <c r="N6" s="31" t="n">
        <v>9</v>
      </c>
      <c r="O6" s="32" t="n">
        <f aca="false">SUM(B6:N6)</f>
        <v>98</v>
      </c>
      <c r="P6" s="33" t="n">
        <f aca="false">O6/개요!$C$7</f>
        <v>0.628205128205128</v>
      </c>
      <c r="Q6" s="32" t="str">
        <f aca="false">IF(P6&gt;=$B$23,"주연",IF(P6&gt;=$B$24,"준주연",IF(P6&gt;=$B$25,"핵심 조연","조연")))</f>
        <v>준주연</v>
      </c>
      <c r="R6" s="32" t="str">
        <f aca="false">IF(MAX(B6:N6)&lt;=개요!$C$6,"OK","확인")</f>
        <v>OK</v>
      </c>
      <c r="S6" s="32" t="s">
        <v>282</v>
      </c>
    </row>
    <row r="7" customFormat="false" ht="15" hidden="false" customHeight="true" outlineLevel="0" collapsed="false">
      <c r="A7" s="30" t="s">
        <v>128</v>
      </c>
      <c r="B7" s="31" t="n">
        <v>7</v>
      </c>
      <c r="C7" s="31" t="n">
        <v>3</v>
      </c>
      <c r="D7" s="31" t="n">
        <v>3</v>
      </c>
      <c r="E7" s="31" t="n">
        <v>12</v>
      </c>
      <c r="F7" s="31" t="n">
        <v>3</v>
      </c>
      <c r="G7" s="31" t="n">
        <v>12</v>
      </c>
      <c r="H7" s="31" t="n">
        <v>11</v>
      </c>
      <c r="I7" s="31" t="n">
        <v>10</v>
      </c>
      <c r="J7" s="31" t="n">
        <v>10</v>
      </c>
      <c r="K7" s="31" t="n">
        <v>11</v>
      </c>
      <c r="L7" s="31" t="n">
        <v>10</v>
      </c>
      <c r="M7" s="31" t="n">
        <v>8</v>
      </c>
      <c r="N7" s="31" t="n">
        <v>9</v>
      </c>
      <c r="O7" s="32" t="n">
        <f aca="false">SUM(B7:N7)</f>
        <v>109</v>
      </c>
      <c r="P7" s="33" t="n">
        <f aca="false">O7/개요!$C$7</f>
        <v>0.698717948717949</v>
      </c>
      <c r="Q7" s="32" t="str">
        <f aca="false">IF(P7&gt;=$B$23,"주연",IF(P7&gt;=$B$24,"준주연",IF(P7&gt;=$B$25,"핵심 조연","조연")))</f>
        <v>주연</v>
      </c>
      <c r="R7" s="32" t="str">
        <f aca="false">IF(MAX(B7:N7)&lt;=개요!$C$6,"OK","확인")</f>
        <v>OK</v>
      </c>
      <c r="S7" s="32" t="s">
        <v>282</v>
      </c>
    </row>
    <row r="8" customFormat="false" ht="15" hidden="false" customHeight="true" outlineLevel="0" collapsed="false">
      <c r="A8" s="30" t="s">
        <v>139</v>
      </c>
      <c r="B8" s="31" t="n">
        <v>6</v>
      </c>
      <c r="C8" s="31" t="n">
        <v>3</v>
      </c>
      <c r="D8" s="31" t="n">
        <v>3</v>
      </c>
      <c r="E8" s="31" t="n">
        <v>3</v>
      </c>
      <c r="F8" s="31" t="n">
        <v>12</v>
      </c>
      <c r="G8" s="31" t="n">
        <v>12</v>
      </c>
      <c r="H8" s="31" t="n">
        <v>10</v>
      </c>
      <c r="I8" s="31" t="n">
        <v>11</v>
      </c>
      <c r="J8" s="31" t="n">
        <v>10</v>
      </c>
      <c r="K8" s="31" t="n">
        <v>10</v>
      </c>
      <c r="L8" s="31" t="n">
        <v>9</v>
      </c>
      <c r="M8" s="31" t="n">
        <v>3</v>
      </c>
      <c r="N8" s="31" t="n">
        <v>9</v>
      </c>
      <c r="O8" s="32" t="n">
        <f aca="false">SUM(B8:N8)</f>
        <v>101</v>
      </c>
      <c r="P8" s="33" t="n">
        <f aca="false">O8/개요!$C$7</f>
        <v>0.647435897435898</v>
      </c>
      <c r="Q8" s="32" t="str">
        <f aca="false">IF(P8&gt;=$B$23,"주연",IF(P8&gt;=$B$24,"준주연",IF(P8&gt;=$B$25,"핵심 조연","조연")))</f>
        <v>준주연</v>
      </c>
      <c r="R8" s="32" t="str">
        <f aca="false">IF(MAX(B8:N8)&lt;=개요!$C$6,"OK","확인")</f>
        <v>OK</v>
      </c>
      <c r="S8" s="32" t="s">
        <v>282</v>
      </c>
    </row>
    <row r="9" customFormat="false" ht="15" hidden="false" customHeight="true" outlineLevel="0" collapsed="false">
      <c r="A9" s="30" t="s">
        <v>150</v>
      </c>
      <c r="B9" s="31" t="n">
        <v>4</v>
      </c>
      <c r="C9" s="31" t="n">
        <v>2</v>
      </c>
      <c r="D9" s="31" t="n">
        <v>2</v>
      </c>
      <c r="E9" s="31" t="n">
        <v>2</v>
      </c>
      <c r="F9" s="31" t="n">
        <v>2</v>
      </c>
      <c r="G9" s="31" t="n">
        <v>7</v>
      </c>
      <c r="H9" s="31" t="n">
        <v>9</v>
      </c>
      <c r="I9" s="31" t="n">
        <v>7</v>
      </c>
      <c r="J9" s="31" t="n">
        <v>9</v>
      </c>
      <c r="K9" s="31" t="n">
        <v>9</v>
      </c>
      <c r="L9" s="31" t="n">
        <v>9</v>
      </c>
      <c r="M9" s="31" t="n">
        <v>0</v>
      </c>
      <c r="N9" s="31" t="n">
        <v>3</v>
      </c>
      <c r="O9" s="32" t="n">
        <f aca="false">SUM(B9:N9)</f>
        <v>65</v>
      </c>
      <c r="P9" s="33" t="n">
        <f aca="false">O9/개요!$C$7</f>
        <v>0.416666666666667</v>
      </c>
      <c r="Q9" s="32" t="str">
        <f aca="false">IF(P9&gt;=$B$23,"주연",IF(P9&gt;=$B$24,"준주연",IF(P9&gt;=$B$25,"핵심 조연","조연")))</f>
        <v>핵심 조연</v>
      </c>
      <c r="R9" s="32" t="str">
        <f aca="false">IF(MAX(B9:N9)&lt;=개요!$C$6,"OK","확인")</f>
        <v>OK</v>
      </c>
      <c r="S9" s="31" t="s">
        <v>282</v>
      </c>
    </row>
    <row r="10" customFormat="false" ht="15" hidden="false" customHeight="true" outlineLevel="0" collapsed="false">
      <c r="A10" s="30" t="s">
        <v>162</v>
      </c>
      <c r="B10" s="31" t="n">
        <v>3</v>
      </c>
      <c r="C10" s="31" t="n">
        <v>1</v>
      </c>
      <c r="D10" s="31" t="n">
        <v>1</v>
      </c>
      <c r="E10" s="31" t="n">
        <v>1</v>
      </c>
      <c r="F10" s="31" t="n">
        <v>1</v>
      </c>
      <c r="G10" s="31" t="n">
        <v>6</v>
      </c>
      <c r="H10" s="31" t="n">
        <v>8</v>
      </c>
      <c r="I10" s="31" t="n">
        <v>9</v>
      </c>
      <c r="J10" s="31" t="n">
        <v>8</v>
      </c>
      <c r="K10" s="31" t="n">
        <v>8</v>
      </c>
      <c r="L10" s="31" t="n">
        <v>7</v>
      </c>
      <c r="M10" s="31" t="n">
        <v>4</v>
      </c>
      <c r="N10" s="31" t="n">
        <v>7</v>
      </c>
      <c r="O10" s="32" t="n">
        <f aca="false">SUM(B10:N10)</f>
        <v>64</v>
      </c>
      <c r="P10" s="33" t="n">
        <f aca="false">O10/개요!$C$7</f>
        <v>0.41025641025641</v>
      </c>
      <c r="Q10" s="32" t="str">
        <f aca="false">IF(P10&gt;=$B$23,"주연",IF(P10&gt;=$B$24,"준주연",IF(P10&gt;=$B$25,"핵심 조연","조연")))</f>
        <v>핵심 조연</v>
      </c>
      <c r="R10" s="32" t="str">
        <f aca="false">IF(MAX(B10:N10)&lt;=개요!$C$6,"OK","확인")</f>
        <v>OK</v>
      </c>
      <c r="S10" s="31" t="s">
        <v>282</v>
      </c>
    </row>
    <row r="11" customFormat="false" ht="15" hidden="false" customHeight="true" outlineLevel="0" collapsed="false">
      <c r="A11" s="30" t="s">
        <v>174</v>
      </c>
      <c r="B11" s="31" t="n">
        <v>2</v>
      </c>
      <c r="C11" s="31" t="n">
        <v>1</v>
      </c>
      <c r="D11" s="31" t="n">
        <v>1</v>
      </c>
      <c r="E11" s="31" t="n">
        <v>3</v>
      </c>
      <c r="F11" s="31" t="n">
        <v>1</v>
      </c>
      <c r="G11" s="31" t="n">
        <v>5</v>
      </c>
      <c r="H11" s="31" t="n">
        <v>10</v>
      </c>
      <c r="I11" s="31" t="n">
        <v>7</v>
      </c>
      <c r="J11" s="31" t="n">
        <v>8</v>
      </c>
      <c r="K11" s="31" t="n">
        <v>8</v>
      </c>
      <c r="L11" s="31" t="n">
        <v>7</v>
      </c>
      <c r="M11" s="31" t="n">
        <v>3</v>
      </c>
      <c r="N11" s="31" t="n">
        <v>7</v>
      </c>
      <c r="O11" s="32" t="n">
        <f aca="false">SUM(B11:N11)</f>
        <v>63</v>
      </c>
      <c r="P11" s="33" t="n">
        <f aca="false">O11/개요!$C$7</f>
        <v>0.403846153846154</v>
      </c>
      <c r="Q11" s="32" t="str">
        <f aca="false">IF(P11&gt;=$B$23,"주연",IF(P11&gt;=$B$24,"준주연",IF(P11&gt;=$B$25,"핵심 조연","조연")))</f>
        <v>핵심 조연</v>
      </c>
      <c r="R11" s="32" t="str">
        <f aca="false">IF(MAX(B11:N11)&lt;=개요!$C$6,"OK","확인")</f>
        <v>OK</v>
      </c>
      <c r="S11" s="31" t="s">
        <v>282</v>
      </c>
    </row>
    <row r="12" customFormat="false" ht="15" hidden="false" customHeight="true" outlineLevel="0" collapsed="false">
      <c r="A12" s="30" t="s">
        <v>185</v>
      </c>
      <c r="B12" s="31" t="n">
        <v>1</v>
      </c>
      <c r="C12" s="31" t="n">
        <v>1</v>
      </c>
      <c r="D12" s="31" t="n">
        <v>2</v>
      </c>
      <c r="E12" s="31" t="n">
        <v>1</v>
      </c>
      <c r="F12" s="31" t="n">
        <v>2</v>
      </c>
      <c r="G12" s="31" t="n">
        <v>4</v>
      </c>
      <c r="H12" s="31" t="n">
        <v>7</v>
      </c>
      <c r="I12" s="31" t="n">
        <v>8</v>
      </c>
      <c r="J12" s="31" t="n">
        <v>6</v>
      </c>
      <c r="K12" s="31" t="n">
        <v>7</v>
      </c>
      <c r="L12" s="31" t="n">
        <v>6</v>
      </c>
      <c r="M12" s="31" t="n">
        <v>2</v>
      </c>
      <c r="N12" s="31" t="n">
        <v>7</v>
      </c>
      <c r="O12" s="32" t="n">
        <f aca="false">SUM(B12:N12)</f>
        <v>54</v>
      </c>
      <c r="P12" s="33" t="n">
        <f aca="false">O12/개요!$C$7</f>
        <v>0.346153846153846</v>
      </c>
      <c r="Q12" s="32" t="str">
        <f aca="false">IF(P12&gt;=$B$23,"주연",IF(P12&gt;=$B$24,"준주연",IF(P12&gt;=$B$25,"핵심 조연","조연")))</f>
        <v>조연</v>
      </c>
      <c r="R12" s="32" t="str">
        <f aca="false">IF(MAX(B12:N12)&lt;=개요!$C$6,"OK","확인")</f>
        <v>OK</v>
      </c>
      <c r="S12" s="31" t="s">
        <v>282</v>
      </c>
    </row>
    <row r="13" customFormat="false" ht="15" hidden="false" customHeight="true" outlineLevel="0" collapsed="false">
      <c r="A13" s="30" t="s">
        <v>196</v>
      </c>
      <c r="B13" s="31" t="n">
        <v>2</v>
      </c>
      <c r="C13" s="31" t="n">
        <v>1</v>
      </c>
      <c r="D13" s="31" t="n">
        <v>1</v>
      </c>
      <c r="E13" s="31" t="n">
        <v>3</v>
      </c>
      <c r="F13" s="31" t="n">
        <v>1</v>
      </c>
      <c r="G13" s="31" t="n">
        <v>5</v>
      </c>
      <c r="H13" s="31" t="n">
        <v>8</v>
      </c>
      <c r="I13" s="31" t="n">
        <v>5</v>
      </c>
      <c r="J13" s="31" t="n">
        <v>7</v>
      </c>
      <c r="K13" s="31" t="n">
        <v>7</v>
      </c>
      <c r="L13" s="31" t="n">
        <v>9</v>
      </c>
      <c r="M13" s="31" t="n">
        <v>1</v>
      </c>
      <c r="N13" s="31" t="n">
        <v>6</v>
      </c>
      <c r="O13" s="32" t="n">
        <f aca="false">SUM(B13:N13)</f>
        <v>56</v>
      </c>
      <c r="P13" s="33" t="n">
        <f aca="false">O13/개요!$C$7</f>
        <v>0.358974358974359</v>
      </c>
      <c r="Q13" s="32" t="str">
        <f aca="false">IF(P13&gt;=$B$23,"주연",IF(P13&gt;=$B$24,"준주연",IF(P13&gt;=$B$25,"핵심 조연","조연")))</f>
        <v>조연</v>
      </c>
      <c r="R13" s="32" t="str">
        <f aca="false">IF(MAX(B13:N13)&lt;=개요!$C$6,"OK","확인")</f>
        <v>OK</v>
      </c>
      <c r="S13" s="31" t="s">
        <v>282</v>
      </c>
    </row>
    <row r="14" customFormat="false" ht="15" hidden="false" customHeight="true" outlineLevel="0" collapsed="false">
      <c r="A14" s="30" t="s">
        <v>207</v>
      </c>
      <c r="B14" s="31" t="n">
        <v>12</v>
      </c>
      <c r="C14" s="31" t="n">
        <v>2</v>
      </c>
      <c r="D14" s="31" t="n">
        <v>2</v>
      </c>
      <c r="E14" s="31" t="n">
        <v>2</v>
      </c>
      <c r="F14" s="31" t="n">
        <v>2</v>
      </c>
      <c r="G14" s="31" t="n">
        <v>5</v>
      </c>
      <c r="H14" s="31" t="n">
        <v>8</v>
      </c>
      <c r="I14" s="31" t="n">
        <v>6</v>
      </c>
      <c r="J14" s="31" t="n">
        <v>4</v>
      </c>
      <c r="K14" s="31" t="n">
        <v>5</v>
      </c>
      <c r="L14" s="31" t="n">
        <v>8</v>
      </c>
      <c r="M14" s="31" t="n">
        <v>3</v>
      </c>
      <c r="N14" s="31" t="n">
        <v>10</v>
      </c>
      <c r="O14" s="32" t="n">
        <f aca="false">SUM(B14:N14)</f>
        <v>69</v>
      </c>
      <c r="P14" s="33" t="n">
        <f aca="false">O14/개요!$C$7</f>
        <v>0.442307692307692</v>
      </c>
      <c r="Q14" s="32" t="str">
        <f aca="false">IF(P14&gt;=$B$23,"주연",IF(P14&gt;=$B$24,"준주연",IF(P14&gt;=$B$25,"핵심 조연","조연")))</f>
        <v>핵심 조연</v>
      </c>
      <c r="R14" s="32" t="str">
        <f aca="false">IF(MAX(B14:N14)&lt;=개요!$C$6,"OK","확인")</f>
        <v>OK</v>
      </c>
      <c r="S14" s="31" t="s">
        <v>282</v>
      </c>
    </row>
    <row r="15" customFormat="false" ht="15" hidden="false" customHeight="true" outlineLevel="0" collapsed="false">
      <c r="A15" s="30" t="s">
        <v>218</v>
      </c>
      <c r="B15" s="31" t="n">
        <v>2</v>
      </c>
      <c r="C15" s="31" t="n">
        <v>1</v>
      </c>
      <c r="D15" s="31" t="n">
        <v>2</v>
      </c>
      <c r="E15" s="31" t="n">
        <v>1</v>
      </c>
      <c r="F15" s="31" t="n">
        <v>3</v>
      </c>
      <c r="G15" s="31" t="n">
        <v>5</v>
      </c>
      <c r="H15" s="31" t="n">
        <v>9</v>
      </c>
      <c r="I15" s="31" t="n">
        <v>8</v>
      </c>
      <c r="J15" s="31" t="n">
        <v>6</v>
      </c>
      <c r="K15" s="31" t="n">
        <v>6</v>
      </c>
      <c r="L15" s="31" t="n">
        <v>7</v>
      </c>
      <c r="M15" s="31" t="n">
        <v>2</v>
      </c>
      <c r="N15" s="31" t="n">
        <v>6</v>
      </c>
      <c r="O15" s="32" t="n">
        <f aca="false">SUM(B15:N15)</f>
        <v>58</v>
      </c>
      <c r="P15" s="33" t="n">
        <f aca="false">O15/개요!$C$7</f>
        <v>0.371794871794872</v>
      </c>
      <c r="Q15" s="32" t="str">
        <f aca="false">IF(P15&gt;=$B$23,"주연",IF(P15&gt;=$B$24,"준주연",IF(P15&gt;=$B$25,"핵심 조연","조연")))</f>
        <v>조연</v>
      </c>
      <c r="R15" s="32" t="str">
        <f aca="false">IF(MAX(B15:N15)&lt;=개요!$C$6,"OK","확인")</f>
        <v>OK</v>
      </c>
      <c r="S15" s="31" t="s">
        <v>282</v>
      </c>
    </row>
    <row r="16" customFormat="false" ht="15" hidden="false" customHeight="true" outlineLevel="0" collapsed="false">
      <c r="A16" s="30" t="s">
        <v>229</v>
      </c>
      <c r="B16" s="31" t="n">
        <v>12</v>
      </c>
      <c r="C16" s="31" t="n">
        <v>4</v>
      </c>
      <c r="D16" s="31" t="n">
        <v>4</v>
      </c>
      <c r="E16" s="31" t="n">
        <v>4</v>
      </c>
      <c r="F16" s="31" t="n">
        <v>4</v>
      </c>
      <c r="G16" s="31" t="n">
        <v>8</v>
      </c>
      <c r="H16" s="31" t="n">
        <v>10</v>
      </c>
      <c r="I16" s="31" t="n">
        <v>10</v>
      </c>
      <c r="J16" s="31" t="n">
        <v>9</v>
      </c>
      <c r="K16" s="31" t="n">
        <v>9</v>
      </c>
      <c r="L16" s="31" t="n">
        <v>10</v>
      </c>
      <c r="M16" s="31" t="n">
        <v>3</v>
      </c>
      <c r="N16" s="31" t="n">
        <v>12</v>
      </c>
      <c r="O16" s="32" t="n">
        <f aca="false">SUM(B16:N16)</f>
        <v>99</v>
      </c>
      <c r="P16" s="33" t="n">
        <f aca="false">O16/개요!$C$7</f>
        <v>0.634615384615385</v>
      </c>
      <c r="Q16" s="32" t="str">
        <f aca="false">IF(P16&gt;=$B$23,"주연",IF(P16&gt;=$B$24,"준주연",IF(P16&gt;=$B$25,"핵심 조연","조연")))</f>
        <v>준주연</v>
      </c>
      <c r="R16" s="32" t="str">
        <f aca="false">IF(MAX(B16:N16)&lt;=개요!$C$6,"OK","확인")</f>
        <v>OK</v>
      </c>
      <c r="S16" s="31" t="s">
        <v>282</v>
      </c>
    </row>
    <row r="17" customFormat="false" ht="15" hidden="false" customHeight="true" outlineLevel="0" collapsed="false">
      <c r="A17" s="30" t="s">
        <v>240</v>
      </c>
      <c r="B17" s="31" t="n">
        <v>2</v>
      </c>
      <c r="C17" s="31" t="n">
        <v>1</v>
      </c>
      <c r="D17" s="31" t="n">
        <v>1</v>
      </c>
      <c r="E17" s="31" t="n">
        <v>3</v>
      </c>
      <c r="F17" s="31" t="n">
        <v>1</v>
      </c>
      <c r="G17" s="31" t="n">
        <v>5</v>
      </c>
      <c r="H17" s="31" t="n">
        <v>8</v>
      </c>
      <c r="I17" s="31" t="n">
        <v>5</v>
      </c>
      <c r="J17" s="31" t="n">
        <v>7</v>
      </c>
      <c r="K17" s="31" t="n">
        <v>7</v>
      </c>
      <c r="L17" s="31" t="n">
        <v>9</v>
      </c>
      <c r="M17" s="31" t="n">
        <v>1</v>
      </c>
      <c r="N17" s="31" t="n">
        <v>6</v>
      </c>
      <c r="O17" s="32" t="n">
        <f aca="false">SUM(B17:N17)</f>
        <v>56</v>
      </c>
      <c r="P17" s="33" t="n">
        <f aca="false">O17/개요!$C$7</f>
        <v>0.358974358974359</v>
      </c>
      <c r="Q17" s="32" t="str">
        <f aca="false">IF(P17&gt;=$B$23,"주연",IF(P17&gt;=$B$24,"준주연",IF(P17&gt;=$B$25,"핵심 조연","조연")))</f>
        <v>조연</v>
      </c>
      <c r="R17" s="32" t="str">
        <f aca="false">IF(MAX(B17:N17)&lt;=개요!$C$6,"OK","확인")</f>
        <v>OK</v>
      </c>
      <c r="S17" s="32" t="s">
        <v>282</v>
      </c>
    </row>
    <row r="18" customFormat="false" ht="15" hidden="false" customHeight="true" outlineLevel="0" collapsed="false">
      <c r="A18" s="30" t="s">
        <v>252</v>
      </c>
      <c r="B18" s="31" t="n">
        <v>1</v>
      </c>
      <c r="C18" s="31" t="n">
        <v>1</v>
      </c>
      <c r="D18" s="31" t="n">
        <v>2</v>
      </c>
      <c r="E18" s="31" t="n">
        <v>1</v>
      </c>
      <c r="F18" s="31" t="n">
        <v>2</v>
      </c>
      <c r="G18" s="31" t="n">
        <v>4</v>
      </c>
      <c r="H18" s="31" t="n">
        <v>7</v>
      </c>
      <c r="I18" s="31" t="n">
        <v>8</v>
      </c>
      <c r="J18" s="31" t="n">
        <v>6</v>
      </c>
      <c r="K18" s="31" t="n">
        <v>7</v>
      </c>
      <c r="L18" s="31" t="n">
        <v>6</v>
      </c>
      <c r="M18" s="31" t="n">
        <v>2</v>
      </c>
      <c r="N18" s="31" t="n">
        <v>7</v>
      </c>
      <c r="O18" s="32" t="n">
        <f aca="false">SUM(B18:N18)</f>
        <v>54</v>
      </c>
      <c r="P18" s="33" t="n">
        <f aca="false">O18/개요!$C$7</f>
        <v>0.346153846153846</v>
      </c>
      <c r="Q18" s="32" t="str">
        <f aca="false">IF(P18&gt;=$B$23,"주연",IF(P18&gt;=$B$24,"준주연",IF(P18&gt;=$B$25,"핵심 조연","조연")))</f>
        <v>조연</v>
      </c>
      <c r="R18" s="32" t="str">
        <f aca="false">IF(MAX(B18:N18)&lt;=개요!$C$6,"OK","확인")</f>
        <v>OK</v>
      </c>
      <c r="S18" s="31" t="s">
        <v>282</v>
      </c>
    </row>
    <row r="19" customFormat="false" ht="15" hidden="false" customHeight="true" outlineLevel="0" collapsed="false">
      <c r="A19" s="34" t="s">
        <v>283</v>
      </c>
      <c r="B19" s="35" t="n">
        <f aca="false">SUM(B5:B18)</f>
        <v>67</v>
      </c>
      <c r="C19" s="35" t="n">
        <f aca="false">SUM(C5:C18)</f>
        <v>36</v>
      </c>
      <c r="D19" s="35" t="n">
        <f aca="false">SUM(D5:D18)</f>
        <v>39</v>
      </c>
      <c r="E19" s="35" t="n">
        <f aca="false">SUM(E5:E18)</f>
        <v>42</v>
      </c>
      <c r="F19" s="35" t="n">
        <f aca="false">SUM(F5:F18)</f>
        <v>40</v>
      </c>
      <c r="G19" s="35" t="n">
        <f aca="false">SUM(G5:G18)</f>
        <v>102</v>
      </c>
      <c r="H19" s="35" t="n">
        <f aca="false">SUM(H5:H18)</f>
        <v>126</v>
      </c>
      <c r="I19" s="35" t="n">
        <f aca="false">SUM(I5:I18)</f>
        <v>116</v>
      </c>
      <c r="J19" s="35" t="n">
        <f aca="false">SUM(J5:J18)</f>
        <v>109</v>
      </c>
      <c r="K19" s="35" t="n">
        <f aca="false">SUM(K5:K18)</f>
        <v>115</v>
      </c>
      <c r="L19" s="35" t="n">
        <f aca="false">SUM(L5:L18)</f>
        <v>117</v>
      </c>
      <c r="M19" s="35" t="n">
        <f aca="false">SUM(M5:M18)</f>
        <v>37</v>
      </c>
      <c r="N19" s="35" t="n">
        <f aca="false">SUM(N5:N18)</f>
        <v>108</v>
      </c>
      <c r="O19" s="35" t="n">
        <f aca="false">SUM(O5:O18)</f>
        <v>1054</v>
      </c>
      <c r="P19" s="36"/>
      <c r="Q19" s="36"/>
      <c r="R19" s="36"/>
      <c r="S19" s="35" t="n">
        <f aca="false">SUM(S5:S18)</f>
        <v>0</v>
      </c>
    </row>
    <row r="22" customFormat="false" ht="15" hidden="false" customHeight="true" outlineLevel="0" collapsed="false">
      <c r="A22" s="4"/>
      <c r="B22" s="5"/>
      <c r="C22" s="5"/>
    </row>
    <row r="23" customFormat="false" ht="15" hidden="false" customHeight="true" outlineLevel="0" collapsed="false">
      <c r="A23" s="13" t="s">
        <v>284</v>
      </c>
      <c r="B23" s="37" t="n">
        <v>0.69</v>
      </c>
      <c r="C23" s="23" t="s">
        <v>285</v>
      </c>
    </row>
    <row r="24" customFormat="false" ht="15" hidden="false" customHeight="true" outlineLevel="0" collapsed="false">
      <c r="A24" s="13" t="s">
        <v>286</v>
      </c>
      <c r="B24" s="37" t="n">
        <v>0.6</v>
      </c>
    </row>
    <row r="25" customFormat="false" ht="15" hidden="false" customHeight="true" outlineLevel="0" collapsed="false">
      <c r="A25" s="13" t="s">
        <v>287</v>
      </c>
      <c r="B25" s="37" t="n">
        <v>0.4</v>
      </c>
    </row>
    <row r="26" customFormat="false" ht="15" hidden="false" customHeight="true" outlineLevel="0" collapsed="false">
      <c r="A26" s="13" t="s">
        <v>288</v>
      </c>
      <c r="B26" s="15" t="s">
        <v>289</v>
      </c>
    </row>
    <row r="28" customFormat="false" ht="18" hidden="false" customHeight="true" outlineLevel="0" collapsed="false">
      <c r="A28" s="4" t="s">
        <v>290</v>
      </c>
      <c r="B28" s="5"/>
      <c r="C28" s="5"/>
      <c r="D28" s="5"/>
      <c r="E28" s="5"/>
      <c r="F28" s="5"/>
      <c r="G28" s="5"/>
      <c r="H28" s="5"/>
      <c r="I28" s="5"/>
      <c r="J28" s="5"/>
      <c r="K28" s="5"/>
      <c r="L28" s="5"/>
      <c r="M28" s="5"/>
      <c r="N28" s="5"/>
      <c r="O28" s="5"/>
      <c r="P28" s="5"/>
      <c r="Q28" s="5"/>
      <c r="R28" s="5"/>
    </row>
    <row r="29" customFormat="false" ht="29.25" hidden="false" customHeight="true" outlineLevel="0" collapsed="false">
      <c r="A29" s="38" t="s">
        <v>291</v>
      </c>
      <c r="B29" s="38"/>
      <c r="C29" s="38"/>
      <c r="D29" s="38"/>
      <c r="E29" s="38"/>
      <c r="F29" s="38"/>
      <c r="G29" s="38"/>
      <c r="H29" s="38"/>
      <c r="I29" s="38"/>
      <c r="J29" s="38"/>
      <c r="K29" s="38"/>
      <c r="L29" s="38"/>
      <c r="M29" s="38"/>
      <c r="N29" s="38"/>
      <c r="O29" s="38"/>
      <c r="P29" s="38"/>
      <c r="Q29" s="38"/>
      <c r="R29" s="38"/>
    </row>
    <row r="30" customFormat="false" ht="16.5" hidden="false" customHeight="true" outlineLevel="0" collapsed="false">
      <c r="A30" s="38" t="s">
        <v>292</v>
      </c>
      <c r="B30" s="38"/>
      <c r="C30" s="38"/>
      <c r="D30" s="38"/>
      <c r="E30" s="38"/>
      <c r="F30" s="38"/>
      <c r="G30" s="38"/>
      <c r="H30" s="38"/>
      <c r="I30" s="38"/>
      <c r="J30" s="38"/>
      <c r="K30" s="38"/>
      <c r="L30" s="38"/>
      <c r="M30" s="38"/>
      <c r="N30" s="38"/>
      <c r="O30" s="38"/>
      <c r="P30" s="38"/>
      <c r="Q30" s="38"/>
      <c r="R30" s="38"/>
    </row>
    <row r="31" customFormat="false" ht="16.5" hidden="false" customHeight="true" outlineLevel="0" collapsed="false">
      <c r="A31" s="38" t="s">
        <v>293</v>
      </c>
      <c r="B31" s="38"/>
      <c r="C31" s="38"/>
      <c r="D31" s="38"/>
      <c r="E31" s="38"/>
      <c r="F31" s="38"/>
      <c r="G31" s="38"/>
      <c r="H31" s="38"/>
      <c r="I31" s="38"/>
      <c r="J31" s="38"/>
      <c r="K31" s="38"/>
      <c r="L31" s="38"/>
      <c r="M31" s="38"/>
      <c r="N31" s="38"/>
      <c r="O31" s="38"/>
      <c r="P31" s="38"/>
      <c r="Q31" s="38"/>
      <c r="R31" s="38"/>
    </row>
    <row r="32" customFormat="false" ht="16.5" hidden="false" customHeight="true" outlineLevel="0" collapsed="false">
      <c r="A32" s="38" t="s">
        <v>294</v>
      </c>
      <c r="B32" s="38"/>
      <c r="C32" s="38"/>
      <c r="D32" s="38"/>
      <c r="E32" s="38"/>
      <c r="F32" s="38"/>
      <c r="G32" s="38"/>
      <c r="H32" s="38"/>
      <c r="I32" s="38"/>
      <c r="J32" s="38"/>
      <c r="K32" s="38"/>
      <c r="L32" s="38"/>
      <c r="M32" s="38"/>
      <c r="N32" s="38"/>
      <c r="O32" s="38"/>
      <c r="P32" s="38"/>
      <c r="Q32" s="38"/>
      <c r="R32" s="38"/>
    </row>
    <row r="33" customFormat="false" ht="16.5" hidden="false" customHeight="true" outlineLevel="0" collapsed="false">
      <c r="A33" s="38" t="s">
        <v>295</v>
      </c>
      <c r="B33" s="38"/>
      <c r="C33" s="38"/>
      <c r="D33" s="38"/>
      <c r="E33" s="38"/>
      <c r="F33" s="38"/>
      <c r="G33" s="38"/>
      <c r="H33" s="38"/>
      <c r="I33" s="38"/>
      <c r="J33" s="38"/>
      <c r="K33" s="38"/>
      <c r="L33" s="38"/>
      <c r="M33" s="38"/>
      <c r="N33" s="38"/>
      <c r="O33" s="38"/>
      <c r="P33" s="38"/>
      <c r="Q33" s="38"/>
      <c r="R33" s="38"/>
    </row>
    <row r="34" customFormat="false" ht="16.5" hidden="false" customHeight="true" outlineLevel="0" collapsed="false">
      <c r="A34" s="38" t="s">
        <v>296</v>
      </c>
      <c r="B34" s="38"/>
      <c r="C34" s="38"/>
      <c r="D34" s="38"/>
      <c r="E34" s="38"/>
      <c r="F34" s="38"/>
      <c r="G34" s="38"/>
      <c r="H34" s="38"/>
      <c r="I34" s="38"/>
      <c r="J34" s="38"/>
      <c r="K34" s="38"/>
      <c r="L34" s="38"/>
      <c r="M34" s="38"/>
      <c r="N34" s="38"/>
      <c r="O34" s="38"/>
      <c r="P34" s="38"/>
      <c r="Q34" s="38"/>
      <c r="R34" s="38"/>
    </row>
    <row r="35" customFormat="false" ht="16.5" hidden="false" customHeight="true" outlineLevel="0" collapsed="false">
      <c r="A35" s="38" t="s">
        <v>297</v>
      </c>
      <c r="B35" s="38"/>
      <c r="C35" s="38"/>
      <c r="D35" s="38"/>
      <c r="E35" s="38"/>
      <c r="F35" s="38"/>
      <c r="G35" s="38"/>
      <c r="H35" s="38"/>
      <c r="I35" s="38"/>
      <c r="J35" s="38"/>
      <c r="K35" s="38"/>
      <c r="L35" s="38"/>
      <c r="M35" s="38"/>
      <c r="N35" s="38"/>
      <c r="O35" s="38"/>
      <c r="P35" s="38"/>
      <c r="Q35" s="38"/>
      <c r="R35" s="38"/>
    </row>
    <row r="36" customFormat="false" ht="16.5" hidden="false" customHeight="true" outlineLevel="0" collapsed="false">
      <c r="A36" s="38" t="s">
        <v>298</v>
      </c>
      <c r="B36" s="38"/>
      <c r="C36" s="38"/>
      <c r="D36" s="38"/>
      <c r="E36" s="38"/>
      <c r="F36" s="38"/>
      <c r="G36" s="38"/>
      <c r="H36" s="38"/>
      <c r="I36" s="38"/>
      <c r="J36" s="38"/>
      <c r="K36" s="38"/>
      <c r="L36" s="38"/>
      <c r="M36" s="38"/>
      <c r="N36" s="38"/>
      <c r="O36" s="38"/>
      <c r="P36" s="38"/>
      <c r="Q36" s="38"/>
      <c r="R36" s="38"/>
    </row>
    <row r="37" customFormat="false" ht="16.5" hidden="false" customHeight="true" outlineLevel="0" collapsed="false">
      <c r="A37" s="38" t="s">
        <v>299</v>
      </c>
      <c r="B37" s="38"/>
      <c r="C37" s="38"/>
      <c r="D37" s="38"/>
      <c r="E37" s="38"/>
      <c r="F37" s="38"/>
      <c r="G37" s="38"/>
      <c r="H37" s="38"/>
      <c r="I37" s="38"/>
      <c r="J37" s="38"/>
      <c r="K37" s="38"/>
      <c r="L37" s="38"/>
      <c r="M37" s="38"/>
      <c r="N37" s="38"/>
      <c r="O37" s="38"/>
      <c r="P37" s="38"/>
      <c r="Q37" s="38"/>
      <c r="R37" s="38"/>
    </row>
    <row r="38" customFormat="false" ht="16.5" hidden="false" customHeight="true" outlineLevel="0" collapsed="false">
      <c r="A38" s="38" t="s">
        <v>300</v>
      </c>
      <c r="B38" s="38"/>
      <c r="C38" s="38"/>
      <c r="D38" s="38"/>
      <c r="E38" s="38"/>
      <c r="F38" s="38"/>
      <c r="G38" s="38"/>
      <c r="H38" s="38"/>
      <c r="I38" s="38"/>
      <c r="J38" s="38"/>
      <c r="K38" s="38"/>
      <c r="L38" s="38"/>
      <c r="M38" s="38"/>
      <c r="N38" s="38"/>
      <c r="O38" s="38"/>
      <c r="P38" s="38"/>
      <c r="Q38" s="38"/>
      <c r="R38" s="38"/>
    </row>
    <row r="39" customFormat="false" ht="16.5" hidden="false" customHeight="true" outlineLevel="0" collapsed="false">
      <c r="A39" s="38" t="s">
        <v>301</v>
      </c>
      <c r="B39" s="38"/>
      <c r="C39" s="38"/>
      <c r="D39" s="38"/>
      <c r="E39" s="38"/>
      <c r="F39" s="38"/>
      <c r="G39" s="38"/>
      <c r="H39" s="38"/>
      <c r="I39" s="38"/>
      <c r="J39" s="38"/>
      <c r="K39" s="38"/>
      <c r="L39" s="38"/>
      <c r="M39" s="38"/>
      <c r="N39" s="38"/>
      <c r="O39" s="38"/>
      <c r="P39" s="38"/>
      <c r="Q39" s="38"/>
      <c r="R39" s="38"/>
    </row>
  </sheetData>
  <mergeCells count="11">
    <mergeCell ref="A29:R29"/>
    <mergeCell ref="A30:R30"/>
    <mergeCell ref="A31:R31"/>
    <mergeCell ref="A32:R32"/>
    <mergeCell ref="A33:R33"/>
    <mergeCell ref="A34:R34"/>
    <mergeCell ref="A35:R35"/>
    <mergeCell ref="A36:R36"/>
    <mergeCell ref="A37:R37"/>
    <mergeCell ref="A38:R38"/>
    <mergeCell ref="A39:R39"/>
  </mergeCells>
  <conditionalFormatting sqref="B5:N18">
    <cfRule type="colorScale" priority="2">
      <colorScale>
        <cfvo type="num" val="0"/>
        <cfvo type="num" val="12"/>
        <color rgb="FFFFFFFF"/>
        <color rgb="FF9DC3E6"/>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N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2"/>
    <col collapsed="false" customWidth="true" hidden="false" outlineLevel="0" max="14" min="3" style="1" width="9"/>
  </cols>
  <sheetData>
    <row r="1" customFormat="false" ht="24" hidden="false" customHeight="true" outlineLevel="0" collapsed="false">
      <c r="A1" s="24" t="s">
        <v>302</v>
      </c>
    </row>
    <row r="2" customFormat="false" ht="15" hidden="false" customHeight="true" outlineLevel="0" collapsed="false">
      <c r="A2" s="23" t="s">
        <v>303</v>
      </c>
    </row>
    <row r="4" customFormat="false" ht="18" hidden="false" customHeight="true" outlineLevel="0" collapsed="false">
      <c r="A4" s="39" t="s">
        <v>304</v>
      </c>
      <c r="B4" s="5"/>
      <c r="C4" s="5"/>
      <c r="D4" s="5"/>
      <c r="E4" s="5"/>
      <c r="F4" s="5"/>
      <c r="G4" s="5"/>
      <c r="H4" s="5"/>
      <c r="I4" s="5"/>
      <c r="J4" s="5"/>
      <c r="K4" s="5"/>
      <c r="L4" s="5"/>
      <c r="M4" s="5"/>
      <c r="N4" s="5"/>
    </row>
    <row r="5" customFormat="false" ht="15" hidden="false" customHeight="true" outlineLevel="0" collapsed="false">
      <c r="A5" s="13" t="s">
        <v>305</v>
      </c>
      <c r="B5" s="31" t="n">
        <v>120</v>
      </c>
    </row>
    <row r="6" customFormat="false" ht="15" hidden="false" customHeight="true" outlineLevel="0" collapsed="false">
      <c r="A6" s="13" t="s">
        <v>306</v>
      </c>
      <c r="B6" s="40" t="n">
        <v>130</v>
      </c>
    </row>
    <row r="7" customFormat="false" ht="15" hidden="false" customHeight="true" outlineLevel="0" collapsed="false">
      <c r="A7" s="13" t="s">
        <v>7</v>
      </c>
      <c r="B7" s="32" t="n">
        <f aca="false">개요!$C$7</f>
        <v>156</v>
      </c>
    </row>
    <row r="8" customFormat="false" ht="15" hidden="false" customHeight="true" outlineLevel="0" collapsed="false">
      <c r="A8" s="13" t="s">
        <v>307</v>
      </c>
      <c r="B8" s="41" t="n">
        <f aca="false">B5*B7</f>
        <v>18720</v>
      </c>
    </row>
    <row r="9" customFormat="false" ht="15" hidden="false" customHeight="true" outlineLevel="0" collapsed="false">
      <c r="A9" s="13" t="s">
        <v>308</v>
      </c>
      <c r="B9" s="42" t="s">
        <v>309</v>
      </c>
    </row>
    <row r="11" customFormat="false" ht="18" hidden="false" customHeight="true" outlineLevel="0" collapsed="false">
      <c r="A11" s="39" t="s">
        <v>310</v>
      </c>
      <c r="B11" s="5"/>
      <c r="C11" s="5"/>
      <c r="D11" s="5"/>
      <c r="E11" s="5"/>
      <c r="F11" s="5"/>
      <c r="G11" s="5"/>
      <c r="H11" s="5"/>
      <c r="I11" s="5"/>
      <c r="J11" s="5"/>
      <c r="K11" s="5"/>
      <c r="L11" s="5"/>
      <c r="M11" s="5"/>
      <c r="N11" s="5"/>
    </row>
    <row r="12" customFormat="false" ht="31.5" hidden="false" customHeight="true" outlineLevel="0" collapsed="false">
      <c r="A12" s="26" t="s">
        <v>311</v>
      </c>
      <c r="B12" s="26" t="s">
        <v>312</v>
      </c>
      <c r="C12" s="25" t="s">
        <v>313</v>
      </c>
      <c r="D12" s="25" t="s">
        <v>314</v>
      </c>
      <c r="E12" s="25" t="s">
        <v>315</v>
      </c>
      <c r="F12" s="25" t="s">
        <v>316</v>
      </c>
      <c r="G12" s="25" t="s">
        <v>317</v>
      </c>
      <c r="H12" s="25" t="s">
        <v>318</v>
      </c>
      <c r="I12" s="25" t="s">
        <v>319</v>
      </c>
      <c r="J12" s="25" t="s">
        <v>320</v>
      </c>
      <c r="K12" s="25" t="s">
        <v>321</v>
      </c>
      <c r="L12" s="25" t="s">
        <v>322</v>
      </c>
      <c r="M12" s="25" t="s">
        <v>323</v>
      </c>
      <c r="N12" s="25" t="s">
        <v>324</v>
      </c>
    </row>
    <row r="13" customFormat="false" ht="15" hidden="false" customHeight="true" outlineLevel="0" collapsed="false">
      <c r="A13" s="43" t="s">
        <v>103</v>
      </c>
      <c r="B13" s="31" t="n">
        <v>13</v>
      </c>
      <c r="C13" s="44" t="n">
        <v>0.13</v>
      </c>
      <c r="D13" s="44" t="n">
        <v>0.48</v>
      </c>
      <c r="E13" s="44" t="n">
        <v>0.03</v>
      </c>
      <c r="F13" s="44" t="n">
        <v>0.02</v>
      </c>
      <c r="G13" s="44" t="n">
        <v>0.02</v>
      </c>
      <c r="H13" s="44" t="n">
        <v>0.13</v>
      </c>
      <c r="I13" s="44" t="n">
        <v>0.14</v>
      </c>
      <c r="J13" s="44" t="n">
        <v>0.15</v>
      </c>
      <c r="K13" s="44" t="n">
        <v>0.08</v>
      </c>
      <c r="L13" s="44" t="n">
        <v>0.18</v>
      </c>
      <c r="M13" s="44" t="n">
        <v>0.15</v>
      </c>
      <c r="N13" s="44" t="n">
        <v>0.07</v>
      </c>
    </row>
    <row r="14" customFormat="false" ht="15" hidden="false" customHeight="true" outlineLevel="0" collapsed="false">
      <c r="A14" s="43" t="s">
        <v>116</v>
      </c>
      <c r="B14" s="31" t="n">
        <v>8</v>
      </c>
      <c r="C14" s="44" t="n">
        <v>0.12</v>
      </c>
      <c r="D14" s="44" t="n">
        <v>0.03</v>
      </c>
      <c r="E14" s="44" t="n">
        <v>0.46</v>
      </c>
      <c r="F14" s="44" t="n">
        <v>0.04</v>
      </c>
      <c r="G14" s="44" t="n">
        <v>0.03</v>
      </c>
      <c r="H14" s="44" t="n">
        <v>0.12</v>
      </c>
      <c r="I14" s="44" t="n">
        <v>0.07</v>
      </c>
      <c r="J14" s="44" t="n">
        <v>0.08</v>
      </c>
      <c r="K14" s="44" t="n">
        <v>0.11</v>
      </c>
      <c r="L14" s="44" t="n">
        <v>0.06</v>
      </c>
      <c r="M14" s="44" t="n">
        <v>0.09</v>
      </c>
      <c r="N14" s="44" t="n">
        <v>0.06</v>
      </c>
    </row>
    <row r="15" customFormat="false" ht="15" hidden="false" customHeight="true" outlineLevel="0" collapsed="false">
      <c r="A15" s="43" t="s">
        <v>128</v>
      </c>
      <c r="B15" s="31" t="n">
        <v>11</v>
      </c>
      <c r="C15" s="44" t="n">
        <v>0.12</v>
      </c>
      <c r="D15" s="44" t="n">
        <v>0.04</v>
      </c>
      <c r="E15" s="44" t="n">
        <v>0.04</v>
      </c>
      <c r="F15" s="44" t="n">
        <v>0.46</v>
      </c>
      <c r="G15" s="44" t="n">
        <v>0.04</v>
      </c>
      <c r="H15" s="44" t="n">
        <v>0.12</v>
      </c>
      <c r="I15" s="44" t="n">
        <v>0.1</v>
      </c>
      <c r="J15" s="44" t="n">
        <v>0.09</v>
      </c>
      <c r="K15" s="44" t="n">
        <v>0.15</v>
      </c>
      <c r="L15" s="44" t="n">
        <v>0.08</v>
      </c>
      <c r="M15" s="44" t="n">
        <v>0.11</v>
      </c>
      <c r="N15" s="44" t="n">
        <v>0.07</v>
      </c>
    </row>
    <row r="16" customFormat="false" ht="15" hidden="false" customHeight="true" outlineLevel="0" collapsed="false">
      <c r="A16" s="43" t="s">
        <v>139</v>
      </c>
      <c r="B16" s="31" t="n">
        <v>12</v>
      </c>
      <c r="C16" s="44" t="n">
        <v>0.12</v>
      </c>
      <c r="D16" s="44" t="n">
        <v>0.05</v>
      </c>
      <c r="E16" s="44" t="n">
        <v>0.03</v>
      </c>
      <c r="F16" s="44" t="n">
        <v>0.03</v>
      </c>
      <c r="G16" s="44" t="n">
        <v>0.46</v>
      </c>
      <c r="H16" s="44" t="n">
        <v>0.12</v>
      </c>
      <c r="I16" s="44" t="n">
        <v>0.06</v>
      </c>
      <c r="J16" s="44" t="n">
        <v>0.09</v>
      </c>
      <c r="K16" s="44" t="n">
        <v>0.08</v>
      </c>
      <c r="L16" s="44" t="n">
        <v>0.11</v>
      </c>
      <c r="M16" s="44" t="n">
        <v>0.08</v>
      </c>
      <c r="N16" s="44" t="n">
        <v>0.07</v>
      </c>
    </row>
    <row r="17" customFormat="false" ht="15" hidden="false" customHeight="true" outlineLevel="0" collapsed="false">
      <c r="A17" s="43" t="s">
        <v>150</v>
      </c>
      <c r="B17" s="31" t="n">
        <v>14</v>
      </c>
      <c r="C17" s="44" t="n">
        <v>0.08</v>
      </c>
      <c r="D17" s="44" t="n">
        <v>0.04</v>
      </c>
      <c r="E17" s="44" t="n">
        <v>0.04</v>
      </c>
      <c r="F17" s="44" t="n">
        <v>0.04</v>
      </c>
      <c r="G17" s="44" t="n">
        <v>0.04</v>
      </c>
      <c r="H17" s="44" t="n">
        <v>0.04</v>
      </c>
      <c r="I17" s="44" t="n">
        <v>0.06</v>
      </c>
      <c r="J17" s="44" t="n">
        <v>0.05</v>
      </c>
      <c r="K17" s="44" t="n">
        <v>0.04</v>
      </c>
      <c r="L17" s="44" t="n">
        <v>0.06</v>
      </c>
      <c r="M17" s="44" t="n">
        <v>0.04</v>
      </c>
      <c r="N17" s="44" t="n">
        <v>0.02</v>
      </c>
    </row>
    <row r="18" customFormat="false" ht="15" hidden="false" customHeight="true" outlineLevel="0" collapsed="false">
      <c r="A18" s="43" t="s">
        <v>174</v>
      </c>
      <c r="B18" s="31" t="n">
        <v>7</v>
      </c>
      <c r="C18" s="44" t="n">
        <v>0.02</v>
      </c>
      <c r="D18" s="44" t="n">
        <v>0.01</v>
      </c>
      <c r="E18" s="44" t="n">
        <v>0.01</v>
      </c>
      <c r="F18" s="44" t="n">
        <v>0.01</v>
      </c>
      <c r="G18" s="44" t="n">
        <v>0.01</v>
      </c>
      <c r="H18" s="44" t="n">
        <v>0.05</v>
      </c>
      <c r="I18" s="44" t="n">
        <v>0.06</v>
      </c>
      <c r="J18" s="44" t="n">
        <v>0.06</v>
      </c>
      <c r="K18" s="44" t="n">
        <v>0.04</v>
      </c>
      <c r="L18" s="44" t="n">
        <v>0.08</v>
      </c>
      <c r="M18" s="44" t="n">
        <v>0.07</v>
      </c>
      <c r="N18" s="44" t="n">
        <v>0.06</v>
      </c>
    </row>
    <row r="19" customFormat="false" ht="15" hidden="false" customHeight="true" outlineLevel="0" collapsed="false">
      <c r="A19" s="43" t="s">
        <v>196</v>
      </c>
      <c r="B19" s="31" t="n">
        <v>9</v>
      </c>
      <c r="C19" s="44" t="n">
        <v>0.02</v>
      </c>
      <c r="D19" s="44" t="n">
        <v>0.01</v>
      </c>
      <c r="E19" s="44" t="n">
        <v>0.01</v>
      </c>
      <c r="F19" s="44" t="n">
        <v>0.01</v>
      </c>
      <c r="G19" s="44" t="n">
        <v>0.01</v>
      </c>
      <c r="H19" s="44" t="n">
        <v>0.03</v>
      </c>
      <c r="I19" s="44" t="n">
        <v>0.06</v>
      </c>
      <c r="J19" s="44" t="n">
        <v>0.03</v>
      </c>
      <c r="K19" s="44" t="n">
        <v>0.04</v>
      </c>
      <c r="L19" s="44" t="n">
        <v>0.03</v>
      </c>
      <c r="M19" s="44" t="n">
        <v>0.05</v>
      </c>
      <c r="N19" s="44" t="n">
        <v>0.08</v>
      </c>
    </row>
    <row r="20" customFormat="false" ht="15" hidden="false" customHeight="true" outlineLevel="0" collapsed="false">
      <c r="A20" s="43" t="s">
        <v>185</v>
      </c>
      <c r="B20" s="31" t="n">
        <v>10</v>
      </c>
      <c r="C20" s="44" t="n">
        <v>0.02</v>
      </c>
      <c r="D20" s="44" t="n">
        <v>0.01</v>
      </c>
      <c r="E20" s="44" t="n">
        <v>0.03</v>
      </c>
      <c r="F20" s="44" t="n">
        <v>0.04</v>
      </c>
      <c r="G20" s="44" t="n">
        <v>0.01</v>
      </c>
      <c r="H20" s="44" t="n">
        <v>0.03</v>
      </c>
      <c r="I20" s="44" t="n">
        <v>0.08</v>
      </c>
      <c r="J20" s="44" t="n">
        <v>0.06</v>
      </c>
      <c r="K20" s="44" t="n">
        <v>0.07</v>
      </c>
      <c r="L20" s="44" t="n">
        <v>0.05</v>
      </c>
      <c r="M20" s="44" t="n">
        <v>0.06</v>
      </c>
      <c r="N20" s="44" t="n">
        <v>0.05</v>
      </c>
    </row>
    <row r="21" customFormat="false" ht="15" hidden="false" customHeight="true" outlineLevel="0" collapsed="false">
      <c r="A21" s="43" t="s">
        <v>252</v>
      </c>
      <c r="B21" s="31" t="n">
        <v>9</v>
      </c>
      <c r="C21" s="44" t="n">
        <v>0.01</v>
      </c>
      <c r="D21" s="44" t="n">
        <v>0.01</v>
      </c>
      <c r="E21" s="44" t="n">
        <v>0.04</v>
      </c>
      <c r="F21" s="44" t="n">
        <v>0.01</v>
      </c>
      <c r="G21" s="44" t="n">
        <v>0.04</v>
      </c>
      <c r="H21" s="44" t="n">
        <v>0.03</v>
      </c>
      <c r="I21" s="44" t="n">
        <v>0.05</v>
      </c>
      <c r="J21" s="44" t="n">
        <v>0.06</v>
      </c>
      <c r="K21" s="44" t="n">
        <v>0.04</v>
      </c>
      <c r="L21" s="44" t="n">
        <v>0.05</v>
      </c>
      <c r="M21" s="44" t="n">
        <v>0.04</v>
      </c>
      <c r="N21" s="44" t="n">
        <v>0.05</v>
      </c>
    </row>
    <row r="22" customFormat="false" ht="15" hidden="false" customHeight="true" outlineLevel="0" collapsed="false">
      <c r="A22" s="43" t="s">
        <v>207</v>
      </c>
      <c r="B22" s="31" t="n">
        <v>9</v>
      </c>
      <c r="C22" s="44" t="n">
        <v>0.12</v>
      </c>
      <c r="D22" s="44" t="n">
        <v>0.04</v>
      </c>
      <c r="E22" s="44" t="n">
        <v>0.03</v>
      </c>
      <c r="F22" s="44" t="n">
        <v>0.03</v>
      </c>
      <c r="G22" s="44" t="n">
        <v>0.03</v>
      </c>
      <c r="H22" s="44" t="n">
        <v>0.05</v>
      </c>
      <c r="I22" s="44" t="n">
        <v>0.04</v>
      </c>
      <c r="J22" s="44" t="n">
        <v>0.05</v>
      </c>
      <c r="K22" s="44" t="n">
        <v>0.03</v>
      </c>
      <c r="L22" s="44" t="n">
        <v>0.04</v>
      </c>
      <c r="M22" s="44" t="n">
        <v>0.04</v>
      </c>
      <c r="N22" s="44" t="n">
        <v>0.13</v>
      </c>
    </row>
    <row r="23" customFormat="false" ht="15" hidden="false" customHeight="true" outlineLevel="0" collapsed="false">
      <c r="A23" s="43" t="s">
        <v>218</v>
      </c>
      <c r="B23" s="31" t="n">
        <v>10</v>
      </c>
      <c r="C23" s="44" t="n">
        <v>0.01</v>
      </c>
      <c r="D23" s="44" t="n">
        <v>0.02</v>
      </c>
      <c r="E23" s="44" t="n">
        <v>0.01</v>
      </c>
      <c r="F23" s="44" t="n">
        <v>0.01</v>
      </c>
      <c r="G23" s="44" t="n">
        <v>0.09</v>
      </c>
      <c r="H23" s="44" t="n">
        <v>0.05</v>
      </c>
      <c r="I23" s="44" t="n">
        <v>0.06</v>
      </c>
      <c r="J23" s="44" t="n">
        <v>0.08</v>
      </c>
      <c r="K23" s="44" t="n">
        <v>0.08</v>
      </c>
      <c r="L23" s="44" t="n">
        <v>0.06</v>
      </c>
      <c r="M23" s="44" t="n">
        <v>0.05</v>
      </c>
      <c r="N23" s="44" t="n">
        <v>0.05</v>
      </c>
    </row>
    <row r="24" customFormat="false" ht="15" hidden="false" customHeight="true" outlineLevel="0" collapsed="false">
      <c r="A24" s="43" t="s">
        <v>162</v>
      </c>
      <c r="B24" s="31" t="n">
        <v>12</v>
      </c>
      <c r="C24" s="44" t="n">
        <v>0.02</v>
      </c>
      <c r="D24" s="44" t="n">
        <v>0.01</v>
      </c>
      <c r="E24" s="44" t="n">
        <v>0.01</v>
      </c>
      <c r="F24" s="44" t="n">
        <v>0.01</v>
      </c>
      <c r="G24" s="44" t="n">
        <v>0.01</v>
      </c>
      <c r="H24" s="44" t="n">
        <v>0.03</v>
      </c>
      <c r="I24" s="44" t="n">
        <v>0.03</v>
      </c>
      <c r="J24" s="44" t="n">
        <v>0.08</v>
      </c>
      <c r="K24" s="44" t="n">
        <v>0.05</v>
      </c>
      <c r="L24" s="44" t="n">
        <v>0.07</v>
      </c>
      <c r="M24" s="44" t="n">
        <v>0.05</v>
      </c>
      <c r="N24" s="44" t="n">
        <v>0.05</v>
      </c>
    </row>
    <row r="25" customFormat="false" ht="15" hidden="false" customHeight="true" outlineLevel="0" collapsed="false">
      <c r="A25" s="43" t="s">
        <v>229</v>
      </c>
      <c r="B25" s="31" t="n">
        <v>7</v>
      </c>
      <c r="C25" s="44" t="n">
        <v>0.17</v>
      </c>
      <c r="D25" s="44" t="n">
        <v>0.08</v>
      </c>
      <c r="E25" s="44" t="n">
        <v>0.08</v>
      </c>
      <c r="F25" s="44" t="n">
        <v>0.08</v>
      </c>
      <c r="G25" s="44" t="n">
        <v>0.08</v>
      </c>
      <c r="H25" s="44" t="n">
        <v>0.11</v>
      </c>
      <c r="I25" s="44" t="n">
        <v>0.06</v>
      </c>
      <c r="J25" s="44" t="n">
        <v>0.06</v>
      </c>
      <c r="K25" s="44" t="n">
        <v>0.09</v>
      </c>
      <c r="L25" s="44" t="n">
        <v>0.05</v>
      </c>
      <c r="M25" s="44" t="n">
        <v>0.08</v>
      </c>
      <c r="N25" s="44" t="n">
        <v>0.18</v>
      </c>
    </row>
    <row r="26" customFormat="false" ht="15" hidden="false" customHeight="true" outlineLevel="0" collapsed="false">
      <c r="A26" s="43" t="s">
        <v>240</v>
      </c>
      <c r="B26" s="31" t="n">
        <v>11</v>
      </c>
      <c r="C26" s="44" t="n">
        <v>0.01</v>
      </c>
      <c r="D26" s="44" t="n">
        <v>0.02</v>
      </c>
      <c r="E26" s="44" t="n">
        <v>0.01</v>
      </c>
      <c r="F26" s="44" t="n">
        <v>0.08</v>
      </c>
      <c r="G26" s="44" t="n">
        <v>0.01</v>
      </c>
      <c r="H26" s="44" t="n">
        <v>0.02</v>
      </c>
      <c r="I26" s="44" t="n">
        <v>0.06</v>
      </c>
      <c r="J26" s="44" t="n">
        <v>0.03</v>
      </c>
      <c r="K26" s="44" t="n">
        <v>0.05</v>
      </c>
      <c r="L26" s="44" t="n">
        <v>0.03</v>
      </c>
      <c r="M26" s="44" t="n">
        <v>0.05</v>
      </c>
      <c r="N26" s="44" t="n">
        <v>0.02</v>
      </c>
    </row>
    <row r="27" customFormat="false" ht="15" hidden="false" customHeight="true" outlineLevel="0" collapsed="false">
      <c r="A27" s="45" t="s">
        <v>325</v>
      </c>
      <c r="B27" s="31" t="n">
        <v>10</v>
      </c>
      <c r="C27" s="44" t="n">
        <v>0.03</v>
      </c>
      <c r="D27" s="44" t="n">
        <v>0.15</v>
      </c>
      <c r="E27" s="44" t="n">
        <v>0.17</v>
      </c>
      <c r="F27" s="44" t="n">
        <v>0.13</v>
      </c>
      <c r="G27" s="44" t="n">
        <v>0.12</v>
      </c>
      <c r="H27" s="44" t="n">
        <v>0.07</v>
      </c>
      <c r="I27" s="44" t="n">
        <v>0.07</v>
      </c>
      <c r="J27" s="44" t="n">
        <v>0.03</v>
      </c>
      <c r="K27" s="44" t="n">
        <v>0.05</v>
      </c>
      <c r="L27" s="44" t="n">
        <v>0.05</v>
      </c>
      <c r="M27" s="44" t="n">
        <v>0.04</v>
      </c>
      <c r="N27" s="44" t="n">
        <v>0.04</v>
      </c>
    </row>
    <row r="28" customFormat="false" ht="15" hidden="false" customHeight="true" outlineLevel="0" collapsed="false">
      <c r="A28" s="46" t="s">
        <v>278</v>
      </c>
      <c r="B28" s="47"/>
      <c r="C28" s="48" t="n">
        <f aca="false">SUM(C13:C27)</f>
        <v>1</v>
      </c>
      <c r="D28" s="48" t="n">
        <f aca="false">SUM(D13:D27)</f>
        <v>1</v>
      </c>
      <c r="E28" s="48" t="n">
        <f aca="false">SUM(E13:E27)</f>
        <v>1</v>
      </c>
      <c r="F28" s="48" t="n">
        <f aca="false">SUM(F13:F27)</f>
        <v>1</v>
      </c>
      <c r="G28" s="48" t="n">
        <f aca="false">SUM(G13:G27)</f>
        <v>1</v>
      </c>
      <c r="H28" s="48" t="n">
        <f aca="false">SUM(H13:H27)</f>
        <v>1</v>
      </c>
      <c r="I28" s="48" t="n">
        <f aca="false">SUM(I13:I27)</f>
        <v>1</v>
      </c>
      <c r="J28" s="48" t="n">
        <f aca="false">SUM(J13:J27)</f>
        <v>1</v>
      </c>
      <c r="K28" s="48" t="n">
        <f aca="false">SUM(K13:K27)</f>
        <v>1</v>
      </c>
      <c r="L28" s="48" t="n">
        <f aca="false">SUM(L13:L27)</f>
        <v>1</v>
      </c>
      <c r="M28" s="48" t="n">
        <f aca="false">SUM(M13:M27)</f>
        <v>1</v>
      </c>
      <c r="N28" s="48" t="n">
        <f aca="false">SUM(N13:N27)</f>
        <v>1</v>
      </c>
    </row>
    <row r="29" customFormat="false" ht="15" hidden="false" customHeight="true" outlineLevel="0" collapsed="false">
      <c r="A29" s="46" t="s">
        <v>326</v>
      </c>
      <c r="B29" s="47"/>
      <c r="C29" s="47" t="str">
        <f aca="false">IF(ROUND(C28,4)=1,"OK","확인")</f>
        <v>OK</v>
      </c>
      <c r="D29" s="47" t="str">
        <f aca="false">IF(ROUND(D28,4)=1,"OK","확인")</f>
        <v>OK</v>
      </c>
      <c r="E29" s="47" t="str">
        <f aca="false">IF(ROUND(E28,4)=1,"OK","확인")</f>
        <v>OK</v>
      </c>
      <c r="F29" s="47" t="str">
        <f aca="false">IF(ROUND(F28,4)=1,"OK","확인")</f>
        <v>OK</v>
      </c>
      <c r="G29" s="47" t="str">
        <f aca="false">IF(ROUND(G28,4)=1,"OK","확인")</f>
        <v>OK</v>
      </c>
      <c r="H29" s="47" t="str">
        <f aca="false">IF(ROUND(H28,4)=1,"OK","확인")</f>
        <v>OK</v>
      </c>
      <c r="I29" s="47" t="str">
        <f aca="false">IF(ROUND(I28,4)=1,"OK","확인")</f>
        <v>OK</v>
      </c>
      <c r="J29" s="47" t="str">
        <f aca="false">IF(ROUND(J28,4)=1,"OK","확인")</f>
        <v>OK</v>
      </c>
      <c r="K29" s="47" t="str">
        <f aca="false">IF(ROUND(K28,4)=1,"OK","확인")</f>
        <v>OK</v>
      </c>
      <c r="L29" s="47" t="str">
        <f aca="false">IF(ROUND(L28,4)=1,"OK","확인")</f>
        <v>OK</v>
      </c>
      <c r="M29" s="47" t="str">
        <f aca="false">IF(ROUND(M28,4)=1,"OK","확인")</f>
        <v>OK</v>
      </c>
      <c r="N29" s="47" t="str">
        <f aca="false">IF(ROUND(N28,4)=1,"OK","확인")</f>
        <v>OK</v>
      </c>
    </row>
    <row r="31" customFormat="false" ht="18" hidden="false" customHeight="true" outlineLevel="0" collapsed="false">
      <c r="A31" s="39" t="s">
        <v>327</v>
      </c>
      <c r="B31" s="5"/>
      <c r="C31" s="5"/>
      <c r="D31" s="5"/>
      <c r="E31" s="5"/>
      <c r="F31" s="5"/>
      <c r="G31" s="5"/>
      <c r="H31" s="5"/>
      <c r="I31" s="5"/>
      <c r="J31" s="5"/>
      <c r="K31" s="5"/>
      <c r="L31" s="5"/>
      <c r="M31" s="5"/>
      <c r="N31" s="5"/>
    </row>
    <row r="32" customFormat="false" ht="31.5" hidden="false" customHeight="true" outlineLevel="0" collapsed="false">
      <c r="A32" s="26" t="s">
        <v>328</v>
      </c>
      <c r="B32" s="26" t="s">
        <v>329</v>
      </c>
      <c r="C32" s="26" t="s">
        <v>330</v>
      </c>
      <c r="D32" s="26" t="s">
        <v>331</v>
      </c>
      <c r="E32" s="26" t="s">
        <v>312</v>
      </c>
      <c r="F32" s="26" t="s">
        <v>332</v>
      </c>
      <c r="G32" s="26" t="s">
        <v>333</v>
      </c>
      <c r="H32" s="26" t="s">
        <v>334</v>
      </c>
      <c r="I32" s="26" t="s">
        <v>335</v>
      </c>
    </row>
    <row r="33" customFormat="false" ht="15" hidden="false" customHeight="true" outlineLevel="0" collapsed="false">
      <c r="A33" s="49" t="s">
        <v>336</v>
      </c>
      <c r="B33" s="50" t="n">
        <v>0.8</v>
      </c>
      <c r="C33" s="32" t="n">
        <f aca="false">$B$5</f>
        <v>120</v>
      </c>
      <c r="D33" s="41" t="n">
        <f aca="false">C33*개요!$C$6</f>
        <v>1440</v>
      </c>
      <c r="E33" s="51" t="n">
        <f aca="false">SUMPRODUCT(C$13:C$27,$B$13:$B$27)*B33</f>
        <v>8.128</v>
      </c>
      <c r="F33" s="41" t="n">
        <f aca="false">C33*E33</f>
        <v>975.36</v>
      </c>
      <c r="G33" s="41" t="n">
        <f aca="false">F33*개요!$C$6</f>
        <v>11704.32</v>
      </c>
      <c r="H33" s="51" t="n">
        <f aca="false">F33/$B$6</f>
        <v>7.50276923076923</v>
      </c>
      <c r="I33" s="51" t="n">
        <f aca="false">H33*개요!$C$6/60</f>
        <v>1.50055384615385</v>
      </c>
    </row>
    <row r="34" customFormat="false" ht="15" hidden="false" customHeight="true" outlineLevel="0" collapsed="false">
      <c r="A34" s="49" t="s">
        <v>337</v>
      </c>
      <c r="B34" s="50" t="n">
        <v>1</v>
      </c>
      <c r="C34" s="32" t="n">
        <f aca="false">$B$5</f>
        <v>120</v>
      </c>
      <c r="D34" s="41" t="n">
        <f aca="false">C34*개요!$C$6</f>
        <v>1440</v>
      </c>
      <c r="E34" s="51" t="n">
        <f aca="false">SUMPRODUCT(D$13:D$27,$B$13:$B$27)*B34</f>
        <v>11.39</v>
      </c>
      <c r="F34" s="41" t="n">
        <f aca="false">C34*E34</f>
        <v>1366.8</v>
      </c>
      <c r="G34" s="41" t="n">
        <f aca="false">F34*개요!$C$6</f>
        <v>16401.6</v>
      </c>
      <c r="H34" s="51" t="n">
        <f aca="false">F34/$B$6</f>
        <v>10.5138461538462</v>
      </c>
      <c r="I34" s="51" t="n">
        <f aca="false">H34*개요!$C$6/60</f>
        <v>2.10276923076923</v>
      </c>
    </row>
    <row r="35" customFormat="false" ht="15" hidden="false" customHeight="true" outlineLevel="0" collapsed="false">
      <c r="A35" s="49" t="s">
        <v>338</v>
      </c>
      <c r="B35" s="50" t="n">
        <v>1</v>
      </c>
      <c r="C35" s="32" t="n">
        <f aca="false">$B$5</f>
        <v>120</v>
      </c>
      <c r="D35" s="41" t="n">
        <f aca="false">C35*개요!$C$6</f>
        <v>1440</v>
      </c>
      <c r="E35" s="51" t="n">
        <f aca="false">SUMPRODUCT(E$13:E$27,$B$13:$B$27)*B35</f>
        <v>9.11</v>
      </c>
      <c r="F35" s="41" t="n">
        <f aca="false">C35*E35</f>
        <v>1093.2</v>
      </c>
      <c r="G35" s="41" t="n">
        <f aca="false">F35*개요!$C$6</f>
        <v>13118.4</v>
      </c>
      <c r="H35" s="51" t="n">
        <f aca="false">F35/$B$6</f>
        <v>8.40923076923077</v>
      </c>
      <c r="I35" s="51" t="n">
        <f aca="false">H35*개요!$C$6/60</f>
        <v>1.68184615384615</v>
      </c>
    </row>
    <row r="36" customFormat="false" ht="15" hidden="false" customHeight="true" outlineLevel="0" collapsed="false">
      <c r="A36" s="49" t="s">
        <v>339</v>
      </c>
      <c r="B36" s="50" t="n">
        <v>1</v>
      </c>
      <c r="C36" s="32" t="n">
        <f aca="false">$B$5</f>
        <v>120</v>
      </c>
      <c r="D36" s="41" t="n">
        <f aca="false">C36*개요!$C$6</f>
        <v>1440</v>
      </c>
      <c r="E36" s="51" t="n">
        <f aca="false">SUMPRODUCT(F$13:F$27,$B$13:$B$27)*B36</f>
        <v>10.44</v>
      </c>
      <c r="F36" s="41" t="n">
        <f aca="false">C36*E36</f>
        <v>1252.8</v>
      </c>
      <c r="G36" s="41" t="n">
        <f aca="false">F36*개요!$C$6</f>
        <v>15033.6</v>
      </c>
      <c r="H36" s="51" t="n">
        <f aca="false">F36/$B$6</f>
        <v>9.63692307692308</v>
      </c>
      <c r="I36" s="51" t="n">
        <f aca="false">H36*개요!$C$6/60</f>
        <v>1.92738461538462</v>
      </c>
    </row>
    <row r="37" customFormat="false" ht="15" hidden="false" customHeight="true" outlineLevel="0" collapsed="false">
      <c r="A37" s="49" t="s">
        <v>340</v>
      </c>
      <c r="B37" s="50" t="n">
        <v>1</v>
      </c>
      <c r="C37" s="32" t="n">
        <f aca="false">$B$5</f>
        <v>120</v>
      </c>
      <c r="D37" s="41" t="n">
        <f aca="false">C37*개요!$C$6</f>
        <v>1440</v>
      </c>
      <c r="E37" s="51" t="n">
        <f aca="false">SUMPRODUCT(G$13:G$27,$B$13:$B$27)*B37</f>
        <v>10.8</v>
      </c>
      <c r="F37" s="41" t="n">
        <f aca="false">C37*E37</f>
        <v>1296</v>
      </c>
      <c r="G37" s="41" t="n">
        <f aca="false">F37*개요!$C$6</f>
        <v>15552</v>
      </c>
      <c r="H37" s="51" t="n">
        <f aca="false">F37/$B$6</f>
        <v>9.96923076923077</v>
      </c>
      <c r="I37" s="51" t="n">
        <f aca="false">H37*개요!$C$6/60</f>
        <v>1.99384615384615</v>
      </c>
    </row>
    <row r="38" customFormat="false" ht="15" hidden="false" customHeight="true" outlineLevel="0" collapsed="false">
      <c r="A38" s="49" t="s">
        <v>341</v>
      </c>
      <c r="B38" s="50" t="n">
        <v>1</v>
      </c>
      <c r="C38" s="32" t="n">
        <f aca="false">$B$5</f>
        <v>120</v>
      </c>
      <c r="D38" s="41" t="n">
        <f aca="false">C38*개요!$C$6</f>
        <v>1440</v>
      </c>
      <c r="E38" s="51" t="n">
        <f aca="false">SUMPRODUCT(H$13:H$27,$B$13:$B$27)*B38</f>
        <v>10.16</v>
      </c>
      <c r="F38" s="41" t="n">
        <f aca="false">C38*E38</f>
        <v>1219.2</v>
      </c>
      <c r="G38" s="41" t="n">
        <f aca="false">F38*개요!$C$6</f>
        <v>14630.4</v>
      </c>
      <c r="H38" s="51" t="n">
        <f aca="false">F38/$B$6</f>
        <v>9.37846153846154</v>
      </c>
      <c r="I38" s="51" t="n">
        <f aca="false">H38*개요!$C$6/60</f>
        <v>1.87569230769231</v>
      </c>
    </row>
    <row r="39" customFormat="false" ht="15" hidden="false" customHeight="true" outlineLevel="0" collapsed="false">
      <c r="A39" s="49" t="s">
        <v>342</v>
      </c>
      <c r="B39" s="50" t="n">
        <v>1</v>
      </c>
      <c r="C39" s="32" t="n">
        <f aca="false">$B$5</f>
        <v>120</v>
      </c>
      <c r="D39" s="41" t="n">
        <f aca="false">C39*개요!$C$6</f>
        <v>1440</v>
      </c>
      <c r="E39" s="51" t="n">
        <f aca="false">SUMPRODUCT(I$13:I$27,$B$13:$B$27)*B39</f>
        <v>10.35</v>
      </c>
      <c r="F39" s="41" t="n">
        <f aca="false">C39*E39</f>
        <v>1242</v>
      </c>
      <c r="G39" s="41" t="n">
        <f aca="false">F39*개요!$C$6</f>
        <v>14904</v>
      </c>
      <c r="H39" s="51" t="n">
        <f aca="false">F39/$B$6</f>
        <v>9.55384615384615</v>
      </c>
      <c r="I39" s="51" t="n">
        <f aca="false">H39*개요!$C$6/60</f>
        <v>1.91076923076923</v>
      </c>
    </row>
    <row r="40" customFormat="false" ht="15" hidden="false" customHeight="true" outlineLevel="0" collapsed="false">
      <c r="A40" s="49" t="s">
        <v>343</v>
      </c>
      <c r="B40" s="50" t="n">
        <v>1.1</v>
      </c>
      <c r="C40" s="32" t="n">
        <f aca="false">$B$5</f>
        <v>120</v>
      </c>
      <c r="D40" s="41" t="n">
        <f aca="false">C40*개요!$C$6</f>
        <v>1440</v>
      </c>
      <c r="E40" s="51" t="n">
        <f aca="false">SUMPRODUCT(J$13:J$27,$B$13:$B$27)*B40</f>
        <v>11.495</v>
      </c>
      <c r="F40" s="41" t="n">
        <f aca="false">C40*E40</f>
        <v>1379.4</v>
      </c>
      <c r="G40" s="41" t="n">
        <f aca="false">F40*개요!$C$6</f>
        <v>16552.8</v>
      </c>
      <c r="H40" s="51" t="n">
        <f aca="false">F40/$B$6</f>
        <v>10.6107692307692</v>
      </c>
      <c r="I40" s="51" t="n">
        <f aca="false">H40*개요!$C$6/60</f>
        <v>2.12215384615385</v>
      </c>
    </row>
    <row r="41" customFormat="false" ht="15" hidden="false" customHeight="true" outlineLevel="0" collapsed="false">
      <c r="A41" s="49" t="s">
        <v>344</v>
      </c>
      <c r="B41" s="50" t="n">
        <v>1.1</v>
      </c>
      <c r="C41" s="32" t="n">
        <f aca="false">$B$5</f>
        <v>120</v>
      </c>
      <c r="D41" s="41" t="n">
        <f aca="false">C41*개요!$C$6</f>
        <v>1440</v>
      </c>
      <c r="E41" s="51" t="n">
        <f aca="false">SUMPRODUCT(K$13:K$27,$B$13:$B$27)*B41</f>
        <v>11.154</v>
      </c>
      <c r="F41" s="41" t="n">
        <f aca="false">C41*E41</f>
        <v>1338.48</v>
      </c>
      <c r="G41" s="41" t="n">
        <f aca="false">F41*개요!$C$6</f>
        <v>16061.76</v>
      </c>
      <c r="H41" s="51" t="n">
        <f aca="false">F41/$B$6</f>
        <v>10.296</v>
      </c>
      <c r="I41" s="51" t="n">
        <f aca="false">H41*개요!$C$6/60</f>
        <v>2.0592</v>
      </c>
    </row>
    <row r="42" customFormat="false" ht="15" hidden="false" customHeight="true" outlineLevel="0" collapsed="false">
      <c r="A42" s="49" t="s">
        <v>345</v>
      </c>
      <c r="B42" s="50" t="n">
        <v>1.2</v>
      </c>
      <c r="C42" s="32" t="n">
        <f aca="false">$B$5</f>
        <v>120</v>
      </c>
      <c r="D42" s="41" t="n">
        <f aca="false">C42*개요!$C$6</f>
        <v>1440</v>
      </c>
      <c r="E42" s="51" t="n">
        <f aca="false">SUMPRODUCT(L$13:L$27,$B$13:$B$27)*B42</f>
        <v>12.744</v>
      </c>
      <c r="F42" s="41" t="n">
        <f aca="false">C42*E42</f>
        <v>1529.28</v>
      </c>
      <c r="G42" s="41" t="n">
        <f aca="false">F42*개요!$C$6</f>
        <v>18351.36</v>
      </c>
      <c r="H42" s="51" t="n">
        <f aca="false">F42/$B$6</f>
        <v>11.7636923076923</v>
      </c>
      <c r="I42" s="51" t="n">
        <f aca="false">H42*개요!$C$6/60</f>
        <v>2.35273846153846</v>
      </c>
    </row>
    <row r="43" customFormat="false" ht="15" hidden="false" customHeight="true" outlineLevel="0" collapsed="false">
      <c r="A43" s="49" t="s">
        <v>346</v>
      </c>
      <c r="B43" s="50" t="n">
        <v>1.2</v>
      </c>
      <c r="C43" s="32" t="n">
        <f aca="false">$B$5</f>
        <v>120</v>
      </c>
      <c r="D43" s="41" t="n">
        <f aca="false">C43*개요!$C$6</f>
        <v>1440</v>
      </c>
      <c r="E43" s="51" t="n">
        <f aca="false">SUMPRODUCT(M$13:M$27,$B$13:$B$27)*B43</f>
        <v>12.324</v>
      </c>
      <c r="F43" s="41" t="n">
        <f aca="false">C43*E43</f>
        <v>1478.88</v>
      </c>
      <c r="G43" s="41" t="n">
        <f aca="false">F43*개요!$C$6</f>
        <v>17746.56</v>
      </c>
      <c r="H43" s="51" t="n">
        <f aca="false">F43/$B$6</f>
        <v>11.376</v>
      </c>
      <c r="I43" s="51" t="n">
        <f aca="false">H43*개요!$C$6/60</f>
        <v>2.2752</v>
      </c>
    </row>
    <row r="44" customFormat="false" ht="15" hidden="false" customHeight="true" outlineLevel="0" collapsed="false">
      <c r="A44" s="49" t="s">
        <v>347</v>
      </c>
      <c r="B44" s="50" t="n">
        <v>0.8</v>
      </c>
      <c r="C44" s="32" t="n">
        <f aca="false">$B$5</f>
        <v>120</v>
      </c>
      <c r="D44" s="41" t="n">
        <f aca="false">C44*개요!$C$6</f>
        <v>1440</v>
      </c>
      <c r="E44" s="51" t="n">
        <f aca="false">SUMPRODUCT(N$13:N$27,$B$13:$B$27)*B44</f>
        <v>7.616</v>
      </c>
      <c r="F44" s="41" t="n">
        <f aca="false">C44*E44</f>
        <v>913.92</v>
      </c>
      <c r="G44" s="41" t="n">
        <f aca="false">F44*개요!$C$6</f>
        <v>10967.04</v>
      </c>
      <c r="H44" s="51" t="n">
        <f aca="false">F44/$B$6</f>
        <v>7.03015384615385</v>
      </c>
      <c r="I44" s="51" t="n">
        <f aca="false">H44*개요!$C$6/60</f>
        <v>1.40603076923077</v>
      </c>
    </row>
    <row r="45" customFormat="false" ht="15" hidden="false" customHeight="true" outlineLevel="0" collapsed="false">
      <c r="A45" s="52" t="s">
        <v>348</v>
      </c>
      <c r="B45" s="52"/>
      <c r="C45" s="52"/>
      <c r="D45" s="53" t="n">
        <f aca="false">SUM(D33:D44)</f>
        <v>17280</v>
      </c>
      <c r="E45" s="54" t="n">
        <f aca="false">G45/D45</f>
        <v>10.4759166666667</v>
      </c>
      <c r="F45" s="53" t="n">
        <f aca="false">AVERAGE(F33:F44)</f>
        <v>1257.11</v>
      </c>
      <c r="G45" s="53" t="n">
        <f aca="false">SUM(G33:G44)</f>
        <v>181023.84</v>
      </c>
      <c r="H45" s="54" t="n">
        <f aca="false">AVERAGE(H33:H44)</f>
        <v>9.67007692307692</v>
      </c>
      <c r="I45" s="54" t="n">
        <f aca="false">SUM(I33:I44)</f>
        <v>23.2081846153846</v>
      </c>
    </row>
    <row r="46" customFormat="false" ht="15" hidden="false" customHeight="true" outlineLevel="0" collapsed="false">
      <c r="A46" s="23" t="s">
        <v>349</v>
      </c>
    </row>
    <row r="48" customFormat="false" ht="18" hidden="false" customHeight="true" outlineLevel="0" collapsed="false">
      <c r="A48" s="39" t="s">
        <v>350</v>
      </c>
      <c r="B48" s="5"/>
      <c r="C48" s="5"/>
      <c r="D48" s="5"/>
      <c r="E48" s="5"/>
      <c r="F48" s="5"/>
      <c r="G48" s="5"/>
      <c r="H48" s="5"/>
      <c r="I48" s="5"/>
      <c r="J48" s="5"/>
      <c r="K48" s="5"/>
      <c r="L48" s="5"/>
      <c r="M48" s="5"/>
      <c r="N48" s="5"/>
    </row>
    <row r="49" customFormat="false" ht="19.5" hidden="false" customHeight="true" outlineLevel="0" collapsed="false">
      <c r="A49" s="26" t="s">
        <v>351</v>
      </c>
      <c r="B49" s="26" t="s">
        <v>352</v>
      </c>
      <c r="C49" s="26" t="s">
        <v>353</v>
      </c>
      <c r="D49" s="26" t="s">
        <v>354</v>
      </c>
      <c r="E49" s="26" t="s">
        <v>355</v>
      </c>
      <c r="F49" s="26" t="s">
        <v>356</v>
      </c>
      <c r="G49" s="26" t="s">
        <v>278</v>
      </c>
      <c r="H49" s="26" t="s">
        <v>326</v>
      </c>
      <c r="I49" s="26" t="s">
        <v>357</v>
      </c>
      <c r="J49" s="26"/>
      <c r="K49" s="26"/>
      <c r="L49" s="26"/>
      <c r="M49" s="26"/>
      <c r="N49" s="26"/>
    </row>
    <row r="50" customFormat="false" ht="18" hidden="false" customHeight="true" outlineLevel="0" collapsed="false">
      <c r="A50" s="55" t="s">
        <v>358</v>
      </c>
      <c r="B50" s="56" t="n">
        <v>15</v>
      </c>
      <c r="C50" s="56" t="n">
        <v>35</v>
      </c>
      <c r="D50" s="56" t="n">
        <v>30</v>
      </c>
      <c r="E50" s="56" t="n">
        <v>25</v>
      </c>
      <c r="F50" s="56" t="n">
        <v>15</v>
      </c>
      <c r="G50" s="57" t="n">
        <f aca="false">SUM(B50:F50)</f>
        <v>120</v>
      </c>
      <c r="H50" s="57" t="str">
        <f aca="false">IF(G50=$B$5,"OK","확인")</f>
        <v>OK</v>
      </c>
      <c r="I50" s="58" t="s">
        <v>359</v>
      </c>
      <c r="J50" s="58"/>
      <c r="K50" s="58"/>
      <c r="L50" s="58"/>
      <c r="M50" s="58"/>
      <c r="N50" s="58"/>
    </row>
    <row r="51" customFormat="false" ht="18" hidden="false" customHeight="true" outlineLevel="0" collapsed="false">
      <c r="A51" s="55" t="s">
        <v>360</v>
      </c>
      <c r="B51" s="56" t="n">
        <v>15</v>
      </c>
      <c r="C51" s="56" t="n">
        <v>30</v>
      </c>
      <c r="D51" s="56" t="n">
        <v>30</v>
      </c>
      <c r="E51" s="56" t="n">
        <v>25</v>
      </c>
      <c r="F51" s="56" t="n">
        <v>20</v>
      </c>
      <c r="G51" s="57" t="n">
        <f aca="false">SUM(B51:F51)</f>
        <v>120</v>
      </c>
      <c r="H51" s="57" t="str">
        <f aca="false">IF(G51=$B$5,"OK","확인")</f>
        <v>OK</v>
      </c>
      <c r="I51" s="59" t="s">
        <v>361</v>
      </c>
      <c r="J51" s="59"/>
      <c r="K51" s="59"/>
      <c r="L51" s="59"/>
      <c r="M51" s="59"/>
      <c r="N51" s="59"/>
    </row>
    <row r="52" customFormat="false" ht="18" hidden="false" customHeight="true" outlineLevel="0" collapsed="false">
      <c r="A52" s="55" t="s">
        <v>362</v>
      </c>
      <c r="B52" s="56" t="n">
        <v>15</v>
      </c>
      <c r="C52" s="56" t="n">
        <v>30</v>
      </c>
      <c r="D52" s="56" t="n">
        <v>25</v>
      </c>
      <c r="E52" s="56" t="n">
        <v>35</v>
      </c>
      <c r="F52" s="56" t="n">
        <v>15</v>
      </c>
      <c r="G52" s="57" t="n">
        <f aca="false">SUM(B52:F52)</f>
        <v>120</v>
      </c>
      <c r="H52" s="57" t="str">
        <f aca="false">IF(G52=$B$5,"OK","확인")</f>
        <v>OK</v>
      </c>
      <c r="I52" s="59" t="s">
        <v>363</v>
      </c>
      <c r="J52" s="59"/>
      <c r="K52" s="59"/>
      <c r="L52" s="59"/>
      <c r="M52" s="59"/>
      <c r="N52" s="59"/>
    </row>
    <row r="53" customFormat="false" ht="30" hidden="false" customHeight="true" outlineLevel="0" collapsed="false">
      <c r="A53" s="55" t="s">
        <v>364</v>
      </c>
      <c r="B53" s="56" t="n">
        <v>15</v>
      </c>
      <c r="C53" s="56" t="n">
        <v>30</v>
      </c>
      <c r="D53" s="56" t="n">
        <v>25</v>
      </c>
      <c r="E53" s="56" t="n">
        <v>35</v>
      </c>
      <c r="F53" s="56" t="n">
        <v>15</v>
      </c>
      <c r="G53" s="57" t="n">
        <f aca="false">SUM(B53:F53)</f>
        <v>120</v>
      </c>
      <c r="H53" s="57" t="str">
        <f aca="false">IF(G53=$B$5,"OK","확인")</f>
        <v>OK</v>
      </c>
      <c r="I53" s="59" t="s">
        <v>365</v>
      </c>
      <c r="J53" s="59"/>
      <c r="K53" s="59"/>
      <c r="L53" s="59"/>
      <c r="M53" s="59"/>
      <c r="N53" s="59"/>
    </row>
    <row r="54" customFormat="false" ht="18" hidden="false" customHeight="true" outlineLevel="0" collapsed="false">
      <c r="A54" s="55" t="s">
        <v>366</v>
      </c>
      <c r="B54" s="56" t="n">
        <v>10</v>
      </c>
      <c r="C54" s="56" t="n">
        <v>30</v>
      </c>
      <c r="D54" s="56" t="n">
        <v>30</v>
      </c>
      <c r="E54" s="56" t="n">
        <v>40</v>
      </c>
      <c r="F54" s="56" t="n">
        <v>10</v>
      </c>
      <c r="G54" s="57" t="n">
        <f aca="false">SUM(B54:F54)</f>
        <v>120</v>
      </c>
      <c r="H54" s="57" t="str">
        <f aca="false">IF(G54=$B$5,"OK","확인")</f>
        <v>OK</v>
      </c>
      <c r="I54" s="59" t="s">
        <v>367</v>
      </c>
      <c r="J54" s="59"/>
      <c r="K54" s="59"/>
      <c r="L54" s="59"/>
      <c r="M54" s="59"/>
      <c r="N54" s="59"/>
    </row>
    <row r="55" customFormat="false" ht="18" hidden="false" customHeight="true" outlineLevel="0" collapsed="false">
      <c r="A55" s="55" t="s">
        <v>368</v>
      </c>
      <c r="B55" s="56" t="n">
        <v>20</v>
      </c>
      <c r="C55" s="56" t="n">
        <v>25</v>
      </c>
      <c r="D55" s="56" t="n">
        <v>25</v>
      </c>
      <c r="E55" s="56" t="n">
        <v>25</v>
      </c>
      <c r="F55" s="56" t="n">
        <v>25</v>
      </c>
      <c r="G55" s="57" t="n">
        <f aca="false">SUM(B55:F55)</f>
        <v>120</v>
      </c>
      <c r="H55" s="57" t="str">
        <f aca="false">IF(G55=$B$5,"OK","확인")</f>
        <v>OK</v>
      </c>
      <c r="I55" s="59" t="s">
        <v>369</v>
      </c>
      <c r="J55" s="59"/>
      <c r="K55" s="59"/>
      <c r="L55" s="59"/>
      <c r="M55" s="59"/>
      <c r="N55" s="59"/>
    </row>
    <row r="57" customFormat="false" ht="18" hidden="false" customHeight="true" outlineLevel="0" collapsed="false">
      <c r="A57" s="39" t="s">
        <v>370</v>
      </c>
      <c r="B57" s="5"/>
      <c r="C57" s="5"/>
      <c r="D57" s="5"/>
      <c r="E57" s="5"/>
      <c r="F57" s="5"/>
      <c r="G57" s="5"/>
      <c r="H57" s="5"/>
      <c r="I57" s="5"/>
      <c r="J57" s="5"/>
      <c r="K57" s="5"/>
      <c r="L57" s="5"/>
      <c r="M57" s="5"/>
      <c r="N57" s="5"/>
    </row>
    <row r="58" customFormat="false" ht="16.5" hidden="false" customHeight="true" outlineLevel="0" collapsed="false">
      <c r="A58" s="38" t="s">
        <v>371</v>
      </c>
      <c r="B58" s="38"/>
      <c r="C58" s="38"/>
      <c r="D58" s="38"/>
      <c r="E58" s="38"/>
      <c r="F58" s="38"/>
      <c r="G58" s="38"/>
      <c r="H58" s="38"/>
      <c r="I58" s="38"/>
      <c r="J58" s="38"/>
      <c r="K58" s="38"/>
      <c r="L58" s="38"/>
      <c r="M58" s="38"/>
      <c r="N58" s="38"/>
    </row>
    <row r="59" customFormat="false" ht="16.5" hidden="false" customHeight="true" outlineLevel="0" collapsed="false">
      <c r="A59" s="38" t="s">
        <v>372</v>
      </c>
      <c r="B59" s="38"/>
      <c r="C59" s="38"/>
      <c r="D59" s="38"/>
      <c r="E59" s="38"/>
      <c r="F59" s="38"/>
      <c r="G59" s="38"/>
      <c r="H59" s="38"/>
      <c r="I59" s="38"/>
      <c r="J59" s="38"/>
      <c r="K59" s="38"/>
      <c r="L59" s="38"/>
      <c r="M59" s="38"/>
      <c r="N59" s="38"/>
    </row>
    <row r="60" customFormat="false" ht="16.5" hidden="false" customHeight="true" outlineLevel="0" collapsed="false">
      <c r="A60" s="38" t="s">
        <v>373</v>
      </c>
      <c r="B60" s="38"/>
      <c r="C60" s="38"/>
      <c r="D60" s="38"/>
      <c r="E60" s="38"/>
      <c r="F60" s="38"/>
      <c r="G60" s="38"/>
      <c r="H60" s="38"/>
      <c r="I60" s="38"/>
      <c r="J60" s="38"/>
      <c r="K60" s="38"/>
      <c r="L60" s="38"/>
      <c r="M60" s="38"/>
      <c r="N60" s="38"/>
    </row>
    <row r="61" customFormat="false" ht="16.5" hidden="false" customHeight="true" outlineLevel="0" collapsed="false">
      <c r="A61" s="38" t="s">
        <v>374</v>
      </c>
      <c r="B61" s="38"/>
      <c r="C61" s="38"/>
      <c r="D61" s="38"/>
      <c r="E61" s="38"/>
      <c r="F61" s="38"/>
      <c r="G61" s="38"/>
      <c r="H61" s="38"/>
      <c r="I61" s="38"/>
      <c r="J61" s="38"/>
      <c r="K61" s="38"/>
      <c r="L61" s="38"/>
      <c r="M61" s="38"/>
      <c r="N61" s="38"/>
    </row>
    <row r="62" customFormat="false" ht="16.5" hidden="false" customHeight="true" outlineLevel="0" collapsed="false">
      <c r="A62" s="38" t="s">
        <v>375</v>
      </c>
      <c r="B62" s="38"/>
      <c r="C62" s="38"/>
      <c r="D62" s="38"/>
      <c r="E62" s="38"/>
      <c r="F62" s="38"/>
      <c r="G62" s="38"/>
      <c r="H62" s="38"/>
      <c r="I62" s="38"/>
      <c r="J62" s="38"/>
      <c r="K62" s="38"/>
      <c r="L62" s="38"/>
      <c r="M62" s="38"/>
      <c r="N62" s="38"/>
    </row>
    <row r="63" customFormat="false" ht="16.5" hidden="false" customHeight="true" outlineLevel="0" collapsed="false">
      <c r="A63" s="38" t="s">
        <v>376</v>
      </c>
      <c r="B63" s="38"/>
      <c r="C63" s="38"/>
      <c r="D63" s="38"/>
      <c r="E63" s="38"/>
      <c r="F63" s="38"/>
      <c r="G63" s="38"/>
      <c r="H63" s="38"/>
      <c r="I63" s="38"/>
      <c r="J63" s="38"/>
      <c r="K63" s="38"/>
      <c r="L63" s="38"/>
      <c r="M63" s="38"/>
      <c r="N63" s="38"/>
    </row>
  </sheetData>
  <mergeCells count="13">
    <mergeCell ref="I49:N49"/>
    <mergeCell ref="I50:N50"/>
    <mergeCell ref="I51:N51"/>
    <mergeCell ref="I52:N52"/>
    <mergeCell ref="I53:N53"/>
    <mergeCell ref="I54:N54"/>
    <mergeCell ref="I55:N55"/>
    <mergeCell ref="A58:N58"/>
    <mergeCell ref="A59:N59"/>
    <mergeCell ref="A60:N60"/>
    <mergeCell ref="A61:N61"/>
    <mergeCell ref="A62:N62"/>
    <mergeCell ref="A63:N6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22"/>
    <col collapsed="false" customWidth="true" hidden="false" outlineLevel="0" max="4" min="4" style="1" width="32"/>
    <col collapsed="false" customWidth="true" hidden="false" outlineLevel="0" max="5" min="5" style="1" width="56"/>
    <col collapsed="false" customWidth="true" hidden="false" outlineLevel="0" max="6" min="6" style="1" width="11"/>
    <col collapsed="false" customWidth="true" hidden="false" outlineLevel="0" max="7" min="7" style="1" width="48"/>
    <col collapsed="false" customWidth="true" hidden="false" outlineLevel="0" max="8" min="8" style="1" width="10"/>
  </cols>
  <sheetData>
    <row r="1" customFormat="false" ht="24" hidden="false" customHeight="true" outlineLevel="0" collapsed="false">
      <c r="A1" s="2" t="s">
        <v>377</v>
      </c>
    </row>
    <row r="2" customFormat="false" ht="15" hidden="false" customHeight="true" outlineLevel="0" collapsed="false">
      <c r="A2" s="23" t="s">
        <v>378</v>
      </c>
    </row>
    <row r="4" customFormat="false" ht="29.25" hidden="false" customHeight="true" outlineLevel="0" collapsed="false">
      <c r="A4" s="26" t="s">
        <v>328</v>
      </c>
      <c r="B4" s="26" t="s">
        <v>379</v>
      </c>
      <c r="C4" s="26" t="s">
        <v>380</v>
      </c>
      <c r="D4" s="26" t="s">
        <v>381</v>
      </c>
      <c r="E4" s="26" t="s">
        <v>382</v>
      </c>
      <c r="F4" s="26" t="s">
        <v>383</v>
      </c>
      <c r="G4" s="26" t="s">
        <v>384</v>
      </c>
      <c r="H4" s="26" t="s">
        <v>385</v>
      </c>
    </row>
    <row r="5" customFormat="false" ht="42" hidden="false" customHeight="true" outlineLevel="0" collapsed="false">
      <c r="A5" s="27" t="n">
        <v>1</v>
      </c>
      <c r="B5" s="8" t="s">
        <v>386</v>
      </c>
      <c r="C5" s="9" t="s">
        <v>387</v>
      </c>
      <c r="D5" s="8" t="s">
        <v>388</v>
      </c>
      <c r="E5" s="9" t="s">
        <v>389</v>
      </c>
      <c r="F5" s="27" t="s">
        <v>390</v>
      </c>
      <c r="G5" s="9" t="s">
        <v>391</v>
      </c>
      <c r="H5" s="29" t="s">
        <v>392</v>
      </c>
    </row>
    <row r="6" customFormat="false" ht="29.25" hidden="false" customHeight="true" outlineLevel="0" collapsed="false">
      <c r="A6" s="27" t="n">
        <v>2</v>
      </c>
      <c r="B6" s="8" t="s">
        <v>393</v>
      </c>
      <c r="C6" s="9" t="s">
        <v>394</v>
      </c>
      <c r="D6" s="8" t="s">
        <v>395</v>
      </c>
      <c r="E6" s="9" t="s">
        <v>396</v>
      </c>
      <c r="F6" s="27" t="s">
        <v>397</v>
      </c>
      <c r="G6" s="9" t="s">
        <v>398</v>
      </c>
      <c r="H6" s="29" t="s">
        <v>399</v>
      </c>
    </row>
    <row r="7" customFormat="false" ht="29.25" hidden="false" customHeight="true" outlineLevel="0" collapsed="false">
      <c r="A7" s="27" t="n">
        <v>3</v>
      </c>
      <c r="B7" s="8" t="s">
        <v>400</v>
      </c>
      <c r="C7" s="9" t="s">
        <v>401</v>
      </c>
      <c r="D7" s="8" t="s">
        <v>402</v>
      </c>
      <c r="E7" s="9" t="s">
        <v>403</v>
      </c>
      <c r="F7" s="27" t="s">
        <v>397</v>
      </c>
      <c r="G7" s="9" t="s">
        <v>404</v>
      </c>
      <c r="H7" s="29" t="s">
        <v>399</v>
      </c>
    </row>
    <row r="8" customFormat="false" ht="29.25" hidden="false" customHeight="true" outlineLevel="0" collapsed="false">
      <c r="A8" s="27" t="n">
        <v>4</v>
      </c>
      <c r="B8" s="8" t="s">
        <v>405</v>
      </c>
      <c r="C8" s="9" t="s">
        <v>406</v>
      </c>
      <c r="D8" s="8" t="s">
        <v>407</v>
      </c>
      <c r="E8" s="9" t="s">
        <v>408</v>
      </c>
      <c r="F8" s="27" t="s">
        <v>397</v>
      </c>
      <c r="G8" s="9" t="s">
        <v>409</v>
      </c>
      <c r="H8" s="29" t="s">
        <v>399</v>
      </c>
    </row>
    <row r="9" customFormat="false" ht="29.25" hidden="false" customHeight="true" outlineLevel="0" collapsed="false">
      <c r="A9" s="27" t="n">
        <v>5</v>
      </c>
      <c r="B9" s="8" t="s">
        <v>410</v>
      </c>
      <c r="C9" s="9" t="s">
        <v>411</v>
      </c>
      <c r="D9" s="8" t="s">
        <v>412</v>
      </c>
      <c r="E9" s="9" t="s">
        <v>413</v>
      </c>
      <c r="F9" s="27" t="s">
        <v>397</v>
      </c>
      <c r="G9" s="9" t="s">
        <v>414</v>
      </c>
      <c r="H9" s="29" t="s">
        <v>399</v>
      </c>
    </row>
    <row r="10" customFormat="false" ht="29.25" hidden="false" customHeight="true" outlineLevel="0" collapsed="false">
      <c r="A10" s="27" t="n">
        <v>6</v>
      </c>
      <c r="B10" s="8" t="s">
        <v>415</v>
      </c>
      <c r="C10" s="9" t="s">
        <v>416</v>
      </c>
      <c r="D10" s="8" t="s">
        <v>417</v>
      </c>
      <c r="E10" s="9" t="s">
        <v>418</v>
      </c>
      <c r="F10" s="27" t="s">
        <v>419</v>
      </c>
      <c r="G10" s="9" t="s">
        <v>420</v>
      </c>
      <c r="H10" s="29" t="s">
        <v>421</v>
      </c>
    </row>
    <row r="11" customFormat="false" ht="29.25" hidden="false" customHeight="true" outlineLevel="0" collapsed="false">
      <c r="A11" s="27" t="n">
        <v>7</v>
      </c>
      <c r="B11" s="8" t="s">
        <v>422</v>
      </c>
      <c r="C11" s="9" t="s">
        <v>423</v>
      </c>
      <c r="D11" s="9" t="s">
        <v>424</v>
      </c>
      <c r="E11" s="9" t="s">
        <v>425</v>
      </c>
      <c r="F11" s="27" t="s">
        <v>397</v>
      </c>
      <c r="G11" s="9" t="s">
        <v>426</v>
      </c>
      <c r="H11" s="29" t="s">
        <v>427</v>
      </c>
    </row>
    <row r="12" customFormat="false" ht="29.25" hidden="false" customHeight="true" outlineLevel="0" collapsed="false">
      <c r="A12" s="27" t="n">
        <v>8</v>
      </c>
      <c r="B12" s="8" t="s">
        <v>428</v>
      </c>
      <c r="C12" s="9" t="s">
        <v>429</v>
      </c>
      <c r="D12" s="8" t="s">
        <v>430</v>
      </c>
      <c r="E12" s="9" t="s">
        <v>431</v>
      </c>
      <c r="F12" s="27" t="s">
        <v>397</v>
      </c>
      <c r="G12" s="9" t="s">
        <v>432</v>
      </c>
      <c r="H12" s="29" t="s">
        <v>433</v>
      </c>
    </row>
    <row r="13" customFormat="false" ht="29.25" hidden="false" customHeight="true" outlineLevel="0" collapsed="false">
      <c r="A13" s="27" t="n">
        <v>9</v>
      </c>
      <c r="B13" s="8" t="s">
        <v>434</v>
      </c>
      <c r="C13" s="9" t="s">
        <v>435</v>
      </c>
      <c r="D13" s="8" t="s">
        <v>436</v>
      </c>
      <c r="E13" s="8" t="s">
        <v>437</v>
      </c>
      <c r="F13" s="27" t="s">
        <v>438</v>
      </c>
      <c r="G13" s="9" t="s">
        <v>439</v>
      </c>
      <c r="H13" s="29" t="s">
        <v>433</v>
      </c>
    </row>
    <row r="14" customFormat="false" ht="29.25" hidden="false" customHeight="true" outlineLevel="0" collapsed="false">
      <c r="A14" s="27" t="n">
        <v>10</v>
      </c>
      <c r="B14" s="8" t="s">
        <v>440</v>
      </c>
      <c r="C14" s="9" t="s">
        <v>441</v>
      </c>
      <c r="D14" s="9" t="s">
        <v>442</v>
      </c>
      <c r="E14" s="9" t="s">
        <v>443</v>
      </c>
      <c r="F14" s="27" t="s">
        <v>444</v>
      </c>
      <c r="G14" s="9" t="s">
        <v>445</v>
      </c>
      <c r="H14" s="29" t="s">
        <v>433</v>
      </c>
    </row>
    <row r="15" customFormat="false" ht="42" hidden="false" customHeight="true" outlineLevel="0" collapsed="false">
      <c r="A15" s="27" t="n">
        <v>11</v>
      </c>
      <c r="B15" s="8" t="s">
        <v>446</v>
      </c>
      <c r="C15" s="9" t="s">
        <v>447</v>
      </c>
      <c r="D15" s="9" t="s">
        <v>448</v>
      </c>
      <c r="E15" s="9" t="s">
        <v>449</v>
      </c>
      <c r="F15" s="27" t="s">
        <v>444</v>
      </c>
      <c r="G15" s="9" t="s">
        <v>450</v>
      </c>
      <c r="H15" s="29" t="s">
        <v>433</v>
      </c>
    </row>
    <row r="16" customFormat="false" ht="42" hidden="false" customHeight="true" outlineLevel="0" collapsed="false">
      <c r="A16" s="27" t="n">
        <v>12</v>
      </c>
      <c r="B16" s="8" t="s">
        <v>451</v>
      </c>
      <c r="C16" s="9" t="s">
        <v>452</v>
      </c>
      <c r="D16" s="9" t="s">
        <v>453</v>
      </c>
      <c r="E16" s="9" t="s">
        <v>454</v>
      </c>
      <c r="F16" s="27" t="s">
        <v>444</v>
      </c>
      <c r="G16" s="9" t="s">
        <v>455</v>
      </c>
      <c r="H16" s="29" t="s">
        <v>433</v>
      </c>
    </row>
    <row r="17" customFormat="false" ht="29.25" hidden="false" customHeight="true" outlineLevel="0" collapsed="false">
      <c r="A17" s="27" t="n">
        <v>13</v>
      </c>
      <c r="B17" s="8" t="s">
        <v>456</v>
      </c>
      <c r="C17" s="9" t="s">
        <v>457</v>
      </c>
      <c r="D17" s="8" t="s">
        <v>458</v>
      </c>
      <c r="E17" s="8" t="s">
        <v>459</v>
      </c>
      <c r="F17" s="27" t="s">
        <v>460</v>
      </c>
      <c r="G17" s="9" t="s">
        <v>461</v>
      </c>
      <c r="H17" s="29" t="s">
        <v>457</v>
      </c>
    </row>
    <row r="19" customFormat="false" ht="29.25" hidden="false" customHeight="true" outlineLevel="0" collapsed="false">
      <c r="A19" s="60" t="s">
        <v>462</v>
      </c>
      <c r="B19" s="60"/>
      <c r="C19" s="60"/>
      <c r="D19" s="60"/>
      <c r="E19" s="60"/>
      <c r="F19" s="60"/>
      <c r="G19" s="60"/>
      <c r="H19" s="60"/>
    </row>
  </sheetData>
  <mergeCells count="1">
    <mergeCell ref="A19:H1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B2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8"/>
  </cols>
  <sheetData>
    <row r="1" customFormat="false" ht="24" hidden="false" customHeight="true" outlineLevel="0" collapsed="false">
      <c r="A1" s="24" t="s">
        <v>463</v>
      </c>
    </row>
    <row r="2" customFormat="false" ht="15" hidden="false" customHeight="true" outlineLevel="0" collapsed="false">
      <c r="A2" s="23" t="s">
        <v>464</v>
      </c>
    </row>
    <row r="4" customFormat="false" ht="30" hidden="false" customHeight="true" outlineLevel="0" collapsed="false">
      <c r="A4" s="61" t="s">
        <v>313</v>
      </c>
      <c r="B4" s="62" t="s">
        <v>465</v>
      </c>
    </row>
    <row r="5" customFormat="false" ht="29.25" hidden="false" customHeight="true" outlineLevel="0" collapsed="false">
      <c r="A5" s="6" t="s">
        <v>466</v>
      </c>
      <c r="B5" s="9" t="s">
        <v>467</v>
      </c>
    </row>
    <row r="6" customFormat="false" ht="29.25" hidden="false" customHeight="true" outlineLevel="0" collapsed="false">
      <c r="A6" s="6" t="s">
        <v>468</v>
      </c>
      <c r="B6" s="9" t="s">
        <v>469</v>
      </c>
    </row>
    <row r="7" customFormat="false" ht="29.25" hidden="false" customHeight="true" outlineLevel="0" collapsed="false">
      <c r="A7" s="6" t="s">
        <v>470</v>
      </c>
      <c r="B7" s="8" t="s">
        <v>471</v>
      </c>
    </row>
    <row r="8" customFormat="false" ht="16.5" hidden="false" customHeight="true" outlineLevel="0" collapsed="false">
      <c r="A8" s="6" t="s">
        <v>472</v>
      </c>
      <c r="B8" s="9" t="s">
        <v>473</v>
      </c>
    </row>
    <row r="9" customFormat="false" ht="29.25" hidden="false" customHeight="true" outlineLevel="0" collapsed="false">
      <c r="A9" s="6" t="s">
        <v>474</v>
      </c>
      <c r="B9" s="9" t="s">
        <v>475</v>
      </c>
    </row>
    <row r="10" customFormat="false" ht="29.25" hidden="false" customHeight="true" outlineLevel="0" collapsed="false">
      <c r="A10" s="6" t="s">
        <v>476</v>
      </c>
      <c r="B10" s="9" t="s">
        <v>477</v>
      </c>
    </row>
    <row r="11" customFormat="false" ht="29.25" hidden="false" customHeight="true" outlineLevel="0" collapsed="false">
      <c r="A11" s="6" t="s">
        <v>478</v>
      </c>
      <c r="B11" s="9" t="s">
        <v>479</v>
      </c>
    </row>
    <row r="12" customFormat="false" ht="29.25" hidden="false" customHeight="true" outlineLevel="0" collapsed="false">
      <c r="A12" s="6" t="s">
        <v>480</v>
      </c>
      <c r="B12" s="9" t="s">
        <v>481</v>
      </c>
    </row>
    <row r="13" customFormat="false" ht="29.25" hidden="false" customHeight="true" outlineLevel="0" collapsed="false">
      <c r="A13" s="6" t="s">
        <v>482</v>
      </c>
      <c r="B13" s="9" t="s">
        <v>483</v>
      </c>
    </row>
    <row r="14" customFormat="false" ht="29.25" hidden="false" customHeight="true" outlineLevel="0" collapsed="false">
      <c r="A14" s="6" t="s">
        <v>484</v>
      </c>
      <c r="B14" s="9" t="s">
        <v>485</v>
      </c>
    </row>
    <row r="15" customFormat="false" ht="42" hidden="false" customHeight="true" outlineLevel="0" collapsed="false">
      <c r="A15" s="6" t="s">
        <v>486</v>
      </c>
      <c r="B15" s="8" t="s">
        <v>487</v>
      </c>
    </row>
    <row r="16" customFormat="false" ht="42" hidden="false" customHeight="true" outlineLevel="0" collapsed="false">
      <c r="A16" s="6" t="s">
        <v>488</v>
      </c>
      <c r="B16" s="8" t="s">
        <v>489</v>
      </c>
    </row>
    <row r="17" customFormat="false" ht="16.5" hidden="false" customHeight="true" outlineLevel="0" collapsed="false">
      <c r="A17" s="6" t="s">
        <v>490</v>
      </c>
      <c r="B17" s="8" t="s">
        <v>491</v>
      </c>
    </row>
    <row r="18" customFormat="false" ht="29.25" hidden="false" customHeight="true" outlineLevel="0" collapsed="false">
      <c r="A18" s="6" t="s">
        <v>492</v>
      </c>
      <c r="B18" s="9" t="s">
        <v>493</v>
      </c>
    </row>
    <row r="19" customFormat="false" ht="29.25" hidden="false" customHeight="true" outlineLevel="0" collapsed="false">
      <c r="A19" s="6" t="s">
        <v>494</v>
      </c>
      <c r="B19" s="8" t="s">
        <v>495</v>
      </c>
    </row>
    <row r="20" customFormat="false" ht="18" hidden="false" customHeight="true" outlineLevel="0" collapsed="false">
      <c r="A20" s="6" t="s">
        <v>496</v>
      </c>
      <c r="B20" s="8" t="str">
        <f aca="false">"화당 "&amp;턴_설계!$B$5&amp;"턴 · 부 총 "&amp;TEXT(턴_설계!D33,"#,##0")&amp;"턴 · 화당 약 "&amp;TEXT(턴_설계!F33,"#,##0")&amp;"단어 · 낭독 약 "&amp;TEXT(턴_설계!H33,"0.0")&amp;"분 (평균 "&amp;TEXT(턴_설계!E33,"0.0")&amp;"단어/턴)"</f>
        <v>화당 120턴 · 부 총 1,440턴 · 화당 약 975단어 · 낭독 약 7.5분 (평균 8.1단어/턴)</v>
      </c>
    </row>
    <row r="21" customFormat="false" ht="29.25" hidden="false" customHeight="true" outlineLevel="0" collapsed="false">
      <c r="A21" s="11" t="s">
        <v>497</v>
      </c>
      <c r="B21" s="8" t="s">
        <v>498</v>
      </c>
    </row>
    <row r="22" customFormat="false" ht="16.5" hidden="false" customHeight="true" outlineLevel="0" collapsed="false">
      <c r="A22" s="6" t="s">
        <v>499</v>
      </c>
      <c r="B22" s="8" t="s">
        <v>500</v>
      </c>
    </row>
    <row r="24" customFormat="false" ht="30" hidden="false" customHeight="true" outlineLevel="0" collapsed="false">
      <c r="A24" s="61" t="s">
        <v>314</v>
      </c>
      <c r="B24" s="62" t="s">
        <v>501</v>
      </c>
    </row>
    <row r="25" customFormat="false" ht="29.25" hidden="false" customHeight="true" outlineLevel="0" collapsed="false">
      <c r="A25" s="6" t="s">
        <v>466</v>
      </c>
      <c r="B25" s="9" t="s">
        <v>502</v>
      </c>
    </row>
    <row r="26" customFormat="false" ht="29.25" hidden="false" customHeight="true" outlineLevel="0" collapsed="false">
      <c r="A26" s="6" t="s">
        <v>468</v>
      </c>
      <c r="B26" s="9" t="s">
        <v>503</v>
      </c>
    </row>
    <row r="27" customFormat="false" ht="16.5" hidden="false" customHeight="true" outlineLevel="0" collapsed="false">
      <c r="A27" s="6" t="s">
        <v>470</v>
      </c>
      <c r="B27" s="9" t="s">
        <v>504</v>
      </c>
    </row>
    <row r="28" customFormat="false" ht="16.5" hidden="false" customHeight="true" outlineLevel="0" collapsed="false">
      <c r="A28" s="6" t="s">
        <v>472</v>
      </c>
      <c r="B28" s="9" t="s">
        <v>505</v>
      </c>
    </row>
    <row r="29" customFormat="false" ht="16.5" hidden="false" customHeight="true" outlineLevel="0" collapsed="false">
      <c r="A29" s="6" t="s">
        <v>474</v>
      </c>
      <c r="B29" s="9" t="s">
        <v>506</v>
      </c>
    </row>
    <row r="30" customFormat="false" ht="16.5" hidden="false" customHeight="true" outlineLevel="0" collapsed="false">
      <c r="A30" s="6" t="s">
        <v>476</v>
      </c>
      <c r="B30" s="9" t="s">
        <v>507</v>
      </c>
    </row>
    <row r="31" customFormat="false" ht="16.5" hidden="false" customHeight="true" outlineLevel="0" collapsed="false">
      <c r="A31" s="6" t="s">
        <v>478</v>
      </c>
      <c r="B31" s="9" t="s">
        <v>508</v>
      </c>
    </row>
    <row r="32" customFormat="false" ht="16.5" hidden="false" customHeight="true" outlineLevel="0" collapsed="false">
      <c r="A32" s="6" t="s">
        <v>480</v>
      </c>
      <c r="B32" s="9" t="s">
        <v>509</v>
      </c>
    </row>
    <row r="33" customFormat="false" ht="16.5" hidden="false" customHeight="true" outlineLevel="0" collapsed="false">
      <c r="A33" s="6" t="s">
        <v>482</v>
      </c>
      <c r="B33" s="9" t="s">
        <v>510</v>
      </c>
    </row>
    <row r="34" customFormat="false" ht="16.5" hidden="false" customHeight="true" outlineLevel="0" collapsed="false">
      <c r="A34" s="6" t="s">
        <v>484</v>
      </c>
      <c r="B34" s="9" t="s">
        <v>511</v>
      </c>
    </row>
    <row r="35" customFormat="false" ht="29.25" hidden="false" customHeight="true" outlineLevel="0" collapsed="false">
      <c r="A35" s="6" t="s">
        <v>486</v>
      </c>
      <c r="B35" s="8" t="s">
        <v>512</v>
      </c>
    </row>
    <row r="36" customFormat="false" ht="29.25" hidden="false" customHeight="true" outlineLevel="0" collapsed="false">
      <c r="A36" s="6" t="s">
        <v>488</v>
      </c>
      <c r="B36" s="8" t="s">
        <v>513</v>
      </c>
    </row>
    <row r="37" customFormat="false" ht="16.5" hidden="false" customHeight="true" outlineLevel="0" collapsed="false">
      <c r="A37" s="6" t="s">
        <v>490</v>
      </c>
      <c r="B37" s="8" t="s">
        <v>514</v>
      </c>
    </row>
    <row r="38" customFormat="false" ht="16.5" hidden="false" customHeight="true" outlineLevel="0" collapsed="false">
      <c r="A38" s="6" t="s">
        <v>492</v>
      </c>
      <c r="B38" s="9" t="s">
        <v>515</v>
      </c>
    </row>
    <row r="39" customFormat="false" ht="29.25" hidden="false" customHeight="true" outlineLevel="0" collapsed="false">
      <c r="A39" s="6" t="s">
        <v>494</v>
      </c>
      <c r="B39" s="8" t="s">
        <v>516</v>
      </c>
    </row>
    <row r="40" customFormat="false" ht="18" hidden="false" customHeight="true" outlineLevel="0" collapsed="false">
      <c r="A40" s="6" t="s">
        <v>496</v>
      </c>
      <c r="B40" s="8" t="str">
        <f aca="false">"화당 "&amp;턴_설계!$B$5&amp;"턴 · 부 총 "&amp;TEXT(턴_설계!D34,"#,##0")&amp;"턴 · 화당 약 "&amp;TEXT(턴_설계!F34,"#,##0")&amp;"단어 · 낭독 약 "&amp;TEXT(턴_설계!H34,"0.0")&amp;"분 (평균 "&amp;TEXT(턴_설계!E34,"0.0")&amp;"단어/턴)"</f>
        <v>화당 120턴 · 부 총 1,440턴 · 화당 약 1,367단어 · 낭독 약 10.5분 (평균 11.4단어/턴)</v>
      </c>
    </row>
    <row r="41" customFormat="false" ht="16.5" hidden="false" customHeight="true" outlineLevel="0" collapsed="false">
      <c r="A41" s="11" t="s">
        <v>497</v>
      </c>
      <c r="B41" s="8" t="s">
        <v>517</v>
      </c>
    </row>
    <row r="42" customFormat="false" ht="16.5" hidden="false" customHeight="true" outlineLevel="0" collapsed="false">
      <c r="A42" s="6" t="s">
        <v>499</v>
      </c>
      <c r="B42" s="8" t="s">
        <v>518</v>
      </c>
    </row>
    <row r="44" customFormat="false" ht="30" hidden="false" customHeight="true" outlineLevel="0" collapsed="false">
      <c r="A44" s="61" t="s">
        <v>315</v>
      </c>
      <c r="B44" s="62" t="s">
        <v>519</v>
      </c>
    </row>
    <row r="45" customFormat="false" ht="29.25" hidden="false" customHeight="true" outlineLevel="0" collapsed="false">
      <c r="A45" s="6" t="s">
        <v>466</v>
      </c>
      <c r="B45" s="9" t="s">
        <v>520</v>
      </c>
    </row>
    <row r="46" customFormat="false" ht="16.5" hidden="false" customHeight="true" outlineLevel="0" collapsed="false">
      <c r="A46" s="6" t="s">
        <v>468</v>
      </c>
      <c r="B46" s="9" t="s">
        <v>521</v>
      </c>
    </row>
    <row r="47" customFormat="false" ht="16.5" hidden="false" customHeight="true" outlineLevel="0" collapsed="false">
      <c r="A47" s="6" t="s">
        <v>470</v>
      </c>
      <c r="B47" s="9" t="s">
        <v>522</v>
      </c>
    </row>
    <row r="48" customFormat="false" ht="16.5" hidden="false" customHeight="true" outlineLevel="0" collapsed="false">
      <c r="A48" s="6" t="s">
        <v>472</v>
      </c>
      <c r="B48" s="9" t="s">
        <v>523</v>
      </c>
    </row>
    <row r="49" customFormat="false" ht="16.5" hidden="false" customHeight="true" outlineLevel="0" collapsed="false">
      <c r="A49" s="6" t="s">
        <v>474</v>
      </c>
      <c r="B49" s="9" t="s">
        <v>524</v>
      </c>
    </row>
    <row r="50" customFormat="false" ht="16.5" hidden="false" customHeight="true" outlineLevel="0" collapsed="false">
      <c r="A50" s="6" t="s">
        <v>476</v>
      </c>
      <c r="B50" s="9" t="s">
        <v>525</v>
      </c>
    </row>
    <row r="51" customFormat="false" ht="16.5" hidden="false" customHeight="true" outlineLevel="0" collapsed="false">
      <c r="A51" s="6" t="s">
        <v>478</v>
      </c>
      <c r="B51" s="9" t="s">
        <v>526</v>
      </c>
    </row>
    <row r="52" customFormat="false" ht="16.5" hidden="false" customHeight="true" outlineLevel="0" collapsed="false">
      <c r="A52" s="6" t="s">
        <v>480</v>
      </c>
      <c r="B52" s="9" t="s">
        <v>527</v>
      </c>
    </row>
    <row r="53" customFormat="false" ht="16.5" hidden="false" customHeight="true" outlineLevel="0" collapsed="false">
      <c r="A53" s="6" t="s">
        <v>482</v>
      </c>
      <c r="B53" s="9" t="s">
        <v>528</v>
      </c>
    </row>
    <row r="54" customFormat="false" ht="16.5" hidden="false" customHeight="true" outlineLevel="0" collapsed="false">
      <c r="A54" s="6" t="s">
        <v>484</v>
      </c>
      <c r="B54" s="9" t="s">
        <v>529</v>
      </c>
    </row>
    <row r="55" customFormat="false" ht="29.25" hidden="false" customHeight="true" outlineLevel="0" collapsed="false">
      <c r="A55" s="6" t="s">
        <v>486</v>
      </c>
      <c r="B55" s="8" t="s">
        <v>530</v>
      </c>
    </row>
    <row r="56" customFormat="false" ht="16.5" hidden="false" customHeight="true" outlineLevel="0" collapsed="false">
      <c r="A56" s="6" t="s">
        <v>488</v>
      </c>
      <c r="B56" s="8" t="s">
        <v>531</v>
      </c>
    </row>
    <row r="57" customFormat="false" ht="16.5" hidden="false" customHeight="true" outlineLevel="0" collapsed="false">
      <c r="A57" s="6" t="s">
        <v>490</v>
      </c>
      <c r="B57" s="8" t="s">
        <v>532</v>
      </c>
    </row>
    <row r="58" customFormat="false" ht="16.5" hidden="false" customHeight="true" outlineLevel="0" collapsed="false">
      <c r="A58" s="6" t="s">
        <v>492</v>
      </c>
      <c r="B58" s="9" t="s">
        <v>533</v>
      </c>
    </row>
    <row r="59" customFormat="false" ht="16.5" hidden="false" customHeight="true" outlineLevel="0" collapsed="false">
      <c r="A59" s="6" t="s">
        <v>494</v>
      </c>
      <c r="B59" s="8" t="s">
        <v>534</v>
      </c>
    </row>
    <row r="60" customFormat="false" ht="18" hidden="false" customHeight="true" outlineLevel="0" collapsed="false">
      <c r="A60" s="6" t="s">
        <v>496</v>
      </c>
      <c r="B60" s="8" t="str">
        <f aca="false">"화당 "&amp;턴_설계!$B$5&amp;"턴 · 부 총 "&amp;TEXT(턴_설계!D35,"#,##0")&amp;"턴 · 화당 약 "&amp;TEXT(턴_설계!F35,"#,##0")&amp;"단어 · 낭독 약 "&amp;TEXT(턴_설계!H35,"0.0")&amp;"분 (평균 "&amp;TEXT(턴_설계!E35,"0.0")&amp;"단어/턴)"</f>
        <v>화당 120턴 · 부 총 1,440턴 · 화당 약 1,093단어 · 낭독 약 8.4분 (평균 9.1단어/턴)</v>
      </c>
    </row>
    <row r="61" customFormat="false" ht="16.5" hidden="false" customHeight="true" outlineLevel="0" collapsed="false">
      <c r="A61" s="11" t="s">
        <v>497</v>
      </c>
      <c r="B61" s="8" t="s">
        <v>535</v>
      </c>
    </row>
    <row r="62" customFormat="false" ht="16.5" hidden="false" customHeight="true" outlineLevel="0" collapsed="false">
      <c r="A62" s="6" t="s">
        <v>499</v>
      </c>
      <c r="B62" s="8" t="s">
        <v>536</v>
      </c>
    </row>
    <row r="64" customFormat="false" ht="30" hidden="false" customHeight="true" outlineLevel="0" collapsed="false">
      <c r="A64" s="61" t="s">
        <v>316</v>
      </c>
      <c r="B64" s="62" t="s">
        <v>537</v>
      </c>
    </row>
    <row r="65" customFormat="false" ht="16.5" hidden="false" customHeight="true" outlineLevel="0" collapsed="false">
      <c r="A65" s="6" t="s">
        <v>466</v>
      </c>
      <c r="B65" s="9" t="s">
        <v>538</v>
      </c>
    </row>
    <row r="66" customFormat="false" ht="29.25" hidden="false" customHeight="true" outlineLevel="0" collapsed="false">
      <c r="A66" s="6" t="s">
        <v>468</v>
      </c>
      <c r="B66" s="9" t="s">
        <v>539</v>
      </c>
    </row>
    <row r="67" customFormat="false" ht="16.5" hidden="false" customHeight="true" outlineLevel="0" collapsed="false">
      <c r="A67" s="6" t="s">
        <v>470</v>
      </c>
      <c r="B67" s="9" t="s">
        <v>540</v>
      </c>
    </row>
    <row r="68" customFormat="false" ht="16.5" hidden="false" customHeight="true" outlineLevel="0" collapsed="false">
      <c r="A68" s="6" t="s">
        <v>472</v>
      </c>
      <c r="B68" s="9" t="s">
        <v>541</v>
      </c>
    </row>
    <row r="69" customFormat="false" ht="16.5" hidden="false" customHeight="true" outlineLevel="0" collapsed="false">
      <c r="A69" s="6" t="s">
        <v>474</v>
      </c>
      <c r="B69" s="9" t="s">
        <v>542</v>
      </c>
    </row>
    <row r="70" customFormat="false" ht="16.5" hidden="false" customHeight="true" outlineLevel="0" collapsed="false">
      <c r="A70" s="6" t="s">
        <v>476</v>
      </c>
      <c r="B70" s="9" t="s">
        <v>543</v>
      </c>
    </row>
    <row r="71" customFormat="false" ht="16.5" hidden="false" customHeight="true" outlineLevel="0" collapsed="false">
      <c r="A71" s="6" t="s">
        <v>478</v>
      </c>
      <c r="B71" s="9" t="s">
        <v>544</v>
      </c>
    </row>
    <row r="72" customFormat="false" ht="16.5" hidden="false" customHeight="true" outlineLevel="0" collapsed="false">
      <c r="A72" s="6" t="s">
        <v>480</v>
      </c>
      <c r="B72" s="9" t="s">
        <v>545</v>
      </c>
    </row>
    <row r="73" customFormat="false" ht="16.5" hidden="false" customHeight="true" outlineLevel="0" collapsed="false">
      <c r="A73" s="6" t="s">
        <v>482</v>
      </c>
      <c r="B73" s="9" t="s">
        <v>546</v>
      </c>
    </row>
    <row r="74" customFormat="false" ht="16.5" hidden="false" customHeight="true" outlineLevel="0" collapsed="false">
      <c r="A74" s="6" t="s">
        <v>484</v>
      </c>
      <c r="B74" s="9" t="s">
        <v>547</v>
      </c>
    </row>
    <row r="75" customFormat="false" ht="29.25" hidden="false" customHeight="true" outlineLevel="0" collapsed="false">
      <c r="A75" s="6" t="s">
        <v>486</v>
      </c>
      <c r="B75" s="8" t="s">
        <v>548</v>
      </c>
    </row>
    <row r="76" customFormat="false" ht="16.5" hidden="false" customHeight="true" outlineLevel="0" collapsed="false">
      <c r="A76" s="6" t="s">
        <v>488</v>
      </c>
      <c r="B76" s="9" t="s">
        <v>549</v>
      </c>
    </row>
    <row r="77" customFormat="false" ht="16.5" hidden="false" customHeight="true" outlineLevel="0" collapsed="false">
      <c r="A77" s="6" t="s">
        <v>490</v>
      </c>
      <c r="B77" s="8" t="s">
        <v>550</v>
      </c>
    </row>
    <row r="78" customFormat="false" ht="29.25" hidden="false" customHeight="true" outlineLevel="0" collapsed="false">
      <c r="A78" s="6" t="s">
        <v>492</v>
      </c>
      <c r="B78" s="9" t="s">
        <v>551</v>
      </c>
    </row>
    <row r="79" customFormat="false" ht="16.5" hidden="false" customHeight="true" outlineLevel="0" collapsed="false">
      <c r="A79" s="6" t="s">
        <v>494</v>
      </c>
      <c r="B79" s="8" t="s">
        <v>552</v>
      </c>
    </row>
    <row r="80" customFormat="false" ht="18" hidden="false" customHeight="true" outlineLevel="0" collapsed="false">
      <c r="A80" s="6" t="s">
        <v>496</v>
      </c>
      <c r="B80" s="8" t="str">
        <f aca="false">"화당 "&amp;턴_설계!$B$5&amp;"턴 · 부 총 "&amp;TEXT(턴_설계!D36,"#,##0")&amp;"턴 · 화당 약 "&amp;TEXT(턴_설계!F36,"#,##0")&amp;"단어 · 낭독 약 "&amp;TEXT(턴_설계!H36,"0.0")&amp;"분 (평균 "&amp;TEXT(턴_설계!E36,"0.0")&amp;"단어/턴)"</f>
        <v>화당 120턴 · 부 총 1,440턴 · 화당 약 1,253단어 · 낭독 약 9.6분 (평균 10.4단어/턴)</v>
      </c>
    </row>
    <row r="81" customFormat="false" ht="16.5" hidden="false" customHeight="true" outlineLevel="0" collapsed="false">
      <c r="A81" s="11" t="s">
        <v>497</v>
      </c>
      <c r="B81" s="8" t="s">
        <v>553</v>
      </c>
    </row>
    <row r="82" customFormat="false" ht="16.5" hidden="false" customHeight="true" outlineLevel="0" collapsed="false">
      <c r="A82" s="6" t="s">
        <v>499</v>
      </c>
      <c r="B82" s="8" t="s">
        <v>554</v>
      </c>
    </row>
    <row r="84" customFormat="false" ht="30" hidden="false" customHeight="true" outlineLevel="0" collapsed="false">
      <c r="A84" s="61" t="s">
        <v>317</v>
      </c>
      <c r="B84" s="62" t="s">
        <v>555</v>
      </c>
    </row>
    <row r="85" customFormat="false" ht="29.25" hidden="false" customHeight="true" outlineLevel="0" collapsed="false">
      <c r="A85" s="6" t="s">
        <v>466</v>
      </c>
      <c r="B85" s="9" t="s">
        <v>556</v>
      </c>
    </row>
    <row r="86" customFormat="false" ht="16.5" hidden="false" customHeight="true" outlineLevel="0" collapsed="false">
      <c r="A86" s="6" t="s">
        <v>468</v>
      </c>
      <c r="B86" s="9" t="s">
        <v>557</v>
      </c>
    </row>
    <row r="87" customFormat="false" ht="16.5" hidden="false" customHeight="true" outlineLevel="0" collapsed="false">
      <c r="A87" s="6" t="s">
        <v>470</v>
      </c>
      <c r="B87" s="8" t="s">
        <v>558</v>
      </c>
    </row>
    <row r="88" customFormat="false" ht="16.5" hidden="false" customHeight="true" outlineLevel="0" collapsed="false">
      <c r="A88" s="6" t="s">
        <v>472</v>
      </c>
      <c r="B88" s="9" t="s">
        <v>559</v>
      </c>
    </row>
    <row r="89" customFormat="false" ht="16.5" hidden="false" customHeight="true" outlineLevel="0" collapsed="false">
      <c r="A89" s="6" t="s">
        <v>474</v>
      </c>
      <c r="B89" s="9" t="s">
        <v>560</v>
      </c>
    </row>
    <row r="90" customFormat="false" ht="16.5" hidden="false" customHeight="true" outlineLevel="0" collapsed="false">
      <c r="A90" s="6" t="s">
        <v>476</v>
      </c>
      <c r="B90" s="9" t="s">
        <v>561</v>
      </c>
    </row>
    <row r="91" customFormat="false" ht="16.5" hidden="false" customHeight="true" outlineLevel="0" collapsed="false">
      <c r="A91" s="6" t="s">
        <v>478</v>
      </c>
      <c r="B91" s="9" t="s">
        <v>562</v>
      </c>
    </row>
    <row r="92" customFormat="false" ht="16.5" hidden="false" customHeight="true" outlineLevel="0" collapsed="false">
      <c r="A92" s="6" t="s">
        <v>480</v>
      </c>
      <c r="B92" s="9" t="s">
        <v>563</v>
      </c>
    </row>
    <row r="93" customFormat="false" ht="16.5" hidden="false" customHeight="true" outlineLevel="0" collapsed="false">
      <c r="A93" s="6" t="s">
        <v>482</v>
      </c>
      <c r="B93" s="9" t="s">
        <v>564</v>
      </c>
    </row>
    <row r="94" customFormat="false" ht="16.5" hidden="false" customHeight="true" outlineLevel="0" collapsed="false">
      <c r="A94" s="6" t="s">
        <v>484</v>
      </c>
      <c r="B94" s="9" t="s">
        <v>565</v>
      </c>
    </row>
    <row r="95" customFormat="false" ht="29.25" hidden="false" customHeight="true" outlineLevel="0" collapsed="false">
      <c r="A95" s="6" t="s">
        <v>486</v>
      </c>
      <c r="B95" s="8" t="s">
        <v>566</v>
      </c>
    </row>
    <row r="96" customFormat="false" ht="29.25" hidden="false" customHeight="true" outlineLevel="0" collapsed="false">
      <c r="A96" s="6" t="s">
        <v>488</v>
      </c>
      <c r="B96" s="8" t="s">
        <v>567</v>
      </c>
    </row>
    <row r="97" customFormat="false" ht="16.5" hidden="false" customHeight="true" outlineLevel="0" collapsed="false">
      <c r="A97" s="6" t="s">
        <v>490</v>
      </c>
      <c r="B97" s="8" t="s">
        <v>568</v>
      </c>
    </row>
    <row r="98" customFormat="false" ht="16.5" hidden="false" customHeight="true" outlineLevel="0" collapsed="false">
      <c r="A98" s="6" t="s">
        <v>492</v>
      </c>
      <c r="B98" s="9" t="s">
        <v>569</v>
      </c>
    </row>
    <row r="99" customFormat="false" ht="16.5" hidden="false" customHeight="true" outlineLevel="0" collapsed="false">
      <c r="A99" s="6" t="s">
        <v>494</v>
      </c>
      <c r="B99" s="8" t="s">
        <v>570</v>
      </c>
    </row>
    <row r="100" customFormat="false" ht="18" hidden="false" customHeight="true" outlineLevel="0" collapsed="false">
      <c r="A100" s="6" t="s">
        <v>496</v>
      </c>
      <c r="B100" s="8" t="str">
        <f aca="false">"화당 "&amp;턴_설계!$B$5&amp;"턴 · 부 총 "&amp;TEXT(턴_설계!D37,"#,##0")&amp;"턴 · 화당 약 "&amp;TEXT(턴_설계!F37,"#,##0")&amp;"단어 · 낭독 약 "&amp;TEXT(턴_설계!H37,"0.0")&amp;"분 (평균 "&amp;TEXT(턴_설계!E37,"0.0")&amp;"단어/턴)"</f>
        <v>화당 120턴 · 부 총 1,440턴 · 화당 약 1,296단어 · 낭독 약 10.0분 (평균 10.8단어/턴)</v>
      </c>
    </row>
    <row r="101" customFormat="false" ht="16.5" hidden="false" customHeight="true" outlineLevel="0" collapsed="false">
      <c r="A101" s="11" t="s">
        <v>497</v>
      </c>
      <c r="B101" s="8" t="s">
        <v>571</v>
      </c>
    </row>
    <row r="102" customFormat="false" ht="16.5" hidden="false" customHeight="true" outlineLevel="0" collapsed="false">
      <c r="A102" s="6" t="s">
        <v>499</v>
      </c>
      <c r="B102" s="8" t="s">
        <v>572</v>
      </c>
    </row>
    <row r="104" customFormat="false" ht="30" hidden="false" customHeight="true" outlineLevel="0" collapsed="false">
      <c r="A104" s="61" t="s">
        <v>318</v>
      </c>
      <c r="B104" s="62" t="s">
        <v>573</v>
      </c>
    </row>
    <row r="105" customFormat="false" ht="29.25" hidden="false" customHeight="true" outlineLevel="0" collapsed="false">
      <c r="A105" s="6" t="s">
        <v>466</v>
      </c>
      <c r="B105" s="9" t="s">
        <v>574</v>
      </c>
    </row>
    <row r="106" customFormat="false" ht="29.25" hidden="false" customHeight="true" outlineLevel="0" collapsed="false">
      <c r="A106" s="6" t="s">
        <v>468</v>
      </c>
      <c r="B106" s="9" t="s">
        <v>575</v>
      </c>
    </row>
    <row r="107" customFormat="false" ht="16.5" hidden="false" customHeight="true" outlineLevel="0" collapsed="false">
      <c r="A107" s="6" t="s">
        <v>470</v>
      </c>
      <c r="B107" s="9" t="s">
        <v>576</v>
      </c>
    </row>
    <row r="108" customFormat="false" ht="16.5" hidden="false" customHeight="true" outlineLevel="0" collapsed="false">
      <c r="A108" s="6" t="s">
        <v>472</v>
      </c>
      <c r="B108" s="9" t="s">
        <v>577</v>
      </c>
    </row>
    <row r="109" customFormat="false" ht="16.5" hidden="false" customHeight="true" outlineLevel="0" collapsed="false">
      <c r="A109" s="6" t="s">
        <v>474</v>
      </c>
      <c r="B109" s="9" t="s">
        <v>578</v>
      </c>
    </row>
    <row r="110" customFormat="false" ht="16.5" hidden="false" customHeight="true" outlineLevel="0" collapsed="false">
      <c r="A110" s="6" t="s">
        <v>476</v>
      </c>
      <c r="B110" s="9" t="s">
        <v>579</v>
      </c>
    </row>
    <row r="111" customFormat="false" ht="16.5" hidden="false" customHeight="true" outlineLevel="0" collapsed="false">
      <c r="A111" s="6" t="s">
        <v>478</v>
      </c>
      <c r="B111" s="9" t="s">
        <v>580</v>
      </c>
    </row>
    <row r="112" customFormat="false" ht="16.5" hidden="false" customHeight="true" outlineLevel="0" collapsed="false">
      <c r="A112" s="6" t="s">
        <v>480</v>
      </c>
      <c r="B112" s="9" t="s">
        <v>581</v>
      </c>
    </row>
    <row r="113" customFormat="false" ht="16.5" hidden="false" customHeight="true" outlineLevel="0" collapsed="false">
      <c r="A113" s="6" t="s">
        <v>482</v>
      </c>
      <c r="B113" s="9" t="s">
        <v>582</v>
      </c>
    </row>
    <row r="114" customFormat="false" ht="16.5" hidden="false" customHeight="true" outlineLevel="0" collapsed="false">
      <c r="A114" s="6" t="s">
        <v>484</v>
      </c>
      <c r="B114" s="9" t="s">
        <v>583</v>
      </c>
    </row>
    <row r="115" customFormat="false" ht="29.25" hidden="false" customHeight="true" outlineLevel="0" collapsed="false">
      <c r="A115" s="6" t="s">
        <v>486</v>
      </c>
      <c r="B115" s="9" t="s">
        <v>584</v>
      </c>
    </row>
    <row r="116" customFormat="false" ht="16.5" hidden="false" customHeight="true" outlineLevel="0" collapsed="false">
      <c r="A116" s="6" t="s">
        <v>488</v>
      </c>
      <c r="B116" s="9" t="s">
        <v>585</v>
      </c>
    </row>
    <row r="117" customFormat="false" ht="16.5" hidden="false" customHeight="true" outlineLevel="0" collapsed="false">
      <c r="A117" s="6" t="s">
        <v>490</v>
      </c>
      <c r="B117" s="8" t="s">
        <v>586</v>
      </c>
    </row>
    <row r="118" customFormat="false" ht="16.5" hidden="false" customHeight="true" outlineLevel="0" collapsed="false">
      <c r="A118" s="6" t="s">
        <v>492</v>
      </c>
      <c r="B118" s="9" t="s">
        <v>587</v>
      </c>
    </row>
    <row r="119" customFormat="false" ht="16.5" hidden="false" customHeight="true" outlineLevel="0" collapsed="false">
      <c r="A119" s="6" t="s">
        <v>494</v>
      </c>
      <c r="B119" s="8" t="s">
        <v>588</v>
      </c>
    </row>
    <row r="120" customFormat="false" ht="18" hidden="false" customHeight="true" outlineLevel="0" collapsed="false">
      <c r="A120" s="6" t="s">
        <v>496</v>
      </c>
      <c r="B120" s="8" t="str">
        <f aca="false">"화당 "&amp;턴_설계!$B$5&amp;"턴 · 부 총 "&amp;TEXT(턴_설계!D38,"#,##0")&amp;"턴 · 화당 약 "&amp;TEXT(턴_설계!F38,"#,##0")&amp;"단어 · 낭독 약 "&amp;TEXT(턴_설계!H38,"0.0")&amp;"분 (평균 "&amp;TEXT(턴_설계!E38,"0.0")&amp;"단어/턴)"</f>
        <v>화당 120턴 · 부 총 1,440턴 · 화당 약 1,219단어 · 낭독 약 9.4분 (평균 10.2단어/턴)</v>
      </c>
    </row>
    <row r="121" customFormat="false" ht="16.5" hidden="false" customHeight="true" outlineLevel="0" collapsed="false">
      <c r="A121" s="11" t="s">
        <v>497</v>
      </c>
      <c r="B121" s="8" t="s">
        <v>589</v>
      </c>
    </row>
    <row r="122" customFormat="false" ht="16.5" hidden="false" customHeight="true" outlineLevel="0" collapsed="false">
      <c r="A122" s="6" t="s">
        <v>499</v>
      </c>
      <c r="B122" s="8" t="s">
        <v>590</v>
      </c>
    </row>
    <row r="124" customFormat="false" ht="30" hidden="false" customHeight="true" outlineLevel="0" collapsed="false">
      <c r="A124" s="61" t="s">
        <v>319</v>
      </c>
      <c r="B124" s="62" t="s">
        <v>591</v>
      </c>
    </row>
    <row r="125" customFormat="false" ht="16.5" hidden="false" customHeight="true" outlineLevel="0" collapsed="false">
      <c r="A125" s="6" t="s">
        <v>466</v>
      </c>
      <c r="B125" s="9" t="s">
        <v>592</v>
      </c>
    </row>
    <row r="126" customFormat="false" ht="29.25" hidden="false" customHeight="true" outlineLevel="0" collapsed="false">
      <c r="A126" s="6" t="s">
        <v>468</v>
      </c>
      <c r="B126" s="9" t="s">
        <v>593</v>
      </c>
    </row>
    <row r="127" customFormat="false" ht="16.5" hidden="false" customHeight="true" outlineLevel="0" collapsed="false">
      <c r="A127" s="6" t="s">
        <v>470</v>
      </c>
      <c r="B127" s="9" t="s">
        <v>594</v>
      </c>
    </row>
    <row r="128" customFormat="false" ht="16.5" hidden="false" customHeight="true" outlineLevel="0" collapsed="false">
      <c r="A128" s="6" t="s">
        <v>472</v>
      </c>
      <c r="B128" s="9" t="s">
        <v>595</v>
      </c>
    </row>
    <row r="129" customFormat="false" ht="16.5" hidden="false" customHeight="true" outlineLevel="0" collapsed="false">
      <c r="A129" s="6" t="s">
        <v>474</v>
      </c>
      <c r="B129" s="9" t="s">
        <v>596</v>
      </c>
    </row>
    <row r="130" customFormat="false" ht="16.5" hidden="false" customHeight="true" outlineLevel="0" collapsed="false">
      <c r="A130" s="6" t="s">
        <v>476</v>
      </c>
      <c r="B130" s="9" t="s">
        <v>597</v>
      </c>
    </row>
    <row r="131" customFormat="false" ht="16.5" hidden="false" customHeight="true" outlineLevel="0" collapsed="false">
      <c r="A131" s="6" t="s">
        <v>478</v>
      </c>
      <c r="B131" s="9" t="s">
        <v>598</v>
      </c>
    </row>
    <row r="132" customFormat="false" ht="16.5" hidden="false" customHeight="true" outlineLevel="0" collapsed="false">
      <c r="A132" s="6" t="s">
        <v>480</v>
      </c>
      <c r="B132" s="9" t="s">
        <v>599</v>
      </c>
    </row>
    <row r="133" customFormat="false" ht="16.5" hidden="false" customHeight="true" outlineLevel="0" collapsed="false">
      <c r="A133" s="6" t="s">
        <v>482</v>
      </c>
      <c r="B133" s="9" t="s">
        <v>600</v>
      </c>
    </row>
    <row r="134" customFormat="false" ht="16.5" hidden="false" customHeight="true" outlineLevel="0" collapsed="false">
      <c r="A134" s="6" t="s">
        <v>484</v>
      </c>
      <c r="B134" s="9" t="s">
        <v>601</v>
      </c>
    </row>
    <row r="135" customFormat="false" ht="16.5" hidden="false" customHeight="true" outlineLevel="0" collapsed="false">
      <c r="A135" s="6" t="s">
        <v>486</v>
      </c>
      <c r="B135" s="8" t="s">
        <v>602</v>
      </c>
    </row>
    <row r="136" customFormat="false" ht="16.5" hidden="false" customHeight="true" outlineLevel="0" collapsed="false">
      <c r="A136" s="6" t="s">
        <v>488</v>
      </c>
      <c r="B136" s="8" t="s">
        <v>603</v>
      </c>
    </row>
    <row r="137" customFormat="false" ht="16.5" hidden="false" customHeight="true" outlineLevel="0" collapsed="false">
      <c r="A137" s="6" t="s">
        <v>490</v>
      </c>
      <c r="B137" s="8" t="s">
        <v>604</v>
      </c>
    </row>
    <row r="138" customFormat="false" ht="29.25" hidden="false" customHeight="true" outlineLevel="0" collapsed="false">
      <c r="A138" s="6" t="s">
        <v>492</v>
      </c>
      <c r="B138" s="9" t="s">
        <v>605</v>
      </c>
    </row>
    <row r="139" customFormat="false" ht="16.5" hidden="false" customHeight="true" outlineLevel="0" collapsed="false">
      <c r="A139" s="6" t="s">
        <v>494</v>
      </c>
      <c r="B139" s="8" t="s">
        <v>606</v>
      </c>
    </row>
    <row r="140" customFormat="false" ht="18" hidden="false" customHeight="true" outlineLevel="0" collapsed="false">
      <c r="A140" s="6" t="s">
        <v>496</v>
      </c>
      <c r="B140" s="8" t="str">
        <f aca="false">"화당 "&amp;턴_설계!$B$5&amp;"턴 · 부 총 "&amp;TEXT(턴_설계!D39,"#,##0")&amp;"턴 · 화당 약 "&amp;TEXT(턴_설계!F39,"#,##0")&amp;"단어 · 낭독 약 "&amp;TEXT(턴_설계!H39,"0.0")&amp;"분 (평균 "&amp;TEXT(턴_설계!E39,"0.0")&amp;"단어/턴)"</f>
        <v>화당 120턴 · 부 총 1,440턴 · 화당 약 1,242단어 · 낭독 약 9.6분 (평균 10.4단어/턴)</v>
      </c>
    </row>
    <row r="141" customFormat="false" ht="16.5" hidden="false" customHeight="true" outlineLevel="0" collapsed="false">
      <c r="A141" s="11" t="s">
        <v>497</v>
      </c>
      <c r="B141" s="8" t="s">
        <v>607</v>
      </c>
    </row>
    <row r="142" customFormat="false" ht="16.5" hidden="false" customHeight="true" outlineLevel="0" collapsed="false">
      <c r="A142" s="6" t="s">
        <v>499</v>
      </c>
      <c r="B142" s="8" t="s">
        <v>608</v>
      </c>
    </row>
    <row r="144" customFormat="false" ht="30" hidden="false" customHeight="true" outlineLevel="0" collapsed="false">
      <c r="A144" s="61" t="s">
        <v>320</v>
      </c>
      <c r="B144" s="62" t="s">
        <v>609</v>
      </c>
    </row>
    <row r="145" customFormat="false" ht="29.25" hidden="false" customHeight="true" outlineLevel="0" collapsed="false">
      <c r="A145" s="6" t="s">
        <v>466</v>
      </c>
      <c r="B145" s="9" t="s">
        <v>610</v>
      </c>
    </row>
    <row r="146" customFormat="false" ht="29.25" hidden="false" customHeight="true" outlineLevel="0" collapsed="false">
      <c r="A146" s="6" t="s">
        <v>468</v>
      </c>
      <c r="B146" s="9" t="s">
        <v>611</v>
      </c>
    </row>
    <row r="147" customFormat="false" ht="16.5" hidden="false" customHeight="true" outlineLevel="0" collapsed="false">
      <c r="A147" s="6" t="s">
        <v>470</v>
      </c>
      <c r="B147" s="9" t="s">
        <v>612</v>
      </c>
    </row>
    <row r="148" customFormat="false" ht="16.5" hidden="false" customHeight="true" outlineLevel="0" collapsed="false">
      <c r="A148" s="6" t="s">
        <v>472</v>
      </c>
      <c r="B148" s="9" t="s">
        <v>613</v>
      </c>
    </row>
    <row r="149" customFormat="false" ht="16.5" hidden="false" customHeight="true" outlineLevel="0" collapsed="false">
      <c r="A149" s="6" t="s">
        <v>474</v>
      </c>
      <c r="B149" s="9" t="s">
        <v>614</v>
      </c>
    </row>
    <row r="150" customFormat="false" ht="16.5" hidden="false" customHeight="true" outlineLevel="0" collapsed="false">
      <c r="A150" s="6" t="s">
        <v>476</v>
      </c>
      <c r="B150" s="9" t="s">
        <v>615</v>
      </c>
    </row>
    <row r="151" customFormat="false" ht="16.5" hidden="false" customHeight="true" outlineLevel="0" collapsed="false">
      <c r="A151" s="6" t="s">
        <v>478</v>
      </c>
      <c r="B151" s="9" t="s">
        <v>616</v>
      </c>
    </row>
    <row r="152" customFormat="false" ht="16.5" hidden="false" customHeight="true" outlineLevel="0" collapsed="false">
      <c r="A152" s="6" t="s">
        <v>480</v>
      </c>
      <c r="B152" s="9" t="s">
        <v>617</v>
      </c>
    </row>
    <row r="153" customFormat="false" ht="16.5" hidden="false" customHeight="true" outlineLevel="0" collapsed="false">
      <c r="A153" s="6" t="s">
        <v>482</v>
      </c>
      <c r="B153" s="9" t="s">
        <v>618</v>
      </c>
    </row>
    <row r="154" customFormat="false" ht="16.5" hidden="false" customHeight="true" outlineLevel="0" collapsed="false">
      <c r="A154" s="6" t="s">
        <v>484</v>
      </c>
      <c r="B154" s="9" t="s">
        <v>619</v>
      </c>
    </row>
    <row r="155" customFormat="false" ht="29.25" hidden="false" customHeight="true" outlineLevel="0" collapsed="false">
      <c r="A155" s="6" t="s">
        <v>486</v>
      </c>
      <c r="B155" s="8" t="s">
        <v>620</v>
      </c>
    </row>
    <row r="156" customFormat="false" ht="16.5" hidden="false" customHeight="true" outlineLevel="0" collapsed="false">
      <c r="A156" s="6" t="s">
        <v>488</v>
      </c>
      <c r="B156" s="8" t="s">
        <v>621</v>
      </c>
    </row>
    <row r="157" customFormat="false" ht="16.5" hidden="false" customHeight="true" outlineLevel="0" collapsed="false">
      <c r="A157" s="6" t="s">
        <v>490</v>
      </c>
      <c r="B157" s="8" t="s">
        <v>622</v>
      </c>
    </row>
    <row r="158" customFormat="false" ht="16.5" hidden="false" customHeight="true" outlineLevel="0" collapsed="false">
      <c r="A158" s="6" t="s">
        <v>492</v>
      </c>
      <c r="B158" s="9" t="s">
        <v>623</v>
      </c>
    </row>
    <row r="159" customFormat="false" ht="16.5" hidden="false" customHeight="true" outlineLevel="0" collapsed="false">
      <c r="A159" s="6" t="s">
        <v>494</v>
      </c>
      <c r="B159" s="8" t="s">
        <v>624</v>
      </c>
    </row>
    <row r="160" customFormat="false" ht="18" hidden="false" customHeight="true" outlineLevel="0" collapsed="false">
      <c r="A160" s="6" t="s">
        <v>496</v>
      </c>
      <c r="B160" s="8" t="str">
        <f aca="false">"화당 "&amp;턴_설계!$B$5&amp;"턴 · 부 총 "&amp;TEXT(턴_설계!D40,"#,##0")&amp;"턴 · 화당 약 "&amp;TEXT(턴_설계!F40,"#,##0")&amp;"단어 · 낭독 약 "&amp;TEXT(턴_설계!H40,"0.0")&amp;"분 (평균 "&amp;TEXT(턴_설계!E40,"0.0")&amp;"단어/턴)"</f>
        <v>화당 120턴 · 부 총 1,440턴 · 화당 약 1,379단어 · 낭독 약 10.6분 (평균 11.5단어/턴)</v>
      </c>
    </row>
    <row r="161" customFormat="false" ht="16.5" hidden="false" customHeight="true" outlineLevel="0" collapsed="false">
      <c r="A161" s="11" t="s">
        <v>497</v>
      </c>
      <c r="B161" s="8" t="s">
        <v>625</v>
      </c>
    </row>
    <row r="162" customFormat="false" ht="16.5" hidden="false" customHeight="true" outlineLevel="0" collapsed="false">
      <c r="A162" s="6" t="s">
        <v>499</v>
      </c>
      <c r="B162" s="8" t="s">
        <v>626</v>
      </c>
    </row>
    <row r="164" customFormat="false" ht="30" hidden="false" customHeight="true" outlineLevel="0" collapsed="false">
      <c r="A164" s="61" t="s">
        <v>321</v>
      </c>
      <c r="B164" s="62" t="s">
        <v>627</v>
      </c>
    </row>
    <row r="165" customFormat="false" ht="16.5" hidden="false" customHeight="true" outlineLevel="0" collapsed="false">
      <c r="A165" s="6" t="s">
        <v>466</v>
      </c>
      <c r="B165" s="9" t="s">
        <v>628</v>
      </c>
    </row>
    <row r="166" customFormat="false" ht="29.25" hidden="false" customHeight="true" outlineLevel="0" collapsed="false">
      <c r="A166" s="6" t="s">
        <v>468</v>
      </c>
      <c r="B166" s="9" t="s">
        <v>629</v>
      </c>
    </row>
    <row r="167" customFormat="false" ht="16.5" hidden="false" customHeight="true" outlineLevel="0" collapsed="false">
      <c r="A167" s="6" t="s">
        <v>470</v>
      </c>
      <c r="B167" s="9" t="s">
        <v>630</v>
      </c>
    </row>
    <row r="168" customFormat="false" ht="16.5" hidden="false" customHeight="true" outlineLevel="0" collapsed="false">
      <c r="A168" s="6" t="s">
        <v>472</v>
      </c>
      <c r="B168" s="9" t="s">
        <v>631</v>
      </c>
    </row>
    <row r="169" customFormat="false" ht="16.5" hidden="false" customHeight="true" outlineLevel="0" collapsed="false">
      <c r="A169" s="6" t="s">
        <v>474</v>
      </c>
      <c r="B169" s="9" t="s">
        <v>632</v>
      </c>
    </row>
    <row r="170" customFormat="false" ht="16.5" hidden="false" customHeight="true" outlineLevel="0" collapsed="false">
      <c r="A170" s="6" t="s">
        <v>476</v>
      </c>
      <c r="B170" s="9" t="s">
        <v>633</v>
      </c>
    </row>
    <row r="171" customFormat="false" ht="16.5" hidden="false" customHeight="true" outlineLevel="0" collapsed="false">
      <c r="A171" s="6" t="s">
        <v>478</v>
      </c>
      <c r="B171" s="9" t="s">
        <v>634</v>
      </c>
    </row>
    <row r="172" customFormat="false" ht="16.5" hidden="false" customHeight="true" outlineLevel="0" collapsed="false">
      <c r="A172" s="6" t="s">
        <v>480</v>
      </c>
      <c r="B172" s="9" t="s">
        <v>635</v>
      </c>
    </row>
    <row r="173" customFormat="false" ht="16.5" hidden="false" customHeight="true" outlineLevel="0" collapsed="false">
      <c r="A173" s="6" t="s">
        <v>482</v>
      </c>
      <c r="B173" s="9" t="s">
        <v>636</v>
      </c>
    </row>
    <row r="174" customFormat="false" ht="16.5" hidden="false" customHeight="true" outlineLevel="0" collapsed="false">
      <c r="A174" s="6" t="s">
        <v>484</v>
      </c>
      <c r="B174" s="9" t="s">
        <v>637</v>
      </c>
    </row>
    <row r="175" customFormat="false" ht="29.25" hidden="false" customHeight="true" outlineLevel="0" collapsed="false">
      <c r="A175" s="6" t="s">
        <v>486</v>
      </c>
      <c r="B175" s="8" t="s">
        <v>638</v>
      </c>
    </row>
    <row r="176" customFormat="false" ht="16.5" hidden="false" customHeight="true" outlineLevel="0" collapsed="false">
      <c r="A176" s="6" t="s">
        <v>488</v>
      </c>
      <c r="B176" s="8" t="s">
        <v>639</v>
      </c>
    </row>
    <row r="177" customFormat="false" ht="16.5" hidden="false" customHeight="true" outlineLevel="0" collapsed="false">
      <c r="A177" s="6" t="s">
        <v>490</v>
      </c>
      <c r="B177" s="8" t="s">
        <v>640</v>
      </c>
    </row>
    <row r="178" customFormat="false" ht="16.5" hidden="false" customHeight="true" outlineLevel="0" collapsed="false">
      <c r="A178" s="6" t="s">
        <v>492</v>
      </c>
      <c r="B178" s="9" t="s">
        <v>641</v>
      </c>
    </row>
    <row r="179" customFormat="false" ht="16.5" hidden="false" customHeight="true" outlineLevel="0" collapsed="false">
      <c r="A179" s="6" t="s">
        <v>494</v>
      </c>
      <c r="B179" s="8" t="s">
        <v>642</v>
      </c>
    </row>
    <row r="180" customFormat="false" ht="18" hidden="false" customHeight="true" outlineLevel="0" collapsed="false">
      <c r="A180" s="6" t="s">
        <v>496</v>
      </c>
      <c r="B180" s="8" t="str">
        <f aca="false">"화당 "&amp;턴_설계!$B$5&amp;"턴 · 부 총 "&amp;TEXT(턴_설계!D41,"#,##0")&amp;"턴 · 화당 약 "&amp;TEXT(턴_설계!F41,"#,##0")&amp;"단어 · 낭독 약 "&amp;TEXT(턴_설계!H41,"0.0")&amp;"분 (평균 "&amp;TEXT(턴_설계!E41,"0.0")&amp;"단어/턴)"</f>
        <v>화당 120턴 · 부 총 1,440턴 · 화당 약 1,338단어 · 낭독 약 10.3분 (평균 11.2단어/턴)</v>
      </c>
    </row>
    <row r="181" customFormat="false" ht="16.5" hidden="false" customHeight="true" outlineLevel="0" collapsed="false">
      <c r="A181" s="11" t="s">
        <v>497</v>
      </c>
      <c r="B181" s="8" t="s">
        <v>643</v>
      </c>
    </row>
    <row r="182" customFormat="false" ht="16.5" hidden="false" customHeight="true" outlineLevel="0" collapsed="false">
      <c r="A182" s="6" t="s">
        <v>499</v>
      </c>
      <c r="B182" s="8" t="s">
        <v>644</v>
      </c>
    </row>
    <row r="184" customFormat="false" ht="30" hidden="false" customHeight="true" outlineLevel="0" collapsed="false">
      <c r="A184" s="61" t="s">
        <v>322</v>
      </c>
      <c r="B184" s="62" t="s">
        <v>645</v>
      </c>
    </row>
    <row r="185" customFormat="false" ht="16.5" hidden="false" customHeight="true" outlineLevel="0" collapsed="false">
      <c r="A185" s="6" t="s">
        <v>466</v>
      </c>
      <c r="B185" s="9" t="s">
        <v>646</v>
      </c>
    </row>
    <row r="186" customFormat="false" ht="16.5" hidden="false" customHeight="true" outlineLevel="0" collapsed="false">
      <c r="A186" s="6" t="s">
        <v>468</v>
      </c>
      <c r="B186" s="9" t="s">
        <v>647</v>
      </c>
    </row>
    <row r="187" customFormat="false" ht="16.5" hidden="false" customHeight="true" outlineLevel="0" collapsed="false">
      <c r="A187" s="6" t="s">
        <v>470</v>
      </c>
      <c r="B187" s="9" t="s">
        <v>648</v>
      </c>
    </row>
    <row r="188" customFormat="false" ht="16.5" hidden="false" customHeight="true" outlineLevel="0" collapsed="false">
      <c r="A188" s="6" t="s">
        <v>472</v>
      </c>
      <c r="B188" s="9" t="s">
        <v>649</v>
      </c>
    </row>
    <row r="189" customFormat="false" ht="16.5" hidden="false" customHeight="true" outlineLevel="0" collapsed="false">
      <c r="A189" s="6" t="s">
        <v>474</v>
      </c>
      <c r="B189" s="9" t="s">
        <v>650</v>
      </c>
    </row>
    <row r="190" customFormat="false" ht="16.5" hidden="false" customHeight="true" outlineLevel="0" collapsed="false">
      <c r="A190" s="6" t="s">
        <v>476</v>
      </c>
      <c r="B190" s="9" t="s">
        <v>651</v>
      </c>
    </row>
    <row r="191" customFormat="false" ht="16.5" hidden="false" customHeight="true" outlineLevel="0" collapsed="false">
      <c r="A191" s="6" t="s">
        <v>478</v>
      </c>
      <c r="B191" s="9" t="s">
        <v>652</v>
      </c>
    </row>
    <row r="192" customFormat="false" ht="16.5" hidden="false" customHeight="true" outlineLevel="0" collapsed="false">
      <c r="A192" s="6" t="s">
        <v>480</v>
      </c>
      <c r="B192" s="9" t="s">
        <v>653</v>
      </c>
    </row>
    <row r="193" customFormat="false" ht="16.5" hidden="false" customHeight="true" outlineLevel="0" collapsed="false">
      <c r="A193" s="6" t="s">
        <v>482</v>
      </c>
      <c r="B193" s="9" t="s">
        <v>654</v>
      </c>
    </row>
    <row r="194" customFormat="false" ht="16.5" hidden="false" customHeight="true" outlineLevel="0" collapsed="false">
      <c r="A194" s="6" t="s">
        <v>484</v>
      </c>
      <c r="B194" s="9" t="s">
        <v>655</v>
      </c>
    </row>
    <row r="195" customFormat="false" ht="29.25" hidden="false" customHeight="true" outlineLevel="0" collapsed="false">
      <c r="A195" s="6" t="s">
        <v>486</v>
      </c>
      <c r="B195" s="8" t="s">
        <v>656</v>
      </c>
    </row>
    <row r="196" customFormat="false" ht="16.5" hidden="false" customHeight="true" outlineLevel="0" collapsed="false">
      <c r="A196" s="6" t="s">
        <v>488</v>
      </c>
      <c r="B196" s="8" t="s">
        <v>657</v>
      </c>
    </row>
    <row r="197" customFormat="false" ht="16.5" hidden="false" customHeight="true" outlineLevel="0" collapsed="false">
      <c r="A197" s="6" t="s">
        <v>490</v>
      </c>
      <c r="B197" s="8" t="s">
        <v>658</v>
      </c>
    </row>
    <row r="198" customFormat="false" ht="16.5" hidden="false" customHeight="true" outlineLevel="0" collapsed="false">
      <c r="A198" s="6" t="s">
        <v>492</v>
      </c>
      <c r="B198" s="9" t="s">
        <v>659</v>
      </c>
    </row>
    <row r="199" customFormat="false" ht="16.5" hidden="false" customHeight="true" outlineLevel="0" collapsed="false">
      <c r="A199" s="6" t="s">
        <v>494</v>
      </c>
      <c r="B199" s="8" t="s">
        <v>660</v>
      </c>
    </row>
    <row r="200" customFormat="false" ht="18" hidden="false" customHeight="true" outlineLevel="0" collapsed="false">
      <c r="A200" s="6" t="s">
        <v>496</v>
      </c>
      <c r="B200" s="8" t="str">
        <f aca="false">"화당 "&amp;턴_설계!$B$5&amp;"턴 · 부 총 "&amp;TEXT(턴_설계!D42,"#,##0")&amp;"턴 · 화당 약 "&amp;TEXT(턴_설계!F42,"#,##0")&amp;"단어 · 낭독 약 "&amp;TEXT(턴_설계!H42,"0.0")&amp;"분 (평균 "&amp;TEXT(턴_설계!E42,"0.0")&amp;"단어/턴)"</f>
        <v>화당 120턴 · 부 총 1,440턴 · 화당 약 1,529단어 · 낭독 약 11.8분 (평균 12.7단어/턴)</v>
      </c>
    </row>
    <row r="201" customFormat="false" ht="16.5" hidden="false" customHeight="true" outlineLevel="0" collapsed="false">
      <c r="A201" s="11" t="s">
        <v>497</v>
      </c>
      <c r="B201" s="8" t="s">
        <v>661</v>
      </c>
    </row>
    <row r="202" customFormat="false" ht="16.5" hidden="false" customHeight="true" outlineLevel="0" collapsed="false">
      <c r="A202" s="6" t="s">
        <v>499</v>
      </c>
      <c r="B202" s="8" t="s">
        <v>662</v>
      </c>
    </row>
    <row r="204" customFormat="false" ht="30" hidden="false" customHeight="true" outlineLevel="0" collapsed="false">
      <c r="A204" s="61" t="s">
        <v>323</v>
      </c>
      <c r="B204" s="62" t="s">
        <v>663</v>
      </c>
    </row>
    <row r="205" customFormat="false" ht="29.25" hidden="false" customHeight="true" outlineLevel="0" collapsed="false">
      <c r="A205" s="6" t="s">
        <v>466</v>
      </c>
      <c r="B205" s="9" t="s">
        <v>664</v>
      </c>
    </row>
    <row r="206" customFormat="false" ht="29.25" hidden="false" customHeight="true" outlineLevel="0" collapsed="false">
      <c r="A206" s="6" t="s">
        <v>468</v>
      </c>
      <c r="B206" s="9" t="s">
        <v>665</v>
      </c>
    </row>
    <row r="207" customFormat="false" ht="16.5" hidden="false" customHeight="true" outlineLevel="0" collapsed="false">
      <c r="A207" s="6" t="s">
        <v>470</v>
      </c>
      <c r="B207" s="9" t="s">
        <v>666</v>
      </c>
    </row>
    <row r="208" customFormat="false" ht="16.5" hidden="false" customHeight="true" outlineLevel="0" collapsed="false">
      <c r="A208" s="6" t="s">
        <v>472</v>
      </c>
      <c r="B208" s="9" t="s">
        <v>667</v>
      </c>
    </row>
    <row r="209" customFormat="false" ht="16.5" hidden="false" customHeight="true" outlineLevel="0" collapsed="false">
      <c r="A209" s="6" t="s">
        <v>474</v>
      </c>
      <c r="B209" s="9" t="s">
        <v>668</v>
      </c>
    </row>
    <row r="210" customFormat="false" ht="16.5" hidden="false" customHeight="true" outlineLevel="0" collapsed="false">
      <c r="A210" s="6" t="s">
        <v>476</v>
      </c>
      <c r="B210" s="9" t="s">
        <v>669</v>
      </c>
    </row>
    <row r="211" customFormat="false" ht="16.5" hidden="false" customHeight="true" outlineLevel="0" collapsed="false">
      <c r="A211" s="6" t="s">
        <v>478</v>
      </c>
      <c r="B211" s="9" t="s">
        <v>670</v>
      </c>
    </row>
    <row r="212" customFormat="false" ht="16.5" hidden="false" customHeight="true" outlineLevel="0" collapsed="false">
      <c r="A212" s="6" t="s">
        <v>480</v>
      </c>
      <c r="B212" s="9" t="s">
        <v>671</v>
      </c>
    </row>
    <row r="213" customFormat="false" ht="29.25" hidden="false" customHeight="true" outlineLevel="0" collapsed="false">
      <c r="A213" s="6" t="s">
        <v>482</v>
      </c>
      <c r="B213" s="9" t="s">
        <v>672</v>
      </c>
    </row>
    <row r="214" customFormat="false" ht="16.5" hidden="false" customHeight="true" outlineLevel="0" collapsed="false">
      <c r="A214" s="6" t="s">
        <v>484</v>
      </c>
      <c r="B214" s="9" t="s">
        <v>673</v>
      </c>
    </row>
    <row r="215" customFormat="false" ht="16.5" hidden="false" customHeight="true" outlineLevel="0" collapsed="false">
      <c r="A215" s="6" t="s">
        <v>674</v>
      </c>
      <c r="B215" s="9" t="s">
        <v>675</v>
      </c>
    </row>
    <row r="216" customFormat="false" ht="29.25" hidden="false" customHeight="true" outlineLevel="0" collapsed="false">
      <c r="A216" s="6" t="s">
        <v>486</v>
      </c>
      <c r="B216" s="8" t="s">
        <v>676</v>
      </c>
    </row>
    <row r="217" customFormat="false" ht="29.25" hidden="false" customHeight="true" outlineLevel="0" collapsed="false">
      <c r="A217" s="6" t="s">
        <v>488</v>
      </c>
      <c r="B217" s="8" t="s">
        <v>677</v>
      </c>
    </row>
    <row r="218" customFormat="false" ht="16.5" hidden="false" customHeight="true" outlineLevel="0" collapsed="false">
      <c r="A218" s="6" t="s">
        <v>490</v>
      </c>
      <c r="B218" s="8" t="s">
        <v>678</v>
      </c>
    </row>
    <row r="219" customFormat="false" ht="16.5" hidden="false" customHeight="true" outlineLevel="0" collapsed="false">
      <c r="A219" s="6" t="s">
        <v>492</v>
      </c>
      <c r="B219" s="9" t="s">
        <v>679</v>
      </c>
    </row>
    <row r="220" customFormat="false" ht="29.25" hidden="false" customHeight="true" outlineLevel="0" collapsed="false">
      <c r="A220" s="6" t="s">
        <v>494</v>
      </c>
      <c r="B220" s="8" t="s">
        <v>680</v>
      </c>
    </row>
    <row r="221" customFormat="false" ht="18" hidden="false" customHeight="true" outlineLevel="0" collapsed="false">
      <c r="A221" s="6" t="s">
        <v>496</v>
      </c>
      <c r="B221" s="8" t="str">
        <f aca="false">"화당 "&amp;턴_설계!$B$5&amp;"턴 · 부 총 "&amp;TEXT(턴_설계!D43,"#,##0")&amp;"턴 · 화당 약 "&amp;TEXT(턴_설계!F43,"#,##0")&amp;"단어 · 낭독 약 "&amp;TEXT(턴_설계!H43,"0.0")&amp;"분 (평균 "&amp;TEXT(턴_설계!E43,"0.0")&amp;"단어/턴)"</f>
        <v>화당 120턴 · 부 총 1,440턴 · 화당 약 1,479단어 · 낭독 약 11.4분 (평균 12.3단어/턴)</v>
      </c>
    </row>
    <row r="222" customFormat="false" ht="16.5" hidden="false" customHeight="true" outlineLevel="0" collapsed="false">
      <c r="A222" s="11" t="s">
        <v>497</v>
      </c>
      <c r="B222" s="8" t="s">
        <v>681</v>
      </c>
    </row>
    <row r="223" customFormat="false" ht="16.5" hidden="false" customHeight="true" outlineLevel="0" collapsed="false">
      <c r="A223" s="6" t="s">
        <v>499</v>
      </c>
      <c r="B223" s="8" t="s">
        <v>682</v>
      </c>
    </row>
    <row r="225" customFormat="false" ht="30" hidden="false" customHeight="true" outlineLevel="0" collapsed="false">
      <c r="A225" s="61" t="s">
        <v>324</v>
      </c>
      <c r="B225" s="62" t="s">
        <v>683</v>
      </c>
    </row>
    <row r="226" customFormat="false" ht="29.25" hidden="false" customHeight="true" outlineLevel="0" collapsed="false">
      <c r="A226" s="6" t="s">
        <v>466</v>
      </c>
      <c r="B226" s="9" t="s">
        <v>684</v>
      </c>
    </row>
    <row r="227" customFormat="false" ht="29.25" hidden="false" customHeight="true" outlineLevel="0" collapsed="false">
      <c r="A227" s="6" t="s">
        <v>468</v>
      </c>
      <c r="B227" s="9" t="s">
        <v>685</v>
      </c>
    </row>
    <row r="228" customFormat="false" ht="16.5" hidden="false" customHeight="true" outlineLevel="0" collapsed="false">
      <c r="A228" s="6" t="s">
        <v>470</v>
      </c>
      <c r="B228" s="9" t="s">
        <v>686</v>
      </c>
    </row>
    <row r="229" customFormat="false" ht="16.5" hidden="false" customHeight="true" outlineLevel="0" collapsed="false">
      <c r="A229" s="6" t="s">
        <v>472</v>
      </c>
      <c r="B229" s="9" t="s">
        <v>687</v>
      </c>
    </row>
    <row r="230" customFormat="false" ht="16.5" hidden="false" customHeight="true" outlineLevel="0" collapsed="false">
      <c r="A230" s="6" t="s">
        <v>474</v>
      </c>
      <c r="B230" s="9" t="s">
        <v>688</v>
      </c>
    </row>
    <row r="231" customFormat="false" ht="16.5" hidden="false" customHeight="true" outlineLevel="0" collapsed="false">
      <c r="A231" s="6" t="s">
        <v>476</v>
      </c>
      <c r="B231" s="9" t="s">
        <v>689</v>
      </c>
    </row>
    <row r="232" customFormat="false" ht="16.5" hidden="false" customHeight="true" outlineLevel="0" collapsed="false">
      <c r="A232" s="6" t="s">
        <v>478</v>
      </c>
      <c r="B232" s="9" t="s">
        <v>690</v>
      </c>
    </row>
    <row r="233" customFormat="false" ht="16.5" hidden="false" customHeight="true" outlineLevel="0" collapsed="false">
      <c r="A233" s="6" t="s">
        <v>480</v>
      </c>
      <c r="B233" s="9" t="s">
        <v>691</v>
      </c>
    </row>
    <row r="234" customFormat="false" ht="16.5" hidden="false" customHeight="true" outlineLevel="0" collapsed="false">
      <c r="A234" s="6" t="s">
        <v>482</v>
      </c>
      <c r="B234" s="9" t="s">
        <v>692</v>
      </c>
    </row>
    <row r="235" customFormat="false" ht="16.5" hidden="false" customHeight="true" outlineLevel="0" collapsed="false">
      <c r="A235" s="6" t="s">
        <v>484</v>
      </c>
      <c r="B235" s="9" t="s">
        <v>693</v>
      </c>
    </row>
    <row r="236" customFormat="false" ht="29.25" hidden="false" customHeight="true" outlineLevel="0" collapsed="false">
      <c r="A236" s="6" t="s">
        <v>486</v>
      </c>
      <c r="B236" s="8" t="s">
        <v>694</v>
      </c>
    </row>
    <row r="237" customFormat="false" ht="16.5" hidden="false" customHeight="true" outlineLevel="0" collapsed="false">
      <c r="A237" s="6" t="s">
        <v>488</v>
      </c>
      <c r="B237" s="8" t="s">
        <v>695</v>
      </c>
    </row>
    <row r="238" customFormat="false" ht="16.5" hidden="false" customHeight="true" outlineLevel="0" collapsed="false">
      <c r="A238" s="6" t="s">
        <v>490</v>
      </c>
      <c r="B238" s="8" t="s">
        <v>696</v>
      </c>
    </row>
    <row r="239" customFormat="false" ht="29.25" hidden="false" customHeight="true" outlineLevel="0" collapsed="false">
      <c r="A239" s="6" t="s">
        <v>492</v>
      </c>
      <c r="B239" s="9" t="s">
        <v>697</v>
      </c>
    </row>
    <row r="240" customFormat="false" ht="16.5" hidden="false" customHeight="true" outlineLevel="0" collapsed="false">
      <c r="A240" s="6" t="s">
        <v>494</v>
      </c>
      <c r="B240" s="8" t="s">
        <v>698</v>
      </c>
    </row>
    <row r="241" customFormat="false" ht="18" hidden="false" customHeight="true" outlineLevel="0" collapsed="false">
      <c r="A241" s="6" t="s">
        <v>496</v>
      </c>
      <c r="B241" s="8" t="str">
        <f aca="false">"화당 "&amp;턴_설계!$B$5&amp;"턴 · 부 총 "&amp;TEXT(턴_설계!D44,"#,##0")&amp;"턴 · 화당 약 "&amp;TEXT(턴_설계!F44,"#,##0")&amp;"단어 · 낭독 약 "&amp;TEXT(턴_설계!H44,"0.0")&amp;"분 (평균 "&amp;TEXT(턴_설계!E44,"0.0")&amp;"단어/턴)"</f>
        <v>화당 120턴 · 부 총 1,440턴 · 화당 약 914단어 · 낭독 약 7.0분 (평균 7.6단어/턴)</v>
      </c>
    </row>
    <row r="242" customFormat="false" ht="16.5" hidden="false" customHeight="true" outlineLevel="0" collapsed="false">
      <c r="A242" s="11" t="s">
        <v>497</v>
      </c>
      <c r="B242" s="8" t="s">
        <v>699</v>
      </c>
    </row>
    <row r="243" customFormat="false" ht="16.5" hidden="false" customHeight="true" outlineLevel="0" collapsed="false">
      <c r="A243" s="6" t="s">
        <v>499</v>
      </c>
      <c r="B243" s="8" t="s">
        <v>700</v>
      </c>
    </row>
    <row r="245" customFormat="false" ht="30" hidden="false" customHeight="true" outlineLevel="0" collapsed="false">
      <c r="A245" s="61" t="s">
        <v>701</v>
      </c>
      <c r="B245" s="62" t="s">
        <v>702</v>
      </c>
    </row>
    <row r="246" customFormat="false" ht="16.5" hidden="false" customHeight="true" outlineLevel="0" collapsed="false">
      <c r="A246" s="6" t="s">
        <v>466</v>
      </c>
      <c r="B246" s="9" t="s">
        <v>703</v>
      </c>
    </row>
    <row r="247" customFormat="false" ht="16.5" hidden="false" customHeight="true" outlineLevel="0" collapsed="false">
      <c r="A247" s="6" t="s">
        <v>468</v>
      </c>
      <c r="B247" s="9" t="s">
        <v>704</v>
      </c>
    </row>
    <row r="248" customFormat="false" ht="16.5" hidden="false" customHeight="true" outlineLevel="0" collapsed="false">
      <c r="A248" s="6" t="s">
        <v>470</v>
      </c>
      <c r="B248" s="9" t="s">
        <v>705</v>
      </c>
    </row>
    <row r="249" customFormat="false" ht="16.5" hidden="false" customHeight="true" outlineLevel="0" collapsed="false">
      <c r="A249" s="6" t="s">
        <v>472</v>
      </c>
      <c r="B249" s="9" t="s">
        <v>706</v>
      </c>
    </row>
    <row r="250" customFormat="false" ht="16.5" hidden="false" customHeight="true" outlineLevel="0" collapsed="false">
      <c r="A250" s="6" t="s">
        <v>474</v>
      </c>
      <c r="B250" s="9" t="s">
        <v>707</v>
      </c>
    </row>
    <row r="251" customFormat="false" ht="16.5" hidden="false" customHeight="true" outlineLevel="0" collapsed="false">
      <c r="A251" s="6" t="s">
        <v>476</v>
      </c>
      <c r="B251" s="9" t="s">
        <v>708</v>
      </c>
    </row>
    <row r="252" customFormat="false" ht="16.5" hidden="false" customHeight="true" outlineLevel="0" collapsed="false">
      <c r="A252" s="6" t="s">
        <v>478</v>
      </c>
      <c r="B252" s="9" t="s">
        <v>709</v>
      </c>
    </row>
    <row r="253" customFormat="false" ht="16.5" hidden="false" customHeight="true" outlineLevel="0" collapsed="false">
      <c r="A253" s="6" t="s">
        <v>480</v>
      </c>
      <c r="B253" s="9" t="s">
        <v>710</v>
      </c>
    </row>
    <row r="254" customFormat="false" ht="16.5" hidden="false" customHeight="true" outlineLevel="0" collapsed="false">
      <c r="A254" s="6" t="s">
        <v>482</v>
      </c>
      <c r="B254" s="9" t="s">
        <v>711</v>
      </c>
    </row>
    <row r="255" customFormat="false" ht="16.5" hidden="false" customHeight="true" outlineLevel="0" collapsed="false">
      <c r="A255" s="6" t="s">
        <v>484</v>
      </c>
      <c r="B255" s="9" t="s">
        <v>712</v>
      </c>
    </row>
    <row r="256" customFormat="false" ht="16.5" hidden="false" customHeight="true" outlineLevel="0" collapsed="false">
      <c r="A256" s="6" t="s">
        <v>486</v>
      </c>
      <c r="B256" s="8" t="s">
        <v>713</v>
      </c>
    </row>
    <row r="257" customFormat="false" ht="16.5" hidden="false" customHeight="true" outlineLevel="0" collapsed="false">
      <c r="A257" s="6" t="s">
        <v>488</v>
      </c>
      <c r="B257" s="8" t="s">
        <v>714</v>
      </c>
    </row>
    <row r="258" customFormat="false" ht="16.5" hidden="false" customHeight="true" outlineLevel="0" collapsed="false">
      <c r="A258" s="6" t="s">
        <v>490</v>
      </c>
      <c r="B258" s="8" t="s">
        <v>715</v>
      </c>
    </row>
    <row r="259" customFormat="false" ht="16.5" hidden="false" customHeight="true" outlineLevel="0" collapsed="false">
      <c r="A259" s="6" t="s">
        <v>492</v>
      </c>
      <c r="B259" s="9" t="s">
        <v>716</v>
      </c>
    </row>
    <row r="260" customFormat="false" ht="16.5" hidden="false" customHeight="true" outlineLevel="0" collapsed="false">
      <c r="A260" s="6" t="s">
        <v>494</v>
      </c>
      <c r="B260" s="8" t="s">
        <v>717</v>
      </c>
    </row>
    <row r="261" customFormat="false" ht="18" hidden="false" customHeight="true" outlineLevel="0" collapsed="false">
      <c r="A261" s="6" t="s">
        <v>496</v>
      </c>
      <c r="B261" s="8" t="str">
        <f aca="false">"화당 "&amp;턴_설계!$B$5&amp;"턴 · 부 총 "&amp;TEXT(턴_설계!D45,"#,##0")&amp;"턴 · 화당 약 "&amp;TEXT(턴_설계!F45,"#,##0")&amp;"단어 · 낭독 약 "&amp;TEXT(턴_설계!H45,"0.0")&amp;"분 (평균 "&amp;TEXT(턴_설계!E45,"0.0")&amp;"단어/턴)"</f>
        <v>화당 120턴 · 부 총 17,280턴 · 화당 약 1,257단어 · 낭독 약 9.7분 (평균 10.5단어/턴)</v>
      </c>
    </row>
    <row r="262" customFormat="false" ht="16.5" hidden="false" customHeight="true" outlineLevel="0" collapsed="false">
      <c r="A262" s="11" t="s">
        <v>497</v>
      </c>
      <c r="B262" s="8" t="s">
        <v>718</v>
      </c>
    </row>
    <row r="263" customFormat="false" ht="16.5" hidden="false" customHeight="true" outlineLevel="0" collapsed="false">
      <c r="A263" s="6" t="s">
        <v>499</v>
      </c>
      <c r="B263" s="9" t="s">
        <v>719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J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1" style="1" width="6"/>
    <col collapsed="false" customWidth="true" hidden="false" outlineLevel="0" max="3" min="3" style="1" width="13"/>
    <col collapsed="false" customWidth="true" hidden="false" outlineLevel="0" max="4" min="4" style="1" width="32"/>
    <col collapsed="false" customWidth="true" hidden="false" outlineLevel="0" max="5" min="5" style="1" width="24"/>
    <col collapsed="false" customWidth="true" hidden="false" outlineLevel="0" max="6" min="6" style="1" width="62"/>
    <col collapsed="false" customWidth="true" hidden="false" outlineLevel="0" max="7" min="7" style="1" width="46"/>
    <col collapsed="false" customWidth="true" hidden="false" outlineLevel="0" max="8" min="8" style="1" width="28"/>
    <col collapsed="false" customWidth="true" hidden="false" outlineLevel="0" max="9" min="9" style="1" width="16"/>
    <col collapsed="false" customWidth="true" hidden="false" outlineLevel="0" max="10" min="10" style="1" width="8"/>
  </cols>
  <sheetData>
    <row r="1" customFormat="false" ht="24" hidden="false" customHeight="true" outlineLevel="0" collapsed="false">
      <c r="A1" s="24" t="s">
        <v>720</v>
      </c>
    </row>
    <row r="2" customFormat="false" ht="15" hidden="false" customHeight="true" outlineLevel="0" collapsed="false">
      <c r="A2" s="23" t="s">
        <v>721</v>
      </c>
    </row>
    <row r="4" customFormat="false" ht="29.25" hidden="false" customHeight="true" outlineLevel="0" collapsed="false">
      <c r="A4" s="26" t="s">
        <v>328</v>
      </c>
      <c r="B4" s="26" t="s">
        <v>722</v>
      </c>
      <c r="C4" s="26" t="s">
        <v>466</v>
      </c>
      <c r="D4" s="26" t="s">
        <v>379</v>
      </c>
      <c r="E4" s="26" t="s">
        <v>380</v>
      </c>
      <c r="F4" s="26" t="s">
        <v>723</v>
      </c>
      <c r="G4" s="26" t="s">
        <v>384</v>
      </c>
      <c r="H4" s="26" t="s">
        <v>724</v>
      </c>
      <c r="I4" s="26" t="s">
        <v>725</v>
      </c>
      <c r="J4" s="26" t="s">
        <v>726</v>
      </c>
    </row>
    <row r="5" customFormat="false" ht="67.5" hidden="false" customHeight="true" outlineLevel="0" collapsed="false">
      <c r="A5" s="27" t="n">
        <v>1</v>
      </c>
      <c r="B5" s="27" t="n">
        <v>1</v>
      </c>
      <c r="C5" s="29" t="s">
        <v>727</v>
      </c>
      <c r="D5" s="8" t="s">
        <v>728</v>
      </c>
      <c r="E5" s="9" t="s">
        <v>729</v>
      </c>
      <c r="F5" s="9" t="s">
        <v>730</v>
      </c>
      <c r="G5" s="9" t="s">
        <v>731</v>
      </c>
      <c r="H5" s="8" t="s">
        <v>732</v>
      </c>
      <c r="I5" s="27" t="s">
        <v>733</v>
      </c>
      <c r="J5" s="27" t="n">
        <f aca="false">턴_설계!$B$5</f>
        <v>120</v>
      </c>
    </row>
    <row r="6" customFormat="false" ht="54.75" hidden="false" customHeight="true" outlineLevel="0" collapsed="false">
      <c r="A6" s="27" t="n">
        <v>1</v>
      </c>
      <c r="B6" s="27" t="n">
        <v>2</v>
      </c>
      <c r="C6" s="29" t="s">
        <v>734</v>
      </c>
      <c r="D6" s="8" t="s">
        <v>735</v>
      </c>
      <c r="E6" s="9" t="s">
        <v>736</v>
      </c>
      <c r="F6" s="8" t="s">
        <v>737</v>
      </c>
      <c r="G6" s="9" t="s">
        <v>738</v>
      </c>
      <c r="H6" s="8" t="s">
        <v>739</v>
      </c>
      <c r="I6" s="27" t="s">
        <v>733</v>
      </c>
      <c r="J6" s="27" t="n">
        <f aca="false">턴_설계!$B$5</f>
        <v>120</v>
      </c>
    </row>
    <row r="7" customFormat="false" ht="54.75" hidden="false" customHeight="true" outlineLevel="0" collapsed="false">
      <c r="A7" s="27" t="n">
        <v>1</v>
      </c>
      <c r="B7" s="27" t="n">
        <v>3</v>
      </c>
      <c r="C7" s="29" t="s">
        <v>740</v>
      </c>
      <c r="D7" s="8" t="s">
        <v>741</v>
      </c>
      <c r="E7" s="9" t="s">
        <v>742</v>
      </c>
      <c r="F7" s="8" t="s">
        <v>743</v>
      </c>
      <c r="G7" s="9" t="s">
        <v>744</v>
      </c>
      <c r="H7" s="8" t="s">
        <v>745</v>
      </c>
      <c r="I7" s="27" t="s">
        <v>746</v>
      </c>
      <c r="J7" s="27" t="n">
        <f aca="false">턴_설계!$B$5</f>
        <v>120</v>
      </c>
    </row>
    <row r="8" customFormat="false" ht="42" hidden="false" customHeight="true" outlineLevel="0" collapsed="false">
      <c r="A8" s="27" t="n">
        <v>1</v>
      </c>
      <c r="B8" s="27" t="n">
        <v>4</v>
      </c>
      <c r="C8" s="29" t="s">
        <v>747</v>
      </c>
      <c r="D8" s="8" t="s">
        <v>748</v>
      </c>
      <c r="E8" s="9" t="s">
        <v>749</v>
      </c>
      <c r="F8" s="8" t="s">
        <v>750</v>
      </c>
      <c r="G8" s="17" t="s">
        <v>751</v>
      </c>
      <c r="H8" s="8" t="s">
        <v>745</v>
      </c>
      <c r="I8" s="27" t="s">
        <v>746</v>
      </c>
      <c r="J8" s="27" t="n">
        <f aca="false">턴_설계!$B$5</f>
        <v>120</v>
      </c>
    </row>
    <row r="9" customFormat="false" ht="42" hidden="false" customHeight="true" outlineLevel="0" collapsed="false">
      <c r="A9" s="27" t="n">
        <v>1</v>
      </c>
      <c r="B9" s="27" t="n">
        <v>5</v>
      </c>
      <c r="C9" s="29" t="s">
        <v>752</v>
      </c>
      <c r="D9" s="8" t="s">
        <v>753</v>
      </c>
      <c r="E9" s="9" t="s">
        <v>754</v>
      </c>
      <c r="F9" s="8" t="s">
        <v>755</v>
      </c>
      <c r="G9" s="9" t="s">
        <v>756</v>
      </c>
      <c r="H9" s="8" t="s">
        <v>757</v>
      </c>
      <c r="I9" s="27" t="s">
        <v>746</v>
      </c>
      <c r="J9" s="27" t="n">
        <f aca="false">턴_설계!$B$5</f>
        <v>120</v>
      </c>
    </row>
    <row r="10" customFormat="false" ht="54.75" hidden="false" customHeight="true" outlineLevel="0" collapsed="false">
      <c r="A10" s="27" t="n">
        <v>1</v>
      </c>
      <c r="B10" s="27" t="n">
        <v>6</v>
      </c>
      <c r="C10" s="29" t="s">
        <v>758</v>
      </c>
      <c r="D10" s="8" t="s">
        <v>759</v>
      </c>
      <c r="E10" s="9" t="s">
        <v>760</v>
      </c>
      <c r="F10" s="8" t="s">
        <v>761</v>
      </c>
      <c r="G10" s="9" t="s">
        <v>762</v>
      </c>
      <c r="H10" s="8" t="s">
        <v>763</v>
      </c>
      <c r="I10" s="27" t="s">
        <v>746</v>
      </c>
      <c r="J10" s="27" t="n">
        <f aca="false">턴_설계!$B$5</f>
        <v>120</v>
      </c>
    </row>
    <row r="11" customFormat="false" ht="67.5" hidden="false" customHeight="true" outlineLevel="0" collapsed="false">
      <c r="A11" s="27" t="n">
        <v>1</v>
      </c>
      <c r="B11" s="27" t="n">
        <v>7</v>
      </c>
      <c r="C11" s="29" t="s">
        <v>764</v>
      </c>
      <c r="D11" s="8" t="s">
        <v>765</v>
      </c>
      <c r="E11" s="9" t="s">
        <v>766</v>
      </c>
      <c r="F11" s="8" t="s">
        <v>767</v>
      </c>
      <c r="G11" s="17" t="s">
        <v>768</v>
      </c>
      <c r="H11" s="8" t="s">
        <v>769</v>
      </c>
      <c r="I11" s="27" t="s">
        <v>770</v>
      </c>
      <c r="J11" s="27" t="n">
        <f aca="false">턴_설계!$B$5</f>
        <v>120</v>
      </c>
    </row>
    <row r="12" customFormat="false" ht="42" hidden="false" customHeight="true" outlineLevel="0" collapsed="false">
      <c r="A12" s="27" t="n">
        <v>1</v>
      </c>
      <c r="B12" s="27" t="n">
        <v>8</v>
      </c>
      <c r="C12" s="29" t="s">
        <v>771</v>
      </c>
      <c r="D12" s="8" t="s">
        <v>772</v>
      </c>
      <c r="E12" s="9" t="s">
        <v>773</v>
      </c>
      <c r="F12" s="8" t="s">
        <v>774</v>
      </c>
      <c r="G12" s="17" t="s">
        <v>775</v>
      </c>
      <c r="H12" s="8" t="s">
        <v>776</v>
      </c>
      <c r="I12" s="27" t="s">
        <v>770</v>
      </c>
      <c r="J12" s="27" t="n">
        <f aca="false">턴_설계!$B$5</f>
        <v>120</v>
      </c>
    </row>
    <row r="13" customFormat="false" ht="54.75" hidden="false" customHeight="true" outlineLevel="0" collapsed="false">
      <c r="A13" s="27" t="n">
        <v>1</v>
      </c>
      <c r="B13" s="27" t="n">
        <v>9</v>
      </c>
      <c r="C13" s="29" t="s">
        <v>777</v>
      </c>
      <c r="D13" s="8" t="s">
        <v>778</v>
      </c>
      <c r="E13" s="8" t="s">
        <v>779</v>
      </c>
      <c r="F13" s="8" t="s">
        <v>780</v>
      </c>
      <c r="G13" s="9" t="s">
        <v>781</v>
      </c>
      <c r="H13" s="8" t="s">
        <v>782</v>
      </c>
      <c r="I13" s="27" t="s">
        <v>783</v>
      </c>
      <c r="J13" s="27" t="n">
        <f aca="false">턴_설계!$B$5</f>
        <v>120</v>
      </c>
    </row>
    <row r="14" customFormat="false" ht="42" hidden="false" customHeight="true" outlineLevel="0" collapsed="false">
      <c r="A14" s="27" t="n">
        <v>1</v>
      </c>
      <c r="B14" s="27" t="n">
        <v>10</v>
      </c>
      <c r="C14" s="29" t="s">
        <v>784</v>
      </c>
      <c r="D14" s="8" t="s">
        <v>785</v>
      </c>
      <c r="E14" s="9" t="s">
        <v>786</v>
      </c>
      <c r="F14" s="8" t="s">
        <v>787</v>
      </c>
      <c r="G14" s="17" t="s">
        <v>788</v>
      </c>
      <c r="H14" s="8" t="s">
        <v>789</v>
      </c>
      <c r="I14" s="27" t="s">
        <v>783</v>
      </c>
      <c r="J14" s="27" t="n">
        <f aca="false">턴_설계!$B$5</f>
        <v>120</v>
      </c>
    </row>
    <row r="15" customFormat="false" ht="42" hidden="false" customHeight="true" outlineLevel="0" collapsed="false">
      <c r="A15" s="27" t="n">
        <v>1</v>
      </c>
      <c r="B15" s="27" t="n">
        <v>11</v>
      </c>
      <c r="C15" s="29" t="s">
        <v>790</v>
      </c>
      <c r="D15" s="8" t="s">
        <v>791</v>
      </c>
      <c r="E15" s="9" t="s">
        <v>792</v>
      </c>
      <c r="F15" s="8" t="s">
        <v>793</v>
      </c>
      <c r="G15" s="9" t="s">
        <v>794</v>
      </c>
      <c r="H15" s="8" t="s">
        <v>795</v>
      </c>
      <c r="I15" s="27" t="s">
        <v>733</v>
      </c>
      <c r="J15" s="27" t="n">
        <f aca="false">턴_설계!$B$5</f>
        <v>120</v>
      </c>
    </row>
    <row r="16" customFormat="false" ht="54.75" hidden="false" customHeight="true" outlineLevel="0" collapsed="false">
      <c r="A16" s="27" t="n">
        <v>1</v>
      </c>
      <c r="B16" s="27" t="n">
        <v>12</v>
      </c>
      <c r="C16" s="29" t="s">
        <v>796</v>
      </c>
      <c r="D16" s="8" t="s">
        <v>797</v>
      </c>
      <c r="E16" s="9" t="s">
        <v>798</v>
      </c>
      <c r="F16" s="8" t="s">
        <v>799</v>
      </c>
      <c r="G16" s="9" t="s">
        <v>800</v>
      </c>
      <c r="H16" s="8" t="s">
        <v>801</v>
      </c>
      <c r="I16" s="27" t="s">
        <v>733</v>
      </c>
      <c r="J16" s="27" t="n">
        <f aca="false">턴_설계!$B$5</f>
        <v>120</v>
      </c>
    </row>
    <row r="17" customFormat="false" ht="42" hidden="false" customHeight="true" outlineLevel="0" collapsed="false">
      <c r="A17" s="27" t="n">
        <v>2</v>
      </c>
      <c r="B17" s="27" t="n">
        <v>1</v>
      </c>
      <c r="C17" s="29" t="s">
        <v>802</v>
      </c>
      <c r="D17" s="8" t="s">
        <v>803</v>
      </c>
      <c r="E17" s="9" t="s">
        <v>804</v>
      </c>
      <c r="F17" s="8" t="s">
        <v>805</v>
      </c>
      <c r="G17" s="9" t="s">
        <v>806</v>
      </c>
      <c r="H17" s="8" t="s">
        <v>807</v>
      </c>
      <c r="I17" s="27" t="s">
        <v>733</v>
      </c>
      <c r="J17" s="27" t="n">
        <f aca="false">턴_설계!$B$5</f>
        <v>120</v>
      </c>
    </row>
    <row r="18" customFormat="false" ht="42" hidden="false" customHeight="true" outlineLevel="0" collapsed="false">
      <c r="A18" s="27" t="n">
        <v>2</v>
      </c>
      <c r="B18" s="27" t="n">
        <v>2</v>
      </c>
      <c r="C18" s="29" t="s">
        <v>802</v>
      </c>
      <c r="D18" s="8" t="s">
        <v>808</v>
      </c>
      <c r="E18" s="9" t="s">
        <v>809</v>
      </c>
      <c r="F18" s="8" t="s">
        <v>810</v>
      </c>
      <c r="G18" s="9" t="s">
        <v>811</v>
      </c>
      <c r="H18" s="8" t="s">
        <v>812</v>
      </c>
      <c r="I18" s="27"/>
      <c r="J18" s="27" t="n">
        <f aca="false">턴_설계!$B$5</f>
        <v>120</v>
      </c>
    </row>
    <row r="19" customFormat="false" ht="42" hidden="false" customHeight="true" outlineLevel="0" collapsed="false">
      <c r="A19" s="27" t="n">
        <v>2</v>
      </c>
      <c r="B19" s="27" t="n">
        <v>3</v>
      </c>
      <c r="C19" s="29" t="s">
        <v>802</v>
      </c>
      <c r="D19" s="8" t="s">
        <v>813</v>
      </c>
      <c r="E19" s="8" t="s">
        <v>814</v>
      </c>
      <c r="F19" s="9" t="s">
        <v>815</v>
      </c>
      <c r="G19" s="9" t="s">
        <v>816</v>
      </c>
      <c r="H19" s="8" t="s">
        <v>817</v>
      </c>
      <c r="I19" s="27" t="s">
        <v>733</v>
      </c>
      <c r="J19" s="27" t="n">
        <f aca="false">턴_설계!$B$5</f>
        <v>120</v>
      </c>
    </row>
    <row r="20" customFormat="false" ht="42" hidden="false" customHeight="true" outlineLevel="0" collapsed="false">
      <c r="A20" s="27" t="n">
        <v>2</v>
      </c>
      <c r="B20" s="27" t="n">
        <v>4</v>
      </c>
      <c r="C20" s="29" t="s">
        <v>818</v>
      </c>
      <c r="D20" s="8" t="s">
        <v>819</v>
      </c>
      <c r="E20" s="9" t="s">
        <v>820</v>
      </c>
      <c r="F20" s="9" t="s">
        <v>821</v>
      </c>
      <c r="G20" s="9" t="s">
        <v>822</v>
      </c>
      <c r="H20" s="8" t="s">
        <v>823</v>
      </c>
      <c r="I20" s="27" t="s">
        <v>733</v>
      </c>
      <c r="J20" s="27" t="n">
        <f aca="false">턴_설계!$B$5</f>
        <v>120</v>
      </c>
    </row>
    <row r="21" customFormat="false" ht="42" hidden="false" customHeight="true" outlineLevel="0" collapsed="false">
      <c r="A21" s="27" t="n">
        <v>2</v>
      </c>
      <c r="B21" s="27" t="n">
        <v>5</v>
      </c>
      <c r="C21" s="29" t="s">
        <v>818</v>
      </c>
      <c r="D21" s="8" t="s">
        <v>824</v>
      </c>
      <c r="E21" s="9" t="s">
        <v>825</v>
      </c>
      <c r="F21" s="8" t="s">
        <v>826</v>
      </c>
      <c r="G21" s="9" t="s">
        <v>827</v>
      </c>
      <c r="H21" s="8" t="s">
        <v>828</v>
      </c>
      <c r="I21" s="27" t="s">
        <v>733</v>
      </c>
      <c r="J21" s="27" t="n">
        <f aca="false">턴_설계!$B$5</f>
        <v>120</v>
      </c>
    </row>
    <row r="22" customFormat="false" ht="42" hidden="false" customHeight="true" outlineLevel="0" collapsed="false">
      <c r="A22" s="27" t="n">
        <v>2</v>
      </c>
      <c r="B22" s="27" t="n">
        <v>6</v>
      </c>
      <c r="C22" s="29" t="s">
        <v>829</v>
      </c>
      <c r="D22" s="8" t="s">
        <v>830</v>
      </c>
      <c r="E22" s="9" t="s">
        <v>831</v>
      </c>
      <c r="F22" s="9" t="s">
        <v>832</v>
      </c>
      <c r="G22" s="9" t="s">
        <v>833</v>
      </c>
      <c r="H22" s="8" t="s">
        <v>834</v>
      </c>
      <c r="I22" s="27" t="s">
        <v>733</v>
      </c>
      <c r="J22" s="27" t="n">
        <f aca="false">턴_설계!$B$5</f>
        <v>120</v>
      </c>
    </row>
    <row r="23" customFormat="false" ht="42" hidden="false" customHeight="true" outlineLevel="0" collapsed="false">
      <c r="A23" s="27" t="n">
        <v>2</v>
      </c>
      <c r="B23" s="27" t="n">
        <v>7</v>
      </c>
      <c r="C23" s="29" t="s">
        <v>835</v>
      </c>
      <c r="D23" s="8" t="s">
        <v>836</v>
      </c>
      <c r="E23" s="9" t="s">
        <v>837</v>
      </c>
      <c r="F23" s="9" t="s">
        <v>838</v>
      </c>
      <c r="G23" s="9" t="s">
        <v>839</v>
      </c>
      <c r="H23" s="8" t="s">
        <v>840</v>
      </c>
      <c r="I23" s="27" t="s">
        <v>733</v>
      </c>
      <c r="J23" s="27" t="n">
        <f aca="false">턴_설계!$B$5</f>
        <v>120</v>
      </c>
    </row>
    <row r="24" customFormat="false" ht="42" hidden="false" customHeight="true" outlineLevel="0" collapsed="false">
      <c r="A24" s="27" t="n">
        <v>2</v>
      </c>
      <c r="B24" s="27" t="n">
        <v>8</v>
      </c>
      <c r="C24" s="29" t="s">
        <v>835</v>
      </c>
      <c r="D24" s="8" t="s">
        <v>841</v>
      </c>
      <c r="E24" s="9" t="s">
        <v>842</v>
      </c>
      <c r="F24" s="9" t="s">
        <v>843</v>
      </c>
      <c r="G24" s="9" t="s">
        <v>844</v>
      </c>
      <c r="H24" s="8" t="s">
        <v>845</v>
      </c>
      <c r="I24" s="27" t="s">
        <v>846</v>
      </c>
      <c r="J24" s="27" t="n">
        <f aca="false">턴_설계!$B$5</f>
        <v>120</v>
      </c>
    </row>
    <row r="25" customFormat="false" ht="42" hidden="false" customHeight="true" outlineLevel="0" collapsed="false">
      <c r="A25" s="27" t="n">
        <v>2</v>
      </c>
      <c r="B25" s="27" t="n">
        <v>9</v>
      </c>
      <c r="C25" s="29" t="s">
        <v>835</v>
      </c>
      <c r="D25" s="8" t="s">
        <v>847</v>
      </c>
      <c r="E25" s="9" t="s">
        <v>848</v>
      </c>
      <c r="F25" s="8" t="s">
        <v>849</v>
      </c>
      <c r="G25" s="9" t="s">
        <v>850</v>
      </c>
      <c r="H25" s="8" t="s">
        <v>851</v>
      </c>
      <c r="I25" s="27"/>
      <c r="J25" s="27" t="n">
        <f aca="false">턴_설계!$B$5</f>
        <v>120</v>
      </c>
    </row>
    <row r="26" customFormat="false" ht="29.25" hidden="false" customHeight="true" outlineLevel="0" collapsed="false">
      <c r="A26" s="27" t="n">
        <v>2</v>
      </c>
      <c r="B26" s="27" t="n">
        <v>10</v>
      </c>
      <c r="C26" s="29" t="s">
        <v>852</v>
      </c>
      <c r="D26" s="8" t="s">
        <v>853</v>
      </c>
      <c r="E26" s="9" t="s">
        <v>854</v>
      </c>
      <c r="F26" s="9" t="s">
        <v>855</v>
      </c>
      <c r="G26" s="9" t="s">
        <v>856</v>
      </c>
      <c r="H26" s="8" t="s">
        <v>857</v>
      </c>
      <c r="I26" s="27"/>
      <c r="J26" s="27" t="n">
        <f aca="false">턴_설계!$B$5</f>
        <v>120</v>
      </c>
    </row>
    <row r="27" customFormat="false" ht="29.25" hidden="false" customHeight="true" outlineLevel="0" collapsed="false">
      <c r="A27" s="27" t="n">
        <v>2</v>
      </c>
      <c r="B27" s="27" t="n">
        <v>11</v>
      </c>
      <c r="C27" s="29" t="s">
        <v>852</v>
      </c>
      <c r="D27" s="8" t="s">
        <v>858</v>
      </c>
      <c r="E27" s="8" t="s">
        <v>859</v>
      </c>
      <c r="F27" s="8" t="s">
        <v>860</v>
      </c>
      <c r="G27" s="9" t="s">
        <v>861</v>
      </c>
      <c r="H27" s="8" t="s">
        <v>862</v>
      </c>
      <c r="I27" s="27" t="s">
        <v>733</v>
      </c>
      <c r="J27" s="27" t="n">
        <f aca="false">턴_설계!$B$5</f>
        <v>120</v>
      </c>
    </row>
    <row r="28" customFormat="false" ht="42" hidden="false" customHeight="true" outlineLevel="0" collapsed="false">
      <c r="A28" s="27" t="n">
        <v>2</v>
      </c>
      <c r="B28" s="27" t="n">
        <v>12</v>
      </c>
      <c r="C28" s="29" t="s">
        <v>863</v>
      </c>
      <c r="D28" s="8" t="s">
        <v>864</v>
      </c>
      <c r="E28" s="9" t="s">
        <v>865</v>
      </c>
      <c r="F28" s="8" t="s">
        <v>866</v>
      </c>
      <c r="G28" s="9" t="s">
        <v>867</v>
      </c>
      <c r="H28" s="8" t="s">
        <v>868</v>
      </c>
      <c r="I28" s="27"/>
      <c r="J28" s="27" t="n">
        <f aca="false">턴_설계!$B$5</f>
        <v>120</v>
      </c>
    </row>
    <row r="29" customFormat="false" ht="42" hidden="false" customHeight="true" outlineLevel="0" collapsed="false">
      <c r="A29" s="27" t="n">
        <v>3</v>
      </c>
      <c r="B29" s="27" t="n">
        <v>1</v>
      </c>
      <c r="C29" s="29" t="s">
        <v>802</v>
      </c>
      <c r="D29" s="8" t="s">
        <v>869</v>
      </c>
      <c r="E29" s="9" t="s">
        <v>870</v>
      </c>
      <c r="F29" s="8" t="s">
        <v>871</v>
      </c>
      <c r="G29" s="9" t="s">
        <v>872</v>
      </c>
      <c r="H29" s="8" t="s">
        <v>873</v>
      </c>
      <c r="I29" s="27"/>
      <c r="J29" s="27" t="n">
        <f aca="false">턴_설계!$B$5</f>
        <v>120</v>
      </c>
    </row>
    <row r="30" customFormat="false" ht="42" hidden="false" customHeight="true" outlineLevel="0" collapsed="false">
      <c r="A30" s="27" t="n">
        <v>3</v>
      </c>
      <c r="B30" s="27" t="n">
        <v>2</v>
      </c>
      <c r="C30" s="29" t="s">
        <v>802</v>
      </c>
      <c r="D30" s="8" t="s">
        <v>874</v>
      </c>
      <c r="E30" s="9" t="s">
        <v>875</v>
      </c>
      <c r="F30" s="8" t="s">
        <v>876</v>
      </c>
      <c r="G30" s="8" t="s">
        <v>877</v>
      </c>
      <c r="H30" s="8" t="s">
        <v>878</v>
      </c>
      <c r="I30" s="27"/>
      <c r="J30" s="27" t="n">
        <f aca="false">턴_설계!$B$5</f>
        <v>120</v>
      </c>
    </row>
    <row r="31" customFormat="false" ht="29.25" hidden="false" customHeight="true" outlineLevel="0" collapsed="false">
      <c r="A31" s="27" t="n">
        <v>3</v>
      </c>
      <c r="B31" s="27" t="n">
        <v>3</v>
      </c>
      <c r="C31" s="29" t="s">
        <v>802</v>
      </c>
      <c r="D31" s="8" t="s">
        <v>879</v>
      </c>
      <c r="E31" s="9" t="s">
        <v>880</v>
      </c>
      <c r="F31" s="9" t="s">
        <v>881</v>
      </c>
      <c r="G31" s="9" t="s">
        <v>882</v>
      </c>
      <c r="H31" s="8" t="s">
        <v>883</v>
      </c>
      <c r="I31" s="27" t="s">
        <v>884</v>
      </c>
      <c r="J31" s="27" t="n">
        <f aca="false">턴_설계!$B$5</f>
        <v>120</v>
      </c>
    </row>
    <row r="32" customFormat="false" ht="29.25" hidden="false" customHeight="true" outlineLevel="0" collapsed="false">
      <c r="A32" s="27" t="n">
        <v>3</v>
      </c>
      <c r="B32" s="27" t="n">
        <v>4</v>
      </c>
      <c r="C32" s="29" t="s">
        <v>818</v>
      </c>
      <c r="D32" s="8" t="s">
        <v>885</v>
      </c>
      <c r="E32" s="9" t="s">
        <v>886</v>
      </c>
      <c r="F32" s="9" t="s">
        <v>887</v>
      </c>
      <c r="G32" s="9" t="s">
        <v>888</v>
      </c>
      <c r="H32" s="8" t="s">
        <v>889</v>
      </c>
      <c r="I32" s="27" t="s">
        <v>890</v>
      </c>
      <c r="J32" s="27" t="n">
        <f aca="false">턴_설계!$B$5</f>
        <v>120</v>
      </c>
    </row>
    <row r="33" customFormat="false" ht="42" hidden="false" customHeight="true" outlineLevel="0" collapsed="false">
      <c r="A33" s="27" t="n">
        <v>3</v>
      </c>
      <c r="B33" s="27" t="n">
        <v>5</v>
      </c>
      <c r="C33" s="29" t="s">
        <v>818</v>
      </c>
      <c r="D33" s="8" t="s">
        <v>891</v>
      </c>
      <c r="E33" s="9" t="s">
        <v>892</v>
      </c>
      <c r="F33" s="8" t="s">
        <v>893</v>
      </c>
      <c r="G33" s="9" t="s">
        <v>894</v>
      </c>
      <c r="H33" s="8" t="s">
        <v>895</v>
      </c>
      <c r="I33" s="27"/>
      <c r="J33" s="27" t="n">
        <f aca="false">턴_설계!$B$5</f>
        <v>120</v>
      </c>
    </row>
    <row r="34" customFormat="false" ht="42" hidden="false" customHeight="true" outlineLevel="0" collapsed="false">
      <c r="A34" s="27" t="n">
        <v>3</v>
      </c>
      <c r="B34" s="27" t="n">
        <v>6</v>
      </c>
      <c r="C34" s="29" t="s">
        <v>829</v>
      </c>
      <c r="D34" s="8" t="s">
        <v>896</v>
      </c>
      <c r="E34" s="9" t="s">
        <v>897</v>
      </c>
      <c r="F34" s="9" t="s">
        <v>898</v>
      </c>
      <c r="G34" s="9" t="s">
        <v>899</v>
      </c>
      <c r="H34" s="8" t="s">
        <v>900</v>
      </c>
      <c r="I34" s="27" t="s">
        <v>901</v>
      </c>
      <c r="J34" s="27" t="n">
        <f aca="false">턴_설계!$B$5</f>
        <v>120</v>
      </c>
    </row>
    <row r="35" customFormat="false" ht="42" hidden="false" customHeight="true" outlineLevel="0" collapsed="false">
      <c r="A35" s="27" t="n">
        <v>3</v>
      </c>
      <c r="B35" s="27" t="n">
        <v>7</v>
      </c>
      <c r="C35" s="29" t="s">
        <v>835</v>
      </c>
      <c r="D35" s="8" t="s">
        <v>902</v>
      </c>
      <c r="E35" s="9" t="s">
        <v>903</v>
      </c>
      <c r="F35" s="9" t="s">
        <v>904</v>
      </c>
      <c r="G35" s="9" t="s">
        <v>905</v>
      </c>
      <c r="H35" s="8" t="s">
        <v>906</v>
      </c>
      <c r="I35" s="27" t="s">
        <v>907</v>
      </c>
      <c r="J35" s="27" t="n">
        <f aca="false">턴_설계!$B$5</f>
        <v>120</v>
      </c>
    </row>
    <row r="36" customFormat="false" ht="29.25" hidden="false" customHeight="true" outlineLevel="0" collapsed="false">
      <c r="A36" s="27" t="n">
        <v>3</v>
      </c>
      <c r="B36" s="27" t="n">
        <v>8</v>
      </c>
      <c r="C36" s="29" t="s">
        <v>835</v>
      </c>
      <c r="D36" s="8" t="s">
        <v>908</v>
      </c>
      <c r="E36" s="9" t="s">
        <v>909</v>
      </c>
      <c r="F36" s="9" t="s">
        <v>910</v>
      </c>
      <c r="G36" s="9" t="s">
        <v>911</v>
      </c>
      <c r="H36" s="8" t="s">
        <v>912</v>
      </c>
      <c r="I36" s="27" t="s">
        <v>907</v>
      </c>
      <c r="J36" s="27" t="n">
        <f aca="false">턴_설계!$B$5</f>
        <v>120</v>
      </c>
    </row>
    <row r="37" customFormat="false" ht="29.25" hidden="false" customHeight="true" outlineLevel="0" collapsed="false">
      <c r="A37" s="27" t="n">
        <v>3</v>
      </c>
      <c r="B37" s="27" t="n">
        <v>9</v>
      </c>
      <c r="C37" s="29" t="s">
        <v>835</v>
      </c>
      <c r="D37" s="8" t="s">
        <v>913</v>
      </c>
      <c r="E37" s="9" t="s">
        <v>914</v>
      </c>
      <c r="F37" s="8" t="s">
        <v>915</v>
      </c>
      <c r="G37" s="9" t="s">
        <v>916</v>
      </c>
      <c r="H37" s="8" t="s">
        <v>917</v>
      </c>
      <c r="I37" s="27"/>
      <c r="J37" s="27" t="n">
        <f aca="false">턴_설계!$B$5</f>
        <v>120</v>
      </c>
    </row>
    <row r="38" customFormat="false" ht="29.25" hidden="false" customHeight="true" outlineLevel="0" collapsed="false">
      <c r="A38" s="27" t="n">
        <v>3</v>
      </c>
      <c r="B38" s="27" t="n">
        <v>10</v>
      </c>
      <c r="C38" s="29" t="s">
        <v>852</v>
      </c>
      <c r="D38" s="8" t="s">
        <v>918</v>
      </c>
      <c r="E38" s="9" t="s">
        <v>919</v>
      </c>
      <c r="F38" s="9" t="s">
        <v>920</v>
      </c>
      <c r="G38" s="9" t="s">
        <v>921</v>
      </c>
      <c r="H38" s="8" t="s">
        <v>883</v>
      </c>
      <c r="I38" s="27" t="s">
        <v>922</v>
      </c>
      <c r="J38" s="27" t="n">
        <f aca="false">턴_설계!$B$5</f>
        <v>120</v>
      </c>
    </row>
    <row r="39" customFormat="false" ht="29.25" hidden="false" customHeight="true" outlineLevel="0" collapsed="false">
      <c r="A39" s="27" t="n">
        <v>3</v>
      </c>
      <c r="B39" s="27" t="n">
        <v>11</v>
      </c>
      <c r="C39" s="29" t="s">
        <v>852</v>
      </c>
      <c r="D39" s="8" t="s">
        <v>923</v>
      </c>
      <c r="E39" s="9" t="s">
        <v>924</v>
      </c>
      <c r="F39" s="9" t="s">
        <v>925</v>
      </c>
      <c r="G39" s="9" t="s">
        <v>926</v>
      </c>
      <c r="H39" s="8" t="s">
        <v>900</v>
      </c>
      <c r="I39" s="27"/>
      <c r="J39" s="27" t="n">
        <f aca="false">턴_설계!$B$5</f>
        <v>120</v>
      </c>
    </row>
    <row r="40" customFormat="false" ht="29.25" hidden="false" customHeight="true" outlineLevel="0" collapsed="false">
      <c r="A40" s="27" t="n">
        <v>3</v>
      </c>
      <c r="B40" s="27" t="n">
        <v>12</v>
      </c>
      <c r="C40" s="29" t="s">
        <v>863</v>
      </c>
      <c r="D40" s="8" t="s">
        <v>927</v>
      </c>
      <c r="E40" s="9" t="s">
        <v>928</v>
      </c>
      <c r="F40" s="8" t="s">
        <v>929</v>
      </c>
      <c r="G40" s="9" t="s">
        <v>930</v>
      </c>
      <c r="H40" s="8" t="s">
        <v>931</v>
      </c>
      <c r="I40" s="27"/>
      <c r="J40" s="27" t="n">
        <f aca="false">턴_설계!$B$5</f>
        <v>120</v>
      </c>
    </row>
    <row r="41" customFormat="false" ht="29.25" hidden="false" customHeight="true" outlineLevel="0" collapsed="false">
      <c r="A41" s="27" t="n">
        <v>4</v>
      </c>
      <c r="B41" s="27" t="n">
        <v>1</v>
      </c>
      <c r="C41" s="29" t="s">
        <v>802</v>
      </c>
      <c r="D41" s="8" t="s">
        <v>932</v>
      </c>
      <c r="E41" s="9" t="s">
        <v>933</v>
      </c>
      <c r="F41" s="8" t="s">
        <v>934</v>
      </c>
      <c r="G41" s="9" t="s">
        <v>935</v>
      </c>
      <c r="H41" s="8" t="s">
        <v>936</v>
      </c>
      <c r="I41" s="27"/>
      <c r="J41" s="27" t="n">
        <f aca="false">턴_설계!$B$5</f>
        <v>120</v>
      </c>
    </row>
    <row r="42" customFormat="false" ht="29.25" hidden="false" customHeight="true" outlineLevel="0" collapsed="false">
      <c r="A42" s="27" t="n">
        <v>4</v>
      </c>
      <c r="B42" s="27" t="n">
        <v>2</v>
      </c>
      <c r="C42" s="29" t="s">
        <v>802</v>
      </c>
      <c r="D42" s="8" t="s">
        <v>937</v>
      </c>
      <c r="E42" s="9" t="s">
        <v>938</v>
      </c>
      <c r="F42" s="8" t="s">
        <v>939</v>
      </c>
      <c r="G42" s="9" t="s">
        <v>940</v>
      </c>
      <c r="H42" s="8" t="s">
        <v>941</v>
      </c>
      <c r="I42" s="27"/>
      <c r="J42" s="27" t="n">
        <f aca="false">턴_설계!$B$5</f>
        <v>120</v>
      </c>
    </row>
    <row r="43" customFormat="false" ht="29.25" hidden="false" customHeight="true" outlineLevel="0" collapsed="false">
      <c r="A43" s="27" t="n">
        <v>4</v>
      </c>
      <c r="B43" s="27" t="n">
        <v>3</v>
      </c>
      <c r="C43" s="29" t="s">
        <v>802</v>
      </c>
      <c r="D43" s="8" t="s">
        <v>942</v>
      </c>
      <c r="E43" s="9" t="s">
        <v>943</v>
      </c>
      <c r="F43" s="8" t="s">
        <v>944</v>
      </c>
      <c r="G43" s="9" t="s">
        <v>945</v>
      </c>
      <c r="H43" s="8" t="s">
        <v>946</v>
      </c>
      <c r="I43" s="27"/>
      <c r="J43" s="27" t="n">
        <f aca="false">턴_설계!$B$5</f>
        <v>120</v>
      </c>
    </row>
    <row r="44" customFormat="false" ht="29.25" hidden="false" customHeight="true" outlineLevel="0" collapsed="false">
      <c r="A44" s="27" t="n">
        <v>4</v>
      </c>
      <c r="B44" s="27" t="n">
        <v>4</v>
      </c>
      <c r="C44" s="29" t="s">
        <v>818</v>
      </c>
      <c r="D44" s="8" t="s">
        <v>947</v>
      </c>
      <c r="E44" s="9" t="s">
        <v>948</v>
      </c>
      <c r="F44" s="9" t="s">
        <v>949</v>
      </c>
      <c r="G44" s="9" t="s">
        <v>950</v>
      </c>
      <c r="H44" s="8" t="s">
        <v>951</v>
      </c>
      <c r="I44" s="27"/>
      <c r="J44" s="27" t="n">
        <f aca="false">턴_설계!$B$5</f>
        <v>120</v>
      </c>
    </row>
    <row r="45" customFormat="false" ht="29.25" hidden="false" customHeight="true" outlineLevel="0" collapsed="false">
      <c r="A45" s="27" t="n">
        <v>4</v>
      </c>
      <c r="B45" s="27" t="n">
        <v>5</v>
      </c>
      <c r="C45" s="29" t="s">
        <v>818</v>
      </c>
      <c r="D45" s="8" t="s">
        <v>952</v>
      </c>
      <c r="E45" s="9" t="s">
        <v>953</v>
      </c>
      <c r="F45" s="8" t="s">
        <v>954</v>
      </c>
      <c r="G45" s="9" t="s">
        <v>955</v>
      </c>
      <c r="H45" s="8" t="s">
        <v>956</v>
      </c>
      <c r="I45" s="27"/>
      <c r="J45" s="27" t="n">
        <f aca="false">턴_설계!$B$5</f>
        <v>120</v>
      </c>
    </row>
    <row r="46" customFormat="false" ht="42" hidden="false" customHeight="true" outlineLevel="0" collapsed="false">
      <c r="A46" s="27" t="n">
        <v>4</v>
      </c>
      <c r="B46" s="27" t="n">
        <v>6</v>
      </c>
      <c r="C46" s="29" t="s">
        <v>829</v>
      </c>
      <c r="D46" s="8" t="s">
        <v>957</v>
      </c>
      <c r="E46" s="9" t="s">
        <v>958</v>
      </c>
      <c r="F46" s="8" t="s">
        <v>959</v>
      </c>
      <c r="G46" s="9" t="s">
        <v>960</v>
      </c>
      <c r="H46" s="8" t="s">
        <v>961</v>
      </c>
      <c r="I46" s="27"/>
      <c r="J46" s="27" t="n">
        <f aca="false">턴_설계!$B$5</f>
        <v>120</v>
      </c>
    </row>
    <row r="47" customFormat="false" ht="29.25" hidden="false" customHeight="true" outlineLevel="0" collapsed="false">
      <c r="A47" s="27" t="n">
        <v>4</v>
      </c>
      <c r="B47" s="27" t="n">
        <v>7</v>
      </c>
      <c r="C47" s="29" t="s">
        <v>835</v>
      </c>
      <c r="D47" s="8" t="s">
        <v>962</v>
      </c>
      <c r="E47" s="9" t="s">
        <v>963</v>
      </c>
      <c r="F47" s="8" t="s">
        <v>964</v>
      </c>
      <c r="G47" s="9" t="s">
        <v>965</v>
      </c>
      <c r="H47" s="8" t="s">
        <v>966</v>
      </c>
      <c r="I47" s="27" t="s">
        <v>907</v>
      </c>
      <c r="J47" s="27" t="n">
        <f aca="false">턴_설계!$B$5</f>
        <v>120</v>
      </c>
    </row>
    <row r="48" customFormat="false" ht="29.25" hidden="false" customHeight="true" outlineLevel="0" collapsed="false">
      <c r="A48" s="27" t="n">
        <v>4</v>
      </c>
      <c r="B48" s="27" t="n">
        <v>8</v>
      </c>
      <c r="C48" s="29" t="s">
        <v>835</v>
      </c>
      <c r="D48" s="8" t="s">
        <v>967</v>
      </c>
      <c r="E48" s="9" t="s">
        <v>968</v>
      </c>
      <c r="F48" s="8" t="s">
        <v>969</v>
      </c>
      <c r="G48" s="9" t="s">
        <v>970</v>
      </c>
      <c r="H48" s="8" t="s">
        <v>971</v>
      </c>
      <c r="I48" s="27"/>
      <c r="J48" s="27" t="n">
        <f aca="false">턴_설계!$B$5</f>
        <v>120</v>
      </c>
    </row>
    <row r="49" customFormat="false" ht="42" hidden="false" customHeight="true" outlineLevel="0" collapsed="false">
      <c r="A49" s="27" t="n">
        <v>4</v>
      </c>
      <c r="B49" s="27" t="n">
        <v>9</v>
      </c>
      <c r="C49" s="29" t="s">
        <v>835</v>
      </c>
      <c r="D49" s="8" t="s">
        <v>972</v>
      </c>
      <c r="E49" s="9" t="s">
        <v>973</v>
      </c>
      <c r="F49" s="8" t="s">
        <v>974</v>
      </c>
      <c r="G49" s="9" t="s">
        <v>975</v>
      </c>
      <c r="H49" s="8" t="s">
        <v>976</v>
      </c>
      <c r="I49" s="27"/>
      <c r="J49" s="27" t="n">
        <f aca="false">턴_설계!$B$5</f>
        <v>120</v>
      </c>
    </row>
    <row r="50" customFormat="false" ht="29.25" hidden="false" customHeight="true" outlineLevel="0" collapsed="false">
      <c r="A50" s="27" t="n">
        <v>4</v>
      </c>
      <c r="B50" s="27" t="n">
        <v>10</v>
      </c>
      <c r="C50" s="29" t="s">
        <v>852</v>
      </c>
      <c r="D50" s="8" t="s">
        <v>797</v>
      </c>
      <c r="E50" s="9" t="s">
        <v>798</v>
      </c>
      <c r="F50" s="8" t="s">
        <v>977</v>
      </c>
      <c r="G50" s="9" t="s">
        <v>978</v>
      </c>
      <c r="H50" s="8" t="s">
        <v>946</v>
      </c>
      <c r="I50" s="27"/>
      <c r="J50" s="27" t="n">
        <f aca="false">턴_설계!$B$5</f>
        <v>120</v>
      </c>
    </row>
    <row r="51" customFormat="false" ht="42" hidden="false" customHeight="true" outlineLevel="0" collapsed="false">
      <c r="A51" s="27" t="n">
        <v>4</v>
      </c>
      <c r="B51" s="27" t="n">
        <v>11</v>
      </c>
      <c r="C51" s="29" t="s">
        <v>852</v>
      </c>
      <c r="D51" s="8" t="s">
        <v>979</v>
      </c>
      <c r="E51" s="9" t="s">
        <v>980</v>
      </c>
      <c r="F51" s="9" t="s">
        <v>981</v>
      </c>
      <c r="G51" s="9" t="s">
        <v>982</v>
      </c>
      <c r="H51" s="8" t="s">
        <v>983</v>
      </c>
      <c r="I51" s="27"/>
      <c r="J51" s="27" t="n">
        <f aca="false">턴_설계!$B$5</f>
        <v>120</v>
      </c>
    </row>
    <row r="52" customFormat="false" ht="29.25" hidden="false" customHeight="true" outlineLevel="0" collapsed="false">
      <c r="A52" s="27" t="n">
        <v>4</v>
      </c>
      <c r="B52" s="27" t="n">
        <v>12</v>
      </c>
      <c r="C52" s="29" t="s">
        <v>863</v>
      </c>
      <c r="D52" s="8" t="s">
        <v>984</v>
      </c>
      <c r="E52" s="9" t="s">
        <v>985</v>
      </c>
      <c r="F52" s="8" t="s">
        <v>986</v>
      </c>
      <c r="G52" s="9" t="s">
        <v>987</v>
      </c>
      <c r="H52" s="8" t="s">
        <v>988</v>
      </c>
      <c r="I52" s="27"/>
      <c r="J52" s="27" t="n">
        <f aca="false">턴_설계!$B$5</f>
        <v>120</v>
      </c>
    </row>
    <row r="53" customFormat="false" ht="29.25" hidden="false" customHeight="true" outlineLevel="0" collapsed="false">
      <c r="A53" s="27" t="n">
        <v>5</v>
      </c>
      <c r="B53" s="27" t="n">
        <v>1</v>
      </c>
      <c r="C53" s="29" t="s">
        <v>802</v>
      </c>
      <c r="D53" s="8" t="s">
        <v>989</v>
      </c>
      <c r="E53" s="9" t="s">
        <v>990</v>
      </c>
      <c r="F53" s="8" t="s">
        <v>991</v>
      </c>
      <c r="G53" s="9" t="s">
        <v>992</v>
      </c>
      <c r="H53" s="8" t="s">
        <v>993</v>
      </c>
      <c r="I53" s="27"/>
      <c r="J53" s="27" t="n">
        <f aca="false">턴_설계!$B$5</f>
        <v>120</v>
      </c>
    </row>
    <row r="54" customFormat="false" ht="29.25" hidden="false" customHeight="true" outlineLevel="0" collapsed="false">
      <c r="A54" s="27" t="n">
        <v>5</v>
      </c>
      <c r="B54" s="27" t="n">
        <v>2</v>
      </c>
      <c r="C54" s="29" t="s">
        <v>802</v>
      </c>
      <c r="D54" s="8" t="s">
        <v>994</v>
      </c>
      <c r="E54" s="8" t="s">
        <v>995</v>
      </c>
      <c r="F54" s="8" t="s">
        <v>996</v>
      </c>
      <c r="G54" s="8" t="s">
        <v>997</v>
      </c>
      <c r="H54" s="8" t="s">
        <v>998</v>
      </c>
      <c r="I54" s="27"/>
      <c r="J54" s="27" t="n">
        <f aca="false">턴_설계!$B$5</f>
        <v>120</v>
      </c>
    </row>
    <row r="55" customFormat="false" ht="42" hidden="false" customHeight="true" outlineLevel="0" collapsed="false">
      <c r="A55" s="27" t="n">
        <v>5</v>
      </c>
      <c r="B55" s="27" t="n">
        <v>3</v>
      </c>
      <c r="C55" s="29" t="s">
        <v>802</v>
      </c>
      <c r="D55" s="8" t="s">
        <v>999</v>
      </c>
      <c r="E55" s="8" t="s">
        <v>1000</v>
      </c>
      <c r="F55" s="9" t="s">
        <v>1001</v>
      </c>
      <c r="G55" s="9" t="s">
        <v>1002</v>
      </c>
      <c r="H55" s="8" t="s">
        <v>1003</v>
      </c>
      <c r="I55" s="27" t="s">
        <v>1004</v>
      </c>
      <c r="J55" s="27" t="n">
        <f aca="false">턴_설계!$B$5</f>
        <v>120</v>
      </c>
    </row>
    <row r="56" customFormat="false" ht="29.25" hidden="false" customHeight="true" outlineLevel="0" collapsed="false">
      <c r="A56" s="27" t="n">
        <v>5</v>
      </c>
      <c r="B56" s="27" t="n">
        <v>4</v>
      </c>
      <c r="C56" s="29" t="s">
        <v>818</v>
      </c>
      <c r="D56" s="8" t="s">
        <v>1005</v>
      </c>
      <c r="E56" s="9" t="s">
        <v>1006</v>
      </c>
      <c r="F56" s="8" t="s">
        <v>1007</v>
      </c>
      <c r="G56" s="9" t="s">
        <v>1008</v>
      </c>
      <c r="H56" s="8" t="s">
        <v>1009</v>
      </c>
      <c r="I56" s="27"/>
      <c r="J56" s="27" t="n">
        <f aca="false">턴_설계!$B$5</f>
        <v>120</v>
      </c>
    </row>
    <row r="57" customFormat="false" ht="29.25" hidden="false" customHeight="true" outlineLevel="0" collapsed="false">
      <c r="A57" s="27" t="n">
        <v>5</v>
      </c>
      <c r="B57" s="27" t="n">
        <v>5</v>
      </c>
      <c r="C57" s="29" t="s">
        <v>818</v>
      </c>
      <c r="D57" s="8" t="s">
        <v>1010</v>
      </c>
      <c r="E57" s="9" t="s">
        <v>1011</v>
      </c>
      <c r="F57" s="8" t="s">
        <v>1012</v>
      </c>
      <c r="G57" s="9" t="s">
        <v>1013</v>
      </c>
      <c r="H57" s="8" t="s">
        <v>1014</v>
      </c>
      <c r="I57" s="27"/>
      <c r="J57" s="27" t="n">
        <f aca="false">턴_설계!$B$5</f>
        <v>120</v>
      </c>
    </row>
    <row r="58" customFormat="false" ht="29.25" hidden="false" customHeight="true" outlineLevel="0" collapsed="false">
      <c r="A58" s="27" t="n">
        <v>5</v>
      </c>
      <c r="B58" s="27" t="n">
        <v>6</v>
      </c>
      <c r="C58" s="29" t="s">
        <v>829</v>
      </c>
      <c r="D58" s="8" t="s">
        <v>1015</v>
      </c>
      <c r="E58" s="8" t="s">
        <v>1016</v>
      </c>
      <c r="F58" s="9" t="s">
        <v>1017</v>
      </c>
      <c r="G58" s="9" t="s">
        <v>1018</v>
      </c>
      <c r="H58" s="8" t="s">
        <v>1019</v>
      </c>
      <c r="I58" s="27" t="s">
        <v>746</v>
      </c>
      <c r="J58" s="27" t="n">
        <f aca="false">턴_설계!$B$5</f>
        <v>120</v>
      </c>
    </row>
    <row r="59" customFormat="false" ht="29.25" hidden="false" customHeight="true" outlineLevel="0" collapsed="false">
      <c r="A59" s="27" t="n">
        <v>5</v>
      </c>
      <c r="B59" s="27" t="n">
        <v>7</v>
      </c>
      <c r="C59" s="29" t="s">
        <v>835</v>
      </c>
      <c r="D59" s="8" t="s">
        <v>1020</v>
      </c>
      <c r="E59" s="9" t="s">
        <v>1021</v>
      </c>
      <c r="F59" s="9" t="s">
        <v>1022</v>
      </c>
      <c r="G59" s="9" t="s">
        <v>1023</v>
      </c>
      <c r="H59" s="8" t="s">
        <v>1024</v>
      </c>
      <c r="I59" s="27" t="s">
        <v>746</v>
      </c>
      <c r="J59" s="27" t="n">
        <f aca="false">턴_설계!$B$5</f>
        <v>120</v>
      </c>
    </row>
    <row r="60" customFormat="false" ht="29.25" hidden="false" customHeight="true" outlineLevel="0" collapsed="false">
      <c r="A60" s="27" t="n">
        <v>5</v>
      </c>
      <c r="B60" s="27" t="n">
        <v>8</v>
      </c>
      <c r="C60" s="29" t="s">
        <v>835</v>
      </c>
      <c r="D60" s="8" t="s">
        <v>1025</v>
      </c>
      <c r="E60" s="9" t="s">
        <v>1026</v>
      </c>
      <c r="F60" s="8" t="s">
        <v>1027</v>
      </c>
      <c r="G60" s="9" t="s">
        <v>1028</v>
      </c>
      <c r="H60" s="8" t="s">
        <v>1029</v>
      </c>
      <c r="I60" s="27" t="s">
        <v>746</v>
      </c>
      <c r="J60" s="27" t="n">
        <f aca="false">턴_설계!$B$5</f>
        <v>120</v>
      </c>
    </row>
    <row r="61" customFormat="false" ht="29.25" hidden="false" customHeight="true" outlineLevel="0" collapsed="false">
      <c r="A61" s="27" t="n">
        <v>5</v>
      </c>
      <c r="B61" s="27" t="n">
        <v>9</v>
      </c>
      <c r="C61" s="29" t="s">
        <v>835</v>
      </c>
      <c r="D61" s="8" t="s">
        <v>1030</v>
      </c>
      <c r="E61" s="9" t="s">
        <v>1031</v>
      </c>
      <c r="F61" s="8" t="s">
        <v>1032</v>
      </c>
      <c r="G61" s="9" t="s">
        <v>1033</v>
      </c>
      <c r="H61" s="8" t="s">
        <v>993</v>
      </c>
      <c r="I61" s="27"/>
      <c r="J61" s="27" t="n">
        <f aca="false">턴_설계!$B$5</f>
        <v>120</v>
      </c>
    </row>
    <row r="62" customFormat="false" ht="29.25" hidden="false" customHeight="true" outlineLevel="0" collapsed="false">
      <c r="A62" s="27" t="n">
        <v>5</v>
      </c>
      <c r="B62" s="27" t="n">
        <v>10</v>
      </c>
      <c r="C62" s="29" t="s">
        <v>852</v>
      </c>
      <c r="D62" s="8" t="s">
        <v>1034</v>
      </c>
      <c r="E62" s="9" t="s">
        <v>1035</v>
      </c>
      <c r="F62" s="9" t="s">
        <v>1036</v>
      </c>
      <c r="G62" s="9" t="s">
        <v>1037</v>
      </c>
      <c r="H62" s="8" t="s">
        <v>1038</v>
      </c>
      <c r="I62" s="27" t="s">
        <v>746</v>
      </c>
      <c r="J62" s="27" t="n">
        <f aca="false">턴_설계!$B$5</f>
        <v>120</v>
      </c>
    </row>
    <row r="63" customFormat="false" ht="16.5" hidden="false" customHeight="true" outlineLevel="0" collapsed="false">
      <c r="A63" s="27" t="n">
        <v>5</v>
      </c>
      <c r="B63" s="27" t="n">
        <v>11</v>
      </c>
      <c r="C63" s="29" t="s">
        <v>852</v>
      </c>
      <c r="D63" s="8" t="s">
        <v>1039</v>
      </c>
      <c r="E63" s="9" t="s">
        <v>1040</v>
      </c>
      <c r="F63" s="9" t="s">
        <v>1041</v>
      </c>
      <c r="G63" s="9" t="s">
        <v>1042</v>
      </c>
      <c r="H63" s="8" t="s">
        <v>998</v>
      </c>
      <c r="I63" s="27"/>
      <c r="J63" s="27" t="n">
        <f aca="false">턴_설계!$B$5</f>
        <v>120</v>
      </c>
    </row>
    <row r="64" customFormat="false" ht="29.25" hidden="false" customHeight="true" outlineLevel="0" collapsed="false">
      <c r="A64" s="27" t="n">
        <v>5</v>
      </c>
      <c r="B64" s="27" t="n">
        <v>12</v>
      </c>
      <c r="C64" s="29" t="s">
        <v>863</v>
      </c>
      <c r="D64" s="8" t="s">
        <v>1043</v>
      </c>
      <c r="E64" s="9" t="s">
        <v>1044</v>
      </c>
      <c r="F64" s="8" t="s">
        <v>1045</v>
      </c>
      <c r="G64" s="9" t="s">
        <v>1046</v>
      </c>
      <c r="H64" s="8" t="s">
        <v>1047</v>
      </c>
      <c r="I64" s="27"/>
      <c r="J64" s="27" t="n">
        <f aca="false">턴_설계!$B$5</f>
        <v>120</v>
      </c>
    </row>
    <row r="65" customFormat="false" ht="29.25" hidden="false" customHeight="true" outlineLevel="0" collapsed="false">
      <c r="A65" s="27" t="n">
        <v>6</v>
      </c>
      <c r="B65" s="27" t="n">
        <v>1</v>
      </c>
      <c r="C65" s="29" t="s">
        <v>802</v>
      </c>
      <c r="D65" s="8" t="s">
        <v>1048</v>
      </c>
      <c r="E65" s="9" t="s">
        <v>1049</v>
      </c>
      <c r="F65" s="9" t="s">
        <v>1050</v>
      </c>
      <c r="G65" s="9" t="s">
        <v>1051</v>
      </c>
      <c r="H65" s="8" t="s">
        <v>1052</v>
      </c>
      <c r="I65" s="27" t="s">
        <v>733</v>
      </c>
      <c r="J65" s="27" t="n">
        <f aca="false">턴_설계!$B$5</f>
        <v>120</v>
      </c>
    </row>
    <row r="66" customFormat="false" ht="29.25" hidden="false" customHeight="true" outlineLevel="0" collapsed="false">
      <c r="A66" s="27" t="n">
        <v>6</v>
      </c>
      <c r="B66" s="27" t="n">
        <v>2</v>
      </c>
      <c r="C66" s="29" t="s">
        <v>802</v>
      </c>
      <c r="D66" s="8" t="s">
        <v>1053</v>
      </c>
      <c r="E66" s="9" t="s">
        <v>1054</v>
      </c>
      <c r="F66" s="9" t="s">
        <v>1055</v>
      </c>
      <c r="G66" s="9" t="s">
        <v>1056</v>
      </c>
      <c r="H66" s="8" t="s">
        <v>1057</v>
      </c>
      <c r="I66" s="27"/>
      <c r="J66" s="27" t="n">
        <f aca="false">턴_설계!$B$5</f>
        <v>120</v>
      </c>
    </row>
    <row r="67" customFormat="false" ht="29.25" hidden="false" customHeight="true" outlineLevel="0" collapsed="false">
      <c r="A67" s="27" t="n">
        <v>6</v>
      </c>
      <c r="B67" s="27" t="n">
        <v>3</v>
      </c>
      <c r="C67" s="29" t="s">
        <v>802</v>
      </c>
      <c r="D67" s="8" t="s">
        <v>1058</v>
      </c>
      <c r="E67" s="8" t="s">
        <v>1059</v>
      </c>
      <c r="F67" s="9" t="s">
        <v>1060</v>
      </c>
      <c r="G67" s="9" t="s">
        <v>1061</v>
      </c>
      <c r="H67" s="8" t="s">
        <v>1062</v>
      </c>
      <c r="I67" s="27" t="s">
        <v>733</v>
      </c>
      <c r="J67" s="27" t="n">
        <f aca="false">턴_설계!$B$5</f>
        <v>120</v>
      </c>
    </row>
    <row r="68" customFormat="false" ht="29.25" hidden="false" customHeight="true" outlineLevel="0" collapsed="false">
      <c r="A68" s="27" t="n">
        <v>6</v>
      </c>
      <c r="B68" s="27" t="n">
        <v>4</v>
      </c>
      <c r="C68" s="29" t="s">
        <v>818</v>
      </c>
      <c r="D68" s="8" t="s">
        <v>1063</v>
      </c>
      <c r="E68" s="9" t="s">
        <v>1064</v>
      </c>
      <c r="F68" s="9" t="s">
        <v>1065</v>
      </c>
      <c r="G68" s="9" t="s">
        <v>1066</v>
      </c>
      <c r="H68" s="8" t="s">
        <v>1067</v>
      </c>
      <c r="I68" s="27"/>
      <c r="J68" s="27" t="n">
        <f aca="false">턴_설계!$B$5</f>
        <v>120</v>
      </c>
    </row>
    <row r="69" customFormat="false" ht="29.25" hidden="false" customHeight="true" outlineLevel="0" collapsed="false">
      <c r="A69" s="27" t="n">
        <v>6</v>
      </c>
      <c r="B69" s="27" t="n">
        <v>5</v>
      </c>
      <c r="C69" s="29" t="s">
        <v>818</v>
      </c>
      <c r="D69" s="8" t="s">
        <v>1068</v>
      </c>
      <c r="E69" s="8" t="s">
        <v>1069</v>
      </c>
      <c r="F69" s="8" t="s">
        <v>1070</v>
      </c>
      <c r="G69" s="9" t="s">
        <v>1071</v>
      </c>
      <c r="H69" s="8" t="s">
        <v>1072</v>
      </c>
      <c r="I69" s="27"/>
      <c r="J69" s="27" t="n">
        <f aca="false">턴_설계!$B$5</f>
        <v>120</v>
      </c>
    </row>
    <row r="70" customFormat="false" ht="42" hidden="false" customHeight="true" outlineLevel="0" collapsed="false">
      <c r="A70" s="27" t="n">
        <v>6</v>
      </c>
      <c r="B70" s="27" t="n">
        <v>6</v>
      </c>
      <c r="C70" s="29" t="s">
        <v>829</v>
      </c>
      <c r="D70" s="8" t="s">
        <v>1073</v>
      </c>
      <c r="E70" s="9" t="s">
        <v>1074</v>
      </c>
      <c r="F70" s="8" t="s">
        <v>1075</v>
      </c>
      <c r="G70" s="9" t="s">
        <v>1076</v>
      </c>
      <c r="H70" s="8" t="s">
        <v>1077</v>
      </c>
      <c r="I70" s="27" t="s">
        <v>733</v>
      </c>
      <c r="J70" s="27" t="n">
        <f aca="false">턴_설계!$B$5</f>
        <v>120</v>
      </c>
    </row>
    <row r="71" customFormat="false" ht="29.25" hidden="false" customHeight="true" outlineLevel="0" collapsed="false">
      <c r="A71" s="27" t="n">
        <v>6</v>
      </c>
      <c r="B71" s="27" t="n">
        <v>7</v>
      </c>
      <c r="C71" s="29" t="s">
        <v>835</v>
      </c>
      <c r="D71" s="8" t="s">
        <v>1078</v>
      </c>
      <c r="E71" s="9" t="s">
        <v>1079</v>
      </c>
      <c r="F71" s="9" t="s">
        <v>1080</v>
      </c>
      <c r="G71" s="9" t="s">
        <v>1081</v>
      </c>
      <c r="H71" s="8" t="s">
        <v>1057</v>
      </c>
      <c r="I71" s="27"/>
      <c r="J71" s="27" t="n">
        <f aca="false">턴_설계!$B$5</f>
        <v>120</v>
      </c>
    </row>
    <row r="72" customFormat="false" ht="42" hidden="false" customHeight="true" outlineLevel="0" collapsed="false">
      <c r="A72" s="27" t="n">
        <v>6</v>
      </c>
      <c r="B72" s="27" t="n">
        <v>8</v>
      </c>
      <c r="C72" s="29" t="s">
        <v>835</v>
      </c>
      <c r="D72" s="8" t="s">
        <v>1082</v>
      </c>
      <c r="E72" s="9" t="s">
        <v>1083</v>
      </c>
      <c r="F72" s="9" t="s">
        <v>1084</v>
      </c>
      <c r="G72" s="9" t="s">
        <v>1085</v>
      </c>
      <c r="H72" s="8" t="s">
        <v>1086</v>
      </c>
      <c r="I72" s="27" t="s">
        <v>1087</v>
      </c>
      <c r="J72" s="27" t="n">
        <f aca="false">턴_설계!$B$5</f>
        <v>120</v>
      </c>
    </row>
    <row r="73" customFormat="false" ht="42" hidden="false" customHeight="true" outlineLevel="0" collapsed="false">
      <c r="A73" s="27" t="n">
        <v>6</v>
      </c>
      <c r="B73" s="27" t="n">
        <v>9</v>
      </c>
      <c r="C73" s="29" t="s">
        <v>835</v>
      </c>
      <c r="D73" s="8" t="s">
        <v>1088</v>
      </c>
      <c r="E73" s="9" t="s">
        <v>1089</v>
      </c>
      <c r="F73" s="9" t="s">
        <v>1090</v>
      </c>
      <c r="G73" s="9" t="s">
        <v>1091</v>
      </c>
      <c r="H73" s="8" t="s">
        <v>1092</v>
      </c>
      <c r="I73" s="27" t="s">
        <v>1093</v>
      </c>
      <c r="J73" s="27" t="n">
        <f aca="false">턴_설계!$B$5</f>
        <v>120</v>
      </c>
    </row>
    <row r="74" customFormat="false" ht="29.25" hidden="false" customHeight="true" outlineLevel="0" collapsed="false">
      <c r="A74" s="27" t="n">
        <v>6</v>
      </c>
      <c r="B74" s="27" t="n">
        <v>10</v>
      </c>
      <c r="C74" s="29" t="s">
        <v>852</v>
      </c>
      <c r="D74" s="8" t="s">
        <v>1094</v>
      </c>
      <c r="E74" s="9" t="s">
        <v>1095</v>
      </c>
      <c r="F74" s="9" t="s">
        <v>1096</v>
      </c>
      <c r="G74" s="9" t="s">
        <v>1097</v>
      </c>
      <c r="H74" s="8" t="s">
        <v>1098</v>
      </c>
      <c r="I74" s="27" t="s">
        <v>733</v>
      </c>
      <c r="J74" s="27" t="n">
        <f aca="false">턴_설계!$B$5</f>
        <v>120</v>
      </c>
    </row>
    <row r="75" customFormat="false" ht="42" hidden="false" customHeight="true" outlineLevel="0" collapsed="false">
      <c r="A75" s="27" t="n">
        <v>6</v>
      </c>
      <c r="B75" s="27" t="n">
        <v>11</v>
      </c>
      <c r="C75" s="29" t="s">
        <v>852</v>
      </c>
      <c r="D75" s="8" t="s">
        <v>1099</v>
      </c>
      <c r="E75" s="9" t="s">
        <v>1100</v>
      </c>
      <c r="F75" s="9" t="s">
        <v>1101</v>
      </c>
      <c r="G75" s="9" t="s">
        <v>1102</v>
      </c>
      <c r="H75" s="9" t="s">
        <v>1103</v>
      </c>
      <c r="I75" s="27" t="s">
        <v>746</v>
      </c>
      <c r="J75" s="27" t="n">
        <f aca="false">턴_설계!$B$5</f>
        <v>120</v>
      </c>
    </row>
    <row r="76" customFormat="false" ht="29.25" hidden="false" customHeight="true" outlineLevel="0" collapsed="false">
      <c r="A76" s="27" t="n">
        <v>6</v>
      </c>
      <c r="B76" s="27" t="n">
        <v>12</v>
      </c>
      <c r="C76" s="29" t="s">
        <v>863</v>
      </c>
      <c r="D76" s="8" t="s">
        <v>1104</v>
      </c>
      <c r="E76" s="9" t="s">
        <v>1105</v>
      </c>
      <c r="F76" s="9" t="s">
        <v>1106</v>
      </c>
      <c r="G76" s="9" t="s">
        <v>1107</v>
      </c>
      <c r="H76" s="9" t="s">
        <v>1103</v>
      </c>
      <c r="I76" s="27"/>
      <c r="J76" s="27" t="n">
        <f aca="false">턴_설계!$B$5</f>
        <v>120</v>
      </c>
    </row>
    <row r="77" customFormat="false" ht="42" hidden="false" customHeight="true" outlineLevel="0" collapsed="false">
      <c r="A77" s="27" t="n">
        <v>7</v>
      </c>
      <c r="B77" s="27" t="n">
        <v>1</v>
      </c>
      <c r="C77" s="29" t="s">
        <v>802</v>
      </c>
      <c r="D77" s="8" t="s">
        <v>1108</v>
      </c>
      <c r="E77" s="8" t="s">
        <v>1109</v>
      </c>
      <c r="F77" s="9" t="s">
        <v>1110</v>
      </c>
      <c r="G77" s="9" t="s">
        <v>1111</v>
      </c>
      <c r="H77" s="9" t="s">
        <v>1103</v>
      </c>
      <c r="I77" s="27"/>
      <c r="J77" s="27" t="n">
        <f aca="false">턴_설계!$B$5</f>
        <v>120</v>
      </c>
    </row>
    <row r="78" customFormat="false" ht="29.25" hidden="false" customHeight="true" outlineLevel="0" collapsed="false">
      <c r="A78" s="27" t="n">
        <v>7</v>
      </c>
      <c r="B78" s="27" t="n">
        <v>2</v>
      </c>
      <c r="C78" s="29" t="s">
        <v>802</v>
      </c>
      <c r="D78" s="8" t="s">
        <v>1112</v>
      </c>
      <c r="E78" s="9" t="s">
        <v>1113</v>
      </c>
      <c r="F78" s="9" t="s">
        <v>1114</v>
      </c>
      <c r="G78" s="9" t="s">
        <v>1115</v>
      </c>
      <c r="H78" s="8" t="s">
        <v>1116</v>
      </c>
      <c r="I78" s="27" t="s">
        <v>1117</v>
      </c>
      <c r="J78" s="27" t="n">
        <f aca="false">턴_설계!$B$5</f>
        <v>120</v>
      </c>
    </row>
    <row r="79" customFormat="false" ht="42" hidden="false" customHeight="true" outlineLevel="0" collapsed="false">
      <c r="A79" s="27" t="n">
        <v>7</v>
      </c>
      <c r="B79" s="27" t="n">
        <v>3</v>
      </c>
      <c r="C79" s="29" t="s">
        <v>802</v>
      </c>
      <c r="D79" s="8" t="s">
        <v>1118</v>
      </c>
      <c r="E79" s="9" t="s">
        <v>1119</v>
      </c>
      <c r="F79" s="9" t="s">
        <v>1120</v>
      </c>
      <c r="G79" s="9" t="s">
        <v>1121</v>
      </c>
      <c r="H79" s="8" t="s">
        <v>1122</v>
      </c>
      <c r="I79" s="27" t="s">
        <v>1123</v>
      </c>
      <c r="J79" s="27" t="n">
        <f aca="false">턴_설계!$B$5</f>
        <v>120</v>
      </c>
    </row>
    <row r="80" customFormat="false" ht="42" hidden="false" customHeight="true" outlineLevel="0" collapsed="false">
      <c r="A80" s="27" t="n">
        <v>7</v>
      </c>
      <c r="B80" s="27" t="n">
        <v>4</v>
      </c>
      <c r="C80" s="29" t="s">
        <v>818</v>
      </c>
      <c r="D80" s="8" t="s">
        <v>1124</v>
      </c>
      <c r="E80" s="9" t="s">
        <v>1125</v>
      </c>
      <c r="F80" s="8" t="s">
        <v>1126</v>
      </c>
      <c r="G80" s="9" t="s">
        <v>1127</v>
      </c>
      <c r="H80" s="8" t="s">
        <v>1128</v>
      </c>
      <c r="I80" s="27" t="s">
        <v>770</v>
      </c>
      <c r="J80" s="27" t="n">
        <f aca="false">턴_설계!$B$5</f>
        <v>120</v>
      </c>
    </row>
    <row r="81" customFormat="false" ht="29.25" hidden="false" customHeight="true" outlineLevel="0" collapsed="false">
      <c r="A81" s="27" t="n">
        <v>7</v>
      </c>
      <c r="B81" s="27" t="n">
        <v>5</v>
      </c>
      <c r="C81" s="29" t="s">
        <v>818</v>
      </c>
      <c r="D81" s="8" t="s">
        <v>1129</v>
      </c>
      <c r="E81" s="8" t="s">
        <v>1130</v>
      </c>
      <c r="F81" s="9" t="s">
        <v>1131</v>
      </c>
      <c r="G81" s="9" t="s">
        <v>1132</v>
      </c>
      <c r="H81" s="8" t="s">
        <v>1133</v>
      </c>
      <c r="I81" s="27" t="s">
        <v>907</v>
      </c>
      <c r="J81" s="27" t="n">
        <f aca="false">턴_설계!$B$5</f>
        <v>120</v>
      </c>
    </row>
    <row r="82" customFormat="false" ht="29.25" hidden="false" customHeight="true" outlineLevel="0" collapsed="false">
      <c r="A82" s="27" t="n">
        <v>7</v>
      </c>
      <c r="B82" s="27" t="n">
        <v>6</v>
      </c>
      <c r="C82" s="29" t="s">
        <v>829</v>
      </c>
      <c r="D82" s="8" t="s">
        <v>1134</v>
      </c>
      <c r="E82" s="9" t="s">
        <v>1135</v>
      </c>
      <c r="F82" s="8" t="s">
        <v>1136</v>
      </c>
      <c r="G82" s="8" t="s">
        <v>1137</v>
      </c>
      <c r="H82" s="8" t="s">
        <v>1138</v>
      </c>
      <c r="I82" s="27" t="s">
        <v>907</v>
      </c>
      <c r="J82" s="27" t="n">
        <f aca="false">턴_설계!$B$5</f>
        <v>120</v>
      </c>
    </row>
    <row r="83" customFormat="false" ht="29.25" hidden="false" customHeight="true" outlineLevel="0" collapsed="false">
      <c r="A83" s="27" t="n">
        <v>7</v>
      </c>
      <c r="B83" s="27" t="n">
        <v>7</v>
      </c>
      <c r="C83" s="29" t="s">
        <v>835</v>
      </c>
      <c r="D83" s="8" t="s">
        <v>1139</v>
      </c>
      <c r="E83" s="9" t="s">
        <v>1140</v>
      </c>
      <c r="F83" s="9" t="s">
        <v>1141</v>
      </c>
      <c r="G83" s="9" t="s">
        <v>1142</v>
      </c>
      <c r="H83" s="8" t="s">
        <v>1143</v>
      </c>
      <c r="I83" s="27" t="s">
        <v>907</v>
      </c>
      <c r="J83" s="27" t="n">
        <f aca="false">턴_설계!$B$5</f>
        <v>120</v>
      </c>
    </row>
    <row r="84" customFormat="false" ht="29.25" hidden="false" customHeight="true" outlineLevel="0" collapsed="false">
      <c r="A84" s="27" t="n">
        <v>7</v>
      </c>
      <c r="B84" s="27" t="n">
        <v>8</v>
      </c>
      <c r="C84" s="29" t="s">
        <v>835</v>
      </c>
      <c r="D84" s="8" t="s">
        <v>1144</v>
      </c>
      <c r="E84" s="9" t="s">
        <v>1145</v>
      </c>
      <c r="F84" s="8" t="s">
        <v>1146</v>
      </c>
      <c r="G84" s="9" t="s">
        <v>1147</v>
      </c>
      <c r="H84" s="8" t="s">
        <v>1148</v>
      </c>
      <c r="I84" s="27" t="s">
        <v>907</v>
      </c>
      <c r="J84" s="27" t="n">
        <f aca="false">턴_설계!$B$5</f>
        <v>120</v>
      </c>
    </row>
    <row r="85" customFormat="false" ht="29.25" hidden="false" customHeight="true" outlineLevel="0" collapsed="false">
      <c r="A85" s="27" t="n">
        <v>7</v>
      </c>
      <c r="B85" s="27" t="n">
        <v>9</v>
      </c>
      <c r="C85" s="29" t="s">
        <v>835</v>
      </c>
      <c r="D85" s="8" t="s">
        <v>1149</v>
      </c>
      <c r="E85" s="9" t="s">
        <v>1150</v>
      </c>
      <c r="F85" s="9" t="s">
        <v>1151</v>
      </c>
      <c r="G85" s="9" t="s">
        <v>1152</v>
      </c>
      <c r="H85" s="8" t="s">
        <v>1153</v>
      </c>
      <c r="I85" s="27"/>
      <c r="J85" s="27" t="n">
        <f aca="false">턴_설계!$B$5</f>
        <v>120</v>
      </c>
    </row>
    <row r="86" customFormat="false" ht="29.25" hidden="false" customHeight="true" outlineLevel="0" collapsed="false">
      <c r="A86" s="27" t="n">
        <v>7</v>
      </c>
      <c r="B86" s="27" t="n">
        <v>10</v>
      </c>
      <c r="C86" s="29" t="s">
        <v>852</v>
      </c>
      <c r="D86" s="8" t="s">
        <v>1154</v>
      </c>
      <c r="E86" s="9" t="s">
        <v>1155</v>
      </c>
      <c r="F86" s="9" t="s">
        <v>1156</v>
      </c>
      <c r="G86" s="9" t="s">
        <v>1157</v>
      </c>
      <c r="H86" s="8" t="s">
        <v>1158</v>
      </c>
      <c r="I86" s="27" t="s">
        <v>907</v>
      </c>
      <c r="J86" s="27" t="n">
        <f aca="false">턴_설계!$B$5</f>
        <v>120</v>
      </c>
    </row>
    <row r="87" customFormat="false" ht="29.25" hidden="false" customHeight="true" outlineLevel="0" collapsed="false">
      <c r="A87" s="27" t="n">
        <v>7</v>
      </c>
      <c r="B87" s="27" t="n">
        <v>11</v>
      </c>
      <c r="C87" s="29" t="s">
        <v>852</v>
      </c>
      <c r="D87" s="8" t="s">
        <v>1159</v>
      </c>
      <c r="E87" s="9" t="s">
        <v>1160</v>
      </c>
      <c r="F87" s="8" t="s">
        <v>1161</v>
      </c>
      <c r="G87" s="9" t="s">
        <v>1162</v>
      </c>
      <c r="H87" s="8" t="s">
        <v>1163</v>
      </c>
      <c r="I87" s="27" t="s">
        <v>1164</v>
      </c>
      <c r="J87" s="27" t="n">
        <f aca="false">턴_설계!$B$5</f>
        <v>120</v>
      </c>
    </row>
    <row r="88" customFormat="false" ht="29.25" hidden="false" customHeight="true" outlineLevel="0" collapsed="false">
      <c r="A88" s="27" t="n">
        <v>7</v>
      </c>
      <c r="B88" s="27" t="n">
        <v>12</v>
      </c>
      <c r="C88" s="29" t="s">
        <v>863</v>
      </c>
      <c r="D88" s="8" t="s">
        <v>1165</v>
      </c>
      <c r="E88" s="9" t="s">
        <v>1166</v>
      </c>
      <c r="F88" s="8" t="s">
        <v>1167</v>
      </c>
      <c r="G88" s="9" t="s">
        <v>1168</v>
      </c>
      <c r="H88" s="9" t="s">
        <v>1103</v>
      </c>
      <c r="I88" s="27" t="s">
        <v>1169</v>
      </c>
      <c r="J88" s="27" t="n">
        <f aca="false">턴_설계!$B$5</f>
        <v>120</v>
      </c>
    </row>
    <row r="89" customFormat="false" ht="29.25" hidden="false" customHeight="true" outlineLevel="0" collapsed="false">
      <c r="A89" s="27" t="n">
        <v>8</v>
      </c>
      <c r="B89" s="27" t="n">
        <v>1</v>
      </c>
      <c r="C89" s="29" t="s">
        <v>802</v>
      </c>
      <c r="D89" s="8" t="s">
        <v>1170</v>
      </c>
      <c r="E89" s="9" t="s">
        <v>1171</v>
      </c>
      <c r="F89" s="9" t="s">
        <v>1172</v>
      </c>
      <c r="G89" s="9" t="s">
        <v>1173</v>
      </c>
      <c r="H89" s="8" t="s">
        <v>1174</v>
      </c>
      <c r="I89" s="27" t="s">
        <v>1087</v>
      </c>
      <c r="J89" s="27" t="n">
        <f aca="false">턴_설계!$B$5</f>
        <v>120</v>
      </c>
    </row>
    <row r="90" customFormat="false" ht="29.25" hidden="false" customHeight="true" outlineLevel="0" collapsed="false">
      <c r="A90" s="27" t="n">
        <v>8</v>
      </c>
      <c r="B90" s="27" t="n">
        <v>2</v>
      </c>
      <c r="C90" s="29" t="s">
        <v>802</v>
      </c>
      <c r="D90" s="8" t="s">
        <v>1175</v>
      </c>
      <c r="E90" s="9" t="s">
        <v>1176</v>
      </c>
      <c r="F90" s="8" t="s">
        <v>1177</v>
      </c>
      <c r="G90" s="9" t="s">
        <v>1178</v>
      </c>
      <c r="H90" s="8" t="s">
        <v>1179</v>
      </c>
      <c r="I90" s="27"/>
      <c r="J90" s="27" t="n">
        <f aca="false">턴_설계!$B$5</f>
        <v>120</v>
      </c>
    </row>
    <row r="91" customFormat="false" ht="16.5" hidden="false" customHeight="true" outlineLevel="0" collapsed="false">
      <c r="A91" s="27" t="n">
        <v>8</v>
      </c>
      <c r="B91" s="27" t="n">
        <v>3</v>
      </c>
      <c r="C91" s="29" t="s">
        <v>802</v>
      </c>
      <c r="D91" s="8" t="s">
        <v>1180</v>
      </c>
      <c r="E91" s="8" t="s">
        <v>1181</v>
      </c>
      <c r="F91" s="9" t="s">
        <v>1182</v>
      </c>
      <c r="G91" s="9" t="s">
        <v>1183</v>
      </c>
      <c r="H91" s="8" t="s">
        <v>1184</v>
      </c>
      <c r="I91" s="27" t="s">
        <v>1185</v>
      </c>
      <c r="J91" s="27" t="n">
        <f aca="false">턴_설계!$B$5</f>
        <v>120</v>
      </c>
    </row>
    <row r="92" customFormat="false" ht="29.25" hidden="false" customHeight="true" outlineLevel="0" collapsed="false">
      <c r="A92" s="27" t="n">
        <v>8</v>
      </c>
      <c r="B92" s="27" t="n">
        <v>4</v>
      </c>
      <c r="C92" s="29" t="s">
        <v>1186</v>
      </c>
      <c r="D92" s="8" t="s">
        <v>1187</v>
      </c>
      <c r="E92" s="9" t="s">
        <v>1188</v>
      </c>
      <c r="F92" s="9" t="s">
        <v>1189</v>
      </c>
      <c r="G92" s="9" t="s">
        <v>1190</v>
      </c>
      <c r="H92" s="8" t="s">
        <v>1191</v>
      </c>
      <c r="I92" s="27"/>
      <c r="J92" s="27" t="n">
        <f aca="false">턴_설계!$B$5</f>
        <v>120</v>
      </c>
    </row>
    <row r="93" customFormat="false" ht="29.25" hidden="false" customHeight="true" outlineLevel="0" collapsed="false">
      <c r="A93" s="27" t="n">
        <v>8</v>
      </c>
      <c r="B93" s="27" t="n">
        <v>5</v>
      </c>
      <c r="C93" s="29" t="s">
        <v>829</v>
      </c>
      <c r="D93" s="8" t="s">
        <v>1192</v>
      </c>
      <c r="E93" s="9" t="s">
        <v>1193</v>
      </c>
      <c r="F93" s="9" t="s">
        <v>1194</v>
      </c>
      <c r="G93" s="9" t="s">
        <v>1195</v>
      </c>
      <c r="H93" s="8" t="s">
        <v>1196</v>
      </c>
      <c r="I93" s="27"/>
      <c r="J93" s="27" t="n">
        <f aca="false">턴_설계!$B$5</f>
        <v>120</v>
      </c>
    </row>
    <row r="94" customFormat="false" ht="29.25" hidden="false" customHeight="true" outlineLevel="0" collapsed="false">
      <c r="A94" s="27" t="n">
        <v>8</v>
      </c>
      <c r="B94" s="27" t="n">
        <v>6</v>
      </c>
      <c r="C94" s="29" t="s">
        <v>835</v>
      </c>
      <c r="D94" s="8" t="s">
        <v>1197</v>
      </c>
      <c r="E94" s="9" t="s">
        <v>1198</v>
      </c>
      <c r="F94" s="9" t="s">
        <v>1199</v>
      </c>
      <c r="G94" s="9" t="s">
        <v>1200</v>
      </c>
      <c r="H94" s="8" t="s">
        <v>1038</v>
      </c>
      <c r="I94" s="27" t="s">
        <v>1169</v>
      </c>
      <c r="J94" s="27" t="n">
        <f aca="false">턴_설계!$B$5</f>
        <v>120</v>
      </c>
    </row>
    <row r="95" customFormat="false" ht="29.25" hidden="false" customHeight="true" outlineLevel="0" collapsed="false">
      <c r="A95" s="27" t="n">
        <v>8</v>
      </c>
      <c r="B95" s="27" t="n">
        <v>7</v>
      </c>
      <c r="C95" s="29" t="s">
        <v>835</v>
      </c>
      <c r="D95" s="8" t="s">
        <v>1201</v>
      </c>
      <c r="E95" s="9" t="s">
        <v>1202</v>
      </c>
      <c r="F95" s="9" t="s">
        <v>1203</v>
      </c>
      <c r="G95" s="9" t="s">
        <v>1204</v>
      </c>
      <c r="H95" s="8" t="s">
        <v>951</v>
      </c>
      <c r="I95" s="27"/>
      <c r="J95" s="27" t="n">
        <f aca="false">턴_설계!$B$5</f>
        <v>120</v>
      </c>
    </row>
    <row r="96" customFormat="false" ht="29.25" hidden="false" customHeight="true" outlineLevel="0" collapsed="false">
      <c r="A96" s="27" t="n">
        <v>8</v>
      </c>
      <c r="B96" s="27" t="n">
        <v>8</v>
      </c>
      <c r="C96" s="29" t="s">
        <v>835</v>
      </c>
      <c r="D96" s="8" t="s">
        <v>1205</v>
      </c>
      <c r="E96" s="9" t="s">
        <v>1206</v>
      </c>
      <c r="F96" s="8" t="s">
        <v>1207</v>
      </c>
      <c r="G96" s="9" t="s">
        <v>1208</v>
      </c>
      <c r="H96" s="8" t="s">
        <v>1209</v>
      </c>
      <c r="I96" s="27" t="s">
        <v>1210</v>
      </c>
      <c r="J96" s="27" t="n">
        <f aca="false">턴_설계!$B$5</f>
        <v>120</v>
      </c>
    </row>
    <row r="97" customFormat="false" ht="29.25" hidden="false" customHeight="true" outlineLevel="0" collapsed="false">
      <c r="A97" s="27" t="n">
        <v>8</v>
      </c>
      <c r="B97" s="27" t="n">
        <v>9</v>
      </c>
      <c r="C97" s="29" t="s">
        <v>835</v>
      </c>
      <c r="D97" s="8" t="s">
        <v>1211</v>
      </c>
      <c r="E97" s="9" t="s">
        <v>1212</v>
      </c>
      <c r="F97" s="8" t="s">
        <v>1213</v>
      </c>
      <c r="G97" s="9" t="s">
        <v>1214</v>
      </c>
      <c r="H97" s="8" t="s">
        <v>1215</v>
      </c>
      <c r="I97" s="27" t="s">
        <v>1216</v>
      </c>
      <c r="J97" s="27" t="n">
        <f aca="false">턴_설계!$B$5</f>
        <v>120</v>
      </c>
    </row>
    <row r="98" customFormat="false" ht="16.5" hidden="false" customHeight="true" outlineLevel="0" collapsed="false">
      <c r="A98" s="27" t="n">
        <v>8</v>
      </c>
      <c r="B98" s="27" t="n">
        <v>10</v>
      </c>
      <c r="C98" s="29" t="s">
        <v>852</v>
      </c>
      <c r="D98" s="8" t="s">
        <v>1217</v>
      </c>
      <c r="E98" s="9" t="s">
        <v>1218</v>
      </c>
      <c r="F98" s="9" t="s">
        <v>1219</v>
      </c>
      <c r="G98" s="9" t="s">
        <v>1220</v>
      </c>
      <c r="H98" s="8" t="s">
        <v>1221</v>
      </c>
      <c r="I98" s="27"/>
      <c r="J98" s="27" t="n">
        <f aca="false">턴_설계!$B$5</f>
        <v>120</v>
      </c>
    </row>
    <row r="99" customFormat="false" ht="29.25" hidden="false" customHeight="true" outlineLevel="0" collapsed="false">
      <c r="A99" s="27" t="n">
        <v>8</v>
      </c>
      <c r="B99" s="27" t="n">
        <v>11</v>
      </c>
      <c r="C99" s="29" t="s">
        <v>852</v>
      </c>
      <c r="D99" s="8" t="s">
        <v>1222</v>
      </c>
      <c r="E99" s="9" t="s">
        <v>1223</v>
      </c>
      <c r="F99" s="9" t="s">
        <v>1224</v>
      </c>
      <c r="G99" s="9" t="s">
        <v>1225</v>
      </c>
      <c r="H99" s="8" t="s">
        <v>1226</v>
      </c>
      <c r="I99" s="27"/>
      <c r="J99" s="27" t="n">
        <f aca="false">턴_설계!$B$5</f>
        <v>120</v>
      </c>
    </row>
    <row r="100" customFormat="false" ht="29.25" hidden="false" customHeight="true" outlineLevel="0" collapsed="false">
      <c r="A100" s="27" t="n">
        <v>8</v>
      </c>
      <c r="B100" s="27" t="n">
        <v>12</v>
      </c>
      <c r="C100" s="29" t="s">
        <v>863</v>
      </c>
      <c r="D100" s="8" t="s">
        <v>1227</v>
      </c>
      <c r="E100" s="9" t="s">
        <v>1228</v>
      </c>
      <c r="F100" s="9" t="s">
        <v>1229</v>
      </c>
      <c r="G100" s="9" t="s">
        <v>1230</v>
      </c>
      <c r="H100" s="9" t="s">
        <v>1103</v>
      </c>
      <c r="I100" s="27"/>
      <c r="J100" s="27" t="n">
        <f aca="false">턴_설계!$B$5</f>
        <v>120</v>
      </c>
    </row>
    <row r="101" customFormat="false" ht="29.25" hidden="false" customHeight="true" outlineLevel="0" collapsed="false">
      <c r="A101" s="27" t="n">
        <v>9</v>
      </c>
      <c r="B101" s="27" t="n">
        <v>1</v>
      </c>
      <c r="C101" s="29" t="s">
        <v>802</v>
      </c>
      <c r="D101" s="8" t="s">
        <v>1231</v>
      </c>
      <c r="E101" s="9" t="s">
        <v>1232</v>
      </c>
      <c r="F101" s="8" t="s">
        <v>1233</v>
      </c>
      <c r="G101" s="9" t="s">
        <v>1234</v>
      </c>
      <c r="H101" s="8" t="s">
        <v>1235</v>
      </c>
      <c r="I101" s="27"/>
      <c r="J101" s="27" t="n">
        <f aca="false">턴_설계!$B$5</f>
        <v>120</v>
      </c>
    </row>
    <row r="102" customFormat="false" ht="29.25" hidden="false" customHeight="true" outlineLevel="0" collapsed="false">
      <c r="A102" s="27" t="n">
        <v>9</v>
      </c>
      <c r="B102" s="27" t="n">
        <v>2</v>
      </c>
      <c r="C102" s="29" t="s">
        <v>802</v>
      </c>
      <c r="D102" s="8" t="s">
        <v>1236</v>
      </c>
      <c r="E102" s="9" t="s">
        <v>1237</v>
      </c>
      <c r="F102" s="9" t="s">
        <v>1238</v>
      </c>
      <c r="G102" s="9" t="s">
        <v>1239</v>
      </c>
      <c r="H102" s="8" t="s">
        <v>1240</v>
      </c>
      <c r="I102" s="27"/>
      <c r="J102" s="27" t="n">
        <f aca="false">턴_설계!$B$5</f>
        <v>120</v>
      </c>
    </row>
    <row r="103" customFormat="false" ht="29.25" hidden="false" customHeight="true" outlineLevel="0" collapsed="false">
      <c r="A103" s="27" t="n">
        <v>9</v>
      </c>
      <c r="B103" s="27" t="n">
        <v>3</v>
      </c>
      <c r="C103" s="29" t="s">
        <v>802</v>
      </c>
      <c r="D103" s="8" t="s">
        <v>1241</v>
      </c>
      <c r="E103" s="9" t="s">
        <v>1242</v>
      </c>
      <c r="F103" s="8" t="s">
        <v>1243</v>
      </c>
      <c r="G103" s="9" t="s">
        <v>1244</v>
      </c>
      <c r="H103" s="8" t="s">
        <v>951</v>
      </c>
      <c r="I103" s="27"/>
      <c r="J103" s="27" t="n">
        <f aca="false">턴_설계!$B$5</f>
        <v>120</v>
      </c>
    </row>
    <row r="104" customFormat="false" ht="29.25" hidden="false" customHeight="true" outlineLevel="0" collapsed="false">
      <c r="A104" s="27" t="n">
        <v>9</v>
      </c>
      <c r="B104" s="27" t="n">
        <v>4</v>
      </c>
      <c r="C104" s="29" t="s">
        <v>818</v>
      </c>
      <c r="D104" s="8" t="s">
        <v>1245</v>
      </c>
      <c r="E104" s="9" t="s">
        <v>1246</v>
      </c>
      <c r="F104" s="9" t="s">
        <v>1247</v>
      </c>
      <c r="G104" s="9" t="s">
        <v>1248</v>
      </c>
      <c r="H104" s="8" t="s">
        <v>1249</v>
      </c>
      <c r="I104" s="27" t="s">
        <v>1250</v>
      </c>
      <c r="J104" s="27" t="n">
        <f aca="false">턴_설계!$B$5</f>
        <v>120</v>
      </c>
    </row>
    <row r="105" customFormat="false" ht="29.25" hidden="false" customHeight="true" outlineLevel="0" collapsed="false">
      <c r="A105" s="27" t="n">
        <v>9</v>
      </c>
      <c r="B105" s="27" t="n">
        <v>5</v>
      </c>
      <c r="C105" s="29" t="s">
        <v>818</v>
      </c>
      <c r="D105" s="8" t="s">
        <v>1251</v>
      </c>
      <c r="E105" s="9" t="s">
        <v>1252</v>
      </c>
      <c r="F105" s="9" t="s">
        <v>1253</v>
      </c>
      <c r="G105" s="9" t="s">
        <v>1254</v>
      </c>
      <c r="H105" s="8" t="s">
        <v>1038</v>
      </c>
      <c r="I105" s="27" t="s">
        <v>1169</v>
      </c>
      <c r="J105" s="27" t="n">
        <f aca="false">턴_설계!$B$5</f>
        <v>120</v>
      </c>
    </row>
    <row r="106" customFormat="false" ht="42" hidden="false" customHeight="true" outlineLevel="0" collapsed="false">
      <c r="A106" s="27" t="n">
        <v>9</v>
      </c>
      <c r="B106" s="27" t="n">
        <v>6</v>
      </c>
      <c r="C106" s="29" t="s">
        <v>829</v>
      </c>
      <c r="D106" s="8" t="s">
        <v>1255</v>
      </c>
      <c r="E106" s="9" t="s">
        <v>1256</v>
      </c>
      <c r="F106" s="9" t="s">
        <v>1257</v>
      </c>
      <c r="G106" s="9" t="s">
        <v>1258</v>
      </c>
      <c r="H106" s="8" t="s">
        <v>1259</v>
      </c>
      <c r="I106" s="27" t="s">
        <v>733</v>
      </c>
      <c r="J106" s="27" t="n">
        <f aca="false">턴_설계!$B$5</f>
        <v>120</v>
      </c>
    </row>
    <row r="107" customFormat="false" ht="29.25" hidden="false" customHeight="true" outlineLevel="0" collapsed="false">
      <c r="A107" s="27" t="n">
        <v>9</v>
      </c>
      <c r="B107" s="27" t="n">
        <v>7</v>
      </c>
      <c r="C107" s="29" t="s">
        <v>835</v>
      </c>
      <c r="D107" s="8" t="s">
        <v>1260</v>
      </c>
      <c r="E107" s="9" t="s">
        <v>1261</v>
      </c>
      <c r="F107" s="9" t="s">
        <v>1262</v>
      </c>
      <c r="G107" s="17" t="s">
        <v>1263</v>
      </c>
      <c r="H107" s="8" t="s">
        <v>1264</v>
      </c>
      <c r="I107" s="27" t="s">
        <v>890</v>
      </c>
      <c r="J107" s="27" t="n">
        <f aca="false">턴_설계!$B$5</f>
        <v>120</v>
      </c>
    </row>
    <row r="108" customFormat="false" ht="29.25" hidden="false" customHeight="true" outlineLevel="0" collapsed="false">
      <c r="A108" s="27" t="n">
        <v>9</v>
      </c>
      <c r="B108" s="27" t="n">
        <v>8</v>
      </c>
      <c r="C108" s="29" t="s">
        <v>835</v>
      </c>
      <c r="D108" s="8" t="s">
        <v>1265</v>
      </c>
      <c r="E108" s="9" t="s">
        <v>1266</v>
      </c>
      <c r="F108" s="9" t="s">
        <v>1267</v>
      </c>
      <c r="G108" s="9" t="s">
        <v>1268</v>
      </c>
      <c r="H108" s="8" t="s">
        <v>1269</v>
      </c>
      <c r="I108" s="27"/>
      <c r="J108" s="27" t="n">
        <f aca="false">턴_설계!$B$5</f>
        <v>120</v>
      </c>
    </row>
    <row r="109" customFormat="false" ht="29.25" hidden="false" customHeight="true" outlineLevel="0" collapsed="false">
      <c r="A109" s="27" t="n">
        <v>9</v>
      </c>
      <c r="B109" s="27" t="n">
        <v>9</v>
      </c>
      <c r="C109" s="29" t="s">
        <v>835</v>
      </c>
      <c r="D109" s="8" t="s">
        <v>1270</v>
      </c>
      <c r="E109" s="9" t="s">
        <v>1271</v>
      </c>
      <c r="F109" s="9" t="s">
        <v>1272</v>
      </c>
      <c r="G109" s="9" t="s">
        <v>1273</v>
      </c>
      <c r="H109" s="8" t="s">
        <v>1191</v>
      </c>
      <c r="I109" s="27" t="s">
        <v>907</v>
      </c>
      <c r="J109" s="27" t="n">
        <f aca="false">턴_설계!$B$5</f>
        <v>120</v>
      </c>
    </row>
    <row r="110" customFormat="false" ht="29.25" hidden="false" customHeight="true" outlineLevel="0" collapsed="false">
      <c r="A110" s="27" t="n">
        <v>9</v>
      </c>
      <c r="B110" s="27" t="n">
        <v>10</v>
      </c>
      <c r="C110" s="29" t="s">
        <v>852</v>
      </c>
      <c r="D110" s="8" t="s">
        <v>1274</v>
      </c>
      <c r="E110" s="9" t="s">
        <v>1275</v>
      </c>
      <c r="F110" s="9" t="s">
        <v>1276</v>
      </c>
      <c r="G110" s="9" t="s">
        <v>1277</v>
      </c>
      <c r="H110" s="8" t="s">
        <v>1278</v>
      </c>
      <c r="I110" s="27"/>
      <c r="J110" s="27" t="n">
        <f aca="false">턴_설계!$B$5</f>
        <v>120</v>
      </c>
    </row>
    <row r="111" customFormat="false" ht="16.5" hidden="false" customHeight="true" outlineLevel="0" collapsed="false">
      <c r="A111" s="27" t="n">
        <v>9</v>
      </c>
      <c r="B111" s="27" t="n">
        <v>11</v>
      </c>
      <c r="C111" s="29" t="s">
        <v>852</v>
      </c>
      <c r="D111" s="8" t="s">
        <v>1279</v>
      </c>
      <c r="E111" s="9" t="s">
        <v>1280</v>
      </c>
      <c r="F111" s="9" t="s">
        <v>1281</v>
      </c>
      <c r="G111" s="9" t="s">
        <v>1282</v>
      </c>
      <c r="H111" s="8" t="s">
        <v>1283</v>
      </c>
      <c r="I111" s="27"/>
      <c r="J111" s="27" t="n">
        <f aca="false">턴_설계!$B$5</f>
        <v>120</v>
      </c>
    </row>
    <row r="112" customFormat="false" ht="29.25" hidden="false" customHeight="true" outlineLevel="0" collapsed="false">
      <c r="A112" s="27" t="n">
        <v>9</v>
      </c>
      <c r="B112" s="27" t="n">
        <v>12</v>
      </c>
      <c r="C112" s="29" t="s">
        <v>863</v>
      </c>
      <c r="D112" s="8" t="s">
        <v>1284</v>
      </c>
      <c r="E112" s="9" t="s">
        <v>1285</v>
      </c>
      <c r="F112" s="17" t="s">
        <v>1286</v>
      </c>
      <c r="G112" s="9" t="s">
        <v>1287</v>
      </c>
      <c r="H112" s="8" t="s">
        <v>1288</v>
      </c>
      <c r="I112" s="27"/>
      <c r="J112" s="27" t="n">
        <f aca="false">턴_설계!$B$5</f>
        <v>120</v>
      </c>
    </row>
    <row r="113" customFormat="false" ht="29.25" hidden="false" customHeight="true" outlineLevel="0" collapsed="false">
      <c r="A113" s="27" t="n">
        <v>10</v>
      </c>
      <c r="B113" s="27" t="n">
        <v>1</v>
      </c>
      <c r="C113" s="29" t="s">
        <v>802</v>
      </c>
      <c r="D113" s="8" t="s">
        <v>1289</v>
      </c>
      <c r="E113" s="9" t="s">
        <v>1290</v>
      </c>
      <c r="F113" s="9" t="s">
        <v>1291</v>
      </c>
      <c r="G113" s="9" t="s">
        <v>1292</v>
      </c>
      <c r="H113" s="8" t="s">
        <v>1293</v>
      </c>
      <c r="I113" s="27"/>
      <c r="J113" s="27" t="n">
        <f aca="false">턴_설계!$B$5</f>
        <v>120</v>
      </c>
    </row>
    <row r="114" customFormat="false" ht="29.25" hidden="false" customHeight="true" outlineLevel="0" collapsed="false">
      <c r="A114" s="27" t="n">
        <v>10</v>
      </c>
      <c r="B114" s="27" t="n">
        <v>2</v>
      </c>
      <c r="C114" s="29" t="s">
        <v>802</v>
      </c>
      <c r="D114" s="8" t="s">
        <v>1294</v>
      </c>
      <c r="E114" s="8" t="s">
        <v>1295</v>
      </c>
      <c r="F114" s="9" t="s">
        <v>1296</v>
      </c>
      <c r="G114" s="9" t="s">
        <v>1297</v>
      </c>
      <c r="H114" s="8" t="s">
        <v>1298</v>
      </c>
      <c r="I114" s="27" t="s">
        <v>1299</v>
      </c>
      <c r="J114" s="27" t="n">
        <f aca="false">턴_설계!$B$5</f>
        <v>120</v>
      </c>
    </row>
    <row r="115" customFormat="false" ht="16.5" hidden="false" customHeight="true" outlineLevel="0" collapsed="false">
      <c r="A115" s="27" t="n">
        <v>10</v>
      </c>
      <c r="B115" s="27" t="n">
        <v>3</v>
      </c>
      <c r="C115" s="29" t="s">
        <v>802</v>
      </c>
      <c r="D115" s="8" t="s">
        <v>1300</v>
      </c>
      <c r="E115" s="8" t="s">
        <v>1301</v>
      </c>
      <c r="F115" s="9" t="s">
        <v>1302</v>
      </c>
      <c r="G115" s="17" t="s">
        <v>1303</v>
      </c>
      <c r="H115" s="8" t="s">
        <v>1304</v>
      </c>
      <c r="I115" s="27" t="s">
        <v>1305</v>
      </c>
      <c r="J115" s="27" t="n">
        <f aca="false">턴_설계!$B$5</f>
        <v>120</v>
      </c>
    </row>
    <row r="116" customFormat="false" ht="16.5" hidden="false" customHeight="true" outlineLevel="0" collapsed="false">
      <c r="A116" s="27" t="n">
        <v>10</v>
      </c>
      <c r="B116" s="27" t="n">
        <v>4</v>
      </c>
      <c r="C116" s="29" t="s">
        <v>1186</v>
      </c>
      <c r="D116" s="8" t="s">
        <v>1306</v>
      </c>
      <c r="E116" s="17" t="s">
        <v>1307</v>
      </c>
      <c r="F116" s="8" t="s">
        <v>1308</v>
      </c>
      <c r="G116" s="9" t="s">
        <v>1309</v>
      </c>
      <c r="H116" s="9" t="s">
        <v>1103</v>
      </c>
      <c r="I116" s="27"/>
      <c r="J116" s="27" t="n">
        <f aca="false">턴_설계!$B$5</f>
        <v>120</v>
      </c>
    </row>
    <row r="117" customFormat="false" ht="16.5" hidden="false" customHeight="true" outlineLevel="0" collapsed="false">
      <c r="A117" s="27" t="n">
        <v>10</v>
      </c>
      <c r="B117" s="27" t="n">
        <v>5</v>
      </c>
      <c r="C117" s="29" t="s">
        <v>818</v>
      </c>
      <c r="D117" s="8" t="s">
        <v>1310</v>
      </c>
      <c r="E117" s="9" t="s">
        <v>1311</v>
      </c>
      <c r="F117" s="9" t="s">
        <v>1312</v>
      </c>
      <c r="G117" s="9" t="s">
        <v>1313</v>
      </c>
      <c r="H117" s="8" t="s">
        <v>1314</v>
      </c>
      <c r="I117" s="27"/>
      <c r="J117" s="27" t="n">
        <f aca="false">턴_설계!$B$5</f>
        <v>120</v>
      </c>
    </row>
    <row r="118" customFormat="false" ht="29.25" hidden="false" customHeight="true" outlineLevel="0" collapsed="false">
      <c r="A118" s="27" t="n">
        <v>10</v>
      </c>
      <c r="B118" s="27" t="n">
        <v>6</v>
      </c>
      <c r="C118" s="29" t="s">
        <v>818</v>
      </c>
      <c r="D118" s="8" t="s">
        <v>1315</v>
      </c>
      <c r="E118" s="9" t="s">
        <v>1316</v>
      </c>
      <c r="F118" s="8" t="s">
        <v>1317</v>
      </c>
      <c r="G118" s="9" t="s">
        <v>1318</v>
      </c>
      <c r="H118" s="8" t="s">
        <v>1319</v>
      </c>
      <c r="I118" s="27"/>
      <c r="J118" s="27" t="n">
        <f aca="false">턴_설계!$B$5</f>
        <v>120</v>
      </c>
    </row>
    <row r="119" customFormat="false" ht="16.5" hidden="false" customHeight="true" outlineLevel="0" collapsed="false">
      <c r="A119" s="27" t="n">
        <v>10</v>
      </c>
      <c r="B119" s="27" t="n">
        <v>7</v>
      </c>
      <c r="C119" s="29" t="s">
        <v>829</v>
      </c>
      <c r="D119" s="8" t="s">
        <v>1320</v>
      </c>
      <c r="E119" s="9" t="s">
        <v>1321</v>
      </c>
      <c r="F119" s="9" t="s">
        <v>1322</v>
      </c>
      <c r="G119" s="9" t="s">
        <v>1323</v>
      </c>
      <c r="H119" s="8" t="s">
        <v>1324</v>
      </c>
      <c r="I119" s="27"/>
      <c r="J119" s="27" t="n">
        <f aca="false">턴_설계!$B$5</f>
        <v>120</v>
      </c>
    </row>
    <row r="120" customFormat="false" ht="29.25" hidden="false" customHeight="true" outlineLevel="0" collapsed="false">
      <c r="A120" s="27" t="n">
        <v>10</v>
      </c>
      <c r="B120" s="27" t="n">
        <v>8</v>
      </c>
      <c r="C120" s="29" t="s">
        <v>835</v>
      </c>
      <c r="D120" s="8" t="s">
        <v>1325</v>
      </c>
      <c r="E120" s="9" t="s">
        <v>1326</v>
      </c>
      <c r="F120" s="9" t="s">
        <v>1327</v>
      </c>
      <c r="G120" s="9" t="s">
        <v>1328</v>
      </c>
      <c r="H120" s="8" t="s">
        <v>1329</v>
      </c>
      <c r="I120" s="27" t="s">
        <v>1169</v>
      </c>
      <c r="J120" s="27" t="n">
        <f aca="false">턴_설계!$B$5</f>
        <v>120</v>
      </c>
    </row>
    <row r="121" customFormat="false" ht="16.5" hidden="false" customHeight="true" outlineLevel="0" collapsed="false">
      <c r="A121" s="27" t="n">
        <v>10</v>
      </c>
      <c r="B121" s="27" t="n">
        <v>9</v>
      </c>
      <c r="C121" s="29" t="s">
        <v>835</v>
      </c>
      <c r="D121" s="8" t="s">
        <v>1330</v>
      </c>
      <c r="E121" s="9" t="s">
        <v>1331</v>
      </c>
      <c r="F121" s="9" t="s">
        <v>1332</v>
      </c>
      <c r="G121" s="9" t="s">
        <v>1333</v>
      </c>
      <c r="H121" s="8" t="s">
        <v>1334</v>
      </c>
      <c r="I121" s="27"/>
      <c r="J121" s="27" t="n">
        <f aca="false">턴_설계!$B$5</f>
        <v>120</v>
      </c>
    </row>
    <row r="122" customFormat="false" ht="16.5" hidden="false" customHeight="true" outlineLevel="0" collapsed="false">
      <c r="A122" s="27" t="n">
        <v>10</v>
      </c>
      <c r="B122" s="27" t="n">
        <v>10</v>
      </c>
      <c r="C122" s="29" t="s">
        <v>1186</v>
      </c>
      <c r="D122" s="8" t="s">
        <v>1335</v>
      </c>
      <c r="E122" s="9" t="s">
        <v>1336</v>
      </c>
      <c r="F122" s="8" t="s">
        <v>1337</v>
      </c>
      <c r="G122" s="9" t="s">
        <v>1338</v>
      </c>
      <c r="H122" s="9" t="s">
        <v>1103</v>
      </c>
      <c r="I122" s="27"/>
      <c r="J122" s="27" t="n">
        <f aca="false">턴_설계!$B$5</f>
        <v>120</v>
      </c>
    </row>
    <row r="123" customFormat="false" ht="29.25" hidden="false" customHeight="true" outlineLevel="0" collapsed="false">
      <c r="A123" s="27" t="n">
        <v>10</v>
      </c>
      <c r="B123" s="27" t="n">
        <v>11</v>
      </c>
      <c r="C123" s="29" t="s">
        <v>852</v>
      </c>
      <c r="D123" s="8" t="s">
        <v>1339</v>
      </c>
      <c r="E123" s="9" t="s">
        <v>1340</v>
      </c>
      <c r="F123" s="9" t="s">
        <v>1341</v>
      </c>
      <c r="G123" s="9" t="s">
        <v>1342</v>
      </c>
      <c r="H123" s="8" t="s">
        <v>1343</v>
      </c>
      <c r="I123" s="27" t="s">
        <v>1344</v>
      </c>
      <c r="J123" s="27" t="n">
        <f aca="false">턴_설계!$B$5</f>
        <v>120</v>
      </c>
    </row>
    <row r="124" customFormat="false" ht="29.25" hidden="false" customHeight="true" outlineLevel="0" collapsed="false">
      <c r="A124" s="27" t="n">
        <v>10</v>
      </c>
      <c r="B124" s="27" t="n">
        <v>12</v>
      </c>
      <c r="C124" s="29" t="s">
        <v>863</v>
      </c>
      <c r="D124" s="8" t="s">
        <v>1345</v>
      </c>
      <c r="E124" s="17" t="s">
        <v>1346</v>
      </c>
      <c r="F124" s="8" t="s">
        <v>1347</v>
      </c>
      <c r="G124" s="9" t="s">
        <v>1348</v>
      </c>
      <c r="H124" s="8" t="s">
        <v>1349</v>
      </c>
      <c r="I124" s="27"/>
      <c r="J124" s="27" t="n">
        <f aca="false">턴_설계!$B$5</f>
        <v>120</v>
      </c>
    </row>
    <row r="125" customFormat="false" ht="29.25" hidden="false" customHeight="true" outlineLevel="0" collapsed="false">
      <c r="A125" s="27" t="n">
        <v>11</v>
      </c>
      <c r="B125" s="27" t="n">
        <v>1</v>
      </c>
      <c r="C125" s="29" t="s">
        <v>802</v>
      </c>
      <c r="D125" s="8" t="s">
        <v>1350</v>
      </c>
      <c r="E125" s="9" t="s">
        <v>1351</v>
      </c>
      <c r="F125" s="17" t="s">
        <v>1352</v>
      </c>
      <c r="G125" s="9" t="s">
        <v>1353</v>
      </c>
      <c r="H125" s="8" t="s">
        <v>1354</v>
      </c>
      <c r="I125" s="27" t="s">
        <v>1355</v>
      </c>
      <c r="J125" s="27" t="n">
        <f aca="false">턴_설계!$B$5</f>
        <v>120</v>
      </c>
    </row>
    <row r="126" customFormat="false" ht="29.25" hidden="false" customHeight="true" outlineLevel="0" collapsed="false">
      <c r="A126" s="27" t="n">
        <v>11</v>
      </c>
      <c r="B126" s="27" t="n">
        <v>2</v>
      </c>
      <c r="C126" s="29" t="s">
        <v>818</v>
      </c>
      <c r="D126" s="8" t="s">
        <v>1356</v>
      </c>
      <c r="E126" s="9" t="s">
        <v>1357</v>
      </c>
      <c r="F126" s="8" t="s">
        <v>1358</v>
      </c>
      <c r="G126" s="9" t="s">
        <v>1359</v>
      </c>
      <c r="H126" s="8" t="s">
        <v>951</v>
      </c>
      <c r="I126" s="27" t="s">
        <v>733</v>
      </c>
      <c r="J126" s="27" t="n">
        <f aca="false">턴_설계!$B$5</f>
        <v>120</v>
      </c>
    </row>
    <row r="127" customFormat="false" ht="29.25" hidden="false" customHeight="true" outlineLevel="0" collapsed="false">
      <c r="A127" s="27" t="n">
        <v>11</v>
      </c>
      <c r="B127" s="27" t="n">
        <v>3</v>
      </c>
      <c r="C127" s="29" t="s">
        <v>818</v>
      </c>
      <c r="D127" s="8" t="s">
        <v>1360</v>
      </c>
      <c r="E127" s="9" t="s">
        <v>1361</v>
      </c>
      <c r="F127" s="9" t="s">
        <v>1362</v>
      </c>
      <c r="G127" s="9" t="s">
        <v>1363</v>
      </c>
      <c r="H127" s="8" t="s">
        <v>1364</v>
      </c>
      <c r="I127" s="27" t="s">
        <v>733</v>
      </c>
      <c r="J127" s="27" t="n">
        <f aca="false">턴_설계!$B$5</f>
        <v>120</v>
      </c>
    </row>
    <row r="128" customFormat="false" ht="42" hidden="false" customHeight="true" outlineLevel="0" collapsed="false">
      <c r="A128" s="27" t="n">
        <v>11</v>
      </c>
      <c r="B128" s="27" t="n">
        <v>4</v>
      </c>
      <c r="C128" s="29" t="s">
        <v>835</v>
      </c>
      <c r="D128" s="8" t="s">
        <v>1365</v>
      </c>
      <c r="E128" s="9" t="s">
        <v>1366</v>
      </c>
      <c r="F128" s="9" t="s">
        <v>1367</v>
      </c>
      <c r="G128" s="17" t="s">
        <v>1368</v>
      </c>
      <c r="H128" s="8" t="s">
        <v>1369</v>
      </c>
      <c r="I128" s="27" t="s">
        <v>1370</v>
      </c>
      <c r="J128" s="27" t="n">
        <f aca="false">턴_설계!$B$5</f>
        <v>120</v>
      </c>
    </row>
    <row r="129" customFormat="false" ht="42" hidden="false" customHeight="true" outlineLevel="0" collapsed="false">
      <c r="A129" s="27" t="n">
        <v>11</v>
      </c>
      <c r="B129" s="27" t="n">
        <v>5</v>
      </c>
      <c r="C129" s="29" t="s">
        <v>835</v>
      </c>
      <c r="D129" s="8" t="s">
        <v>1371</v>
      </c>
      <c r="E129" s="9" t="s">
        <v>1372</v>
      </c>
      <c r="F129" s="9" t="s">
        <v>1373</v>
      </c>
      <c r="G129" s="9" t="s">
        <v>1374</v>
      </c>
      <c r="H129" s="8" t="s">
        <v>1375</v>
      </c>
      <c r="I129" s="27" t="s">
        <v>770</v>
      </c>
      <c r="J129" s="27" t="n">
        <f aca="false">턴_설계!$B$5</f>
        <v>120</v>
      </c>
    </row>
    <row r="130" customFormat="false" ht="42" hidden="false" customHeight="true" outlineLevel="0" collapsed="false">
      <c r="A130" s="27" t="n">
        <v>11</v>
      </c>
      <c r="B130" s="27" t="n">
        <v>6</v>
      </c>
      <c r="C130" s="29" t="s">
        <v>818</v>
      </c>
      <c r="D130" s="8" t="s">
        <v>1376</v>
      </c>
      <c r="E130" s="9" t="s">
        <v>1377</v>
      </c>
      <c r="F130" s="9" t="s">
        <v>1378</v>
      </c>
      <c r="G130" s="9" t="s">
        <v>1379</v>
      </c>
      <c r="H130" s="8" t="s">
        <v>1380</v>
      </c>
      <c r="I130" s="27" t="s">
        <v>746</v>
      </c>
      <c r="J130" s="27" t="n">
        <f aca="false">턴_설계!$B$5</f>
        <v>120</v>
      </c>
    </row>
    <row r="131" customFormat="false" ht="42" hidden="false" customHeight="true" outlineLevel="0" collapsed="false">
      <c r="A131" s="27" t="n">
        <v>11</v>
      </c>
      <c r="B131" s="27" t="n">
        <v>7</v>
      </c>
      <c r="C131" s="29" t="s">
        <v>835</v>
      </c>
      <c r="D131" s="8" t="s">
        <v>1381</v>
      </c>
      <c r="E131" s="9" t="s">
        <v>1382</v>
      </c>
      <c r="F131" s="9" t="s">
        <v>1383</v>
      </c>
      <c r="G131" s="9" t="s">
        <v>1384</v>
      </c>
      <c r="H131" s="8" t="s">
        <v>1385</v>
      </c>
      <c r="I131" s="27"/>
      <c r="J131" s="27" t="n">
        <f aca="false">턴_설계!$B$5</f>
        <v>120</v>
      </c>
    </row>
    <row r="132" customFormat="false" ht="54.75" hidden="false" customHeight="true" outlineLevel="0" collapsed="false">
      <c r="A132" s="27" t="n">
        <v>11</v>
      </c>
      <c r="B132" s="27" t="n">
        <v>8</v>
      </c>
      <c r="C132" s="29" t="s">
        <v>835</v>
      </c>
      <c r="D132" s="8" t="s">
        <v>1386</v>
      </c>
      <c r="E132" s="9" t="s">
        <v>1387</v>
      </c>
      <c r="F132" s="9" t="s">
        <v>1388</v>
      </c>
      <c r="G132" s="9" t="s">
        <v>1389</v>
      </c>
      <c r="H132" s="8" t="s">
        <v>1390</v>
      </c>
      <c r="I132" s="27" t="s">
        <v>1391</v>
      </c>
      <c r="J132" s="27" t="n">
        <f aca="false">턴_설계!$B$5</f>
        <v>120</v>
      </c>
    </row>
    <row r="133" customFormat="false" ht="105.75" hidden="false" customHeight="true" outlineLevel="0" collapsed="false">
      <c r="A133" s="27" t="n">
        <v>11</v>
      </c>
      <c r="B133" s="27" t="n">
        <v>9</v>
      </c>
      <c r="C133" s="29" t="s">
        <v>1186</v>
      </c>
      <c r="D133" s="8" t="s">
        <v>1392</v>
      </c>
      <c r="E133" s="9" t="s">
        <v>1393</v>
      </c>
      <c r="F133" s="8" t="s">
        <v>1394</v>
      </c>
      <c r="G133" s="9" t="s">
        <v>1395</v>
      </c>
      <c r="H133" s="8" t="s">
        <v>1396</v>
      </c>
      <c r="I133" s="27" t="s">
        <v>1397</v>
      </c>
      <c r="J133" s="27" t="n">
        <f aca="false">턴_설계!$B$5</f>
        <v>120</v>
      </c>
    </row>
    <row r="134" customFormat="false" ht="67.5" hidden="false" customHeight="true" outlineLevel="0" collapsed="false">
      <c r="A134" s="27" t="n">
        <v>11</v>
      </c>
      <c r="B134" s="27" t="n">
        <v>10</v>
      </c>
      <c r="C134" s="29" t="s">
        <v>852</v>
      </c>
      <c r="D134" s="8" t="s">
        <v>1398</v>
      </c>
      <c r="E134" s="9" t="s">
        <v>1399</v>
      </c>
      <c r="F134" s="9" t="s">
        <v>1400</v>
      </c>
      <c r="G134" s="17" t="s">
        <v>1401</v>
      </c>
      <c r="H134" s="8" t="s">
        <v>1402</v>
      </c>
      <c r="I134" s="27" t="s">
        <v>1403</v>
      </c>
      <c r="J134" s="27" t="n">
        <f aca="false">턴_설계!$B$5</f>
        <v>120</v>
      </c>
    </row>
    <row r="135" customFormat="false" ht="42" hidden="false" customHeight="true" outlineLevel="0" collapsed="false">
      <c r="A135" s="27" t="n">
        <v>11</v>
      </c>
      <c r="B135" s="27" t="n">
        <v>11</v>
      </c>
      <c r="C135" s="29" t="s">
        <v>852</v>
      </c>
      <c r="D135" s="8" t="s">
        <v>1404</v>
      </c>
      <c r="E135" s="9" t="s">
        <v>1405</v>
      </c>
      <c r="F135" s="9" t="s">
        <v>1406</v>
      </c>
      <c r="G135" s="9" t="s">
        <v>1407</v>
      </c>
      <c r="H135" s="8" t="s">
        <v>1408</v>
      </c>
      <c r="I135" s="27" t="s">
        <v>1403</v>
      </c>
      <c r="J135" s="27" t="n">
        <f aca="false">턴_설계!$B$5</f>
        <v>120</v>
      </c>
    </row>
    <row r="136" customFormat="false" ht="42" hidden="false" customHeight="true" outlineLevel="0" collapsed="false">
      <c r="A136" s="27" t="n">
        <v>11</v>
      </c>
      <c r="B136" s="27" t="n">
        <v>12</v>
      </c>
      <c r="C136" s="29" t="s">
        <v>1409</v>
      </c>
      <c r="D136" s="8" t="s">
        <v>1410</v>
      </c>
      <c r="E136" s="9" t="s">
        <v>1411</v>
      </c>
      <c r="F136" s="9" t="s">
        <v>1412</v>
      </c>
      <c r="G136" s="8" t="s">
        <v>1413</v>
      </c>
      <c r="H136" s="8" t="s">
        <v>1414</v>
      </c>
      <c r="I136" s="27" t="s">
        <v>1397</v>
      </c>
      <c r="J136" s="27" t="n">
        <f aca="false">턴_설계!$B$5</f>
        <v>120</v>
      </c>
    </row>
    <row r="137" customFormat="false" ht="42" hidden="false" customHeight="true" outlineLevel="0" collapsed="false">
      <c r="A137" s="27" t="n">
        <v>12</v>
      </c>
      <c r="B137" s="27" t="n">
        <v>1</v>
      </c>
      <c r="C137" s="29" t="s">
        <v>1415</v>
      </c>
      <c r="D137" s="8" t="s">
        <v>1416</v>
      </c>
      <c r="E137" s="9" t="s">
        <v>1417</v>
      </c>
      <c r="F137" s="8" t="s">
        <v>1418</v>
      </c>
      <c r="G137" s="8" t="s">
        <v>1419</v>
      </c>
      <c r="H137" s="8" t="s">
        <v>1420</v>
      </c>
      <c r="I137" s="27"/>
      <c r="J137" s="27" t="n">
        <f aca="false">턴_설계!$B$5</f>
        <v>120</v>
      </c>
    </row>
    <row r="138" customFormat="false" ht="29.25" hidden="false" customHeight="true" outlineLevel="0" collapsed="false">
      <c r="A138" s="27" t="n">
        <v>12</v>
      </c>
      <c r="B138" s="27" t="n">
        <v>2</v>
      </c>
      <c r="C138" s="29" t="s">
        <v>818</v>
      </c>
      <c r="D138" s="8" t="s">
        <v>1421</v>
      </c>
      <c r="E138" s="9" t="s">
        <v>1422</v>
      </c>
      <c r="F138" s="8" t="s">
        <v>1423</v>
      </c>
      <c r="G138" s="9" t="s">
        <v>1424</v>
      </c>
      <c r="H138" s="8" t="s">
        <v>1425</v>
      </c>
      <c r="I138" s="27"/>
      <c r="J138" s="27" t="n">
        <f aca="false">턴_설계!$B$5</f>
        <v>120</v>
      </c>
    </row>
    <row r="139" customFormat="false" ht="42" hidden="false" customHeight="true" outlineLevel="0" collapsed="false">
      <c r="A139" s="27" t="n">
        <v>12</v>
      </c>
      <c r="B139" s="27" t="n">
        <v>3</v>
      </c>
      <c r="C139" s="29" t="s">
        <v>818</v>
      </c>
      <c r="D139" s="8" t="s">
        <v>1426</v>
      </c>
      <c r="E139" s="9" t="s">
        <v>1427</v>
      </c>
      <c r="F139" s="8" t="s">
        <v>1428</v>
      </c>
      <c r="G139" s="9" t="s">
        <v>1429</v>
      </c>
      <c r="H139" s="8" t="s">
        <v>1430</v>
      </c>
      <c r="I139" s="27" t="s">
        <v>1403</v>
      </c>
      <c r="J139" s="27" t="n">
        <f aca="false">턴_설계!$B$5</f>
        <v>120</v>
      </c>
    </row>
    <row r="140" customFormat="false" ht="42" hidden="false" customHeight="true" outlineLevel="0" collapsed="false">
      <c r="A140" s="27" t="n">
        <v>12</v>
      </c>
      <c r="B140" s="27" t="n">
        <v>4</v>
      </c>
      <c r="C140" s="29" t="s">
        <v>818</v>
      </c>
      <c r="D140" s="8" t="s">
        <v>1431</v>
      </c>
      <c r="E140" s="9" t="s">
        <v>1432</v>
      </c>
      <c r="F140" s="9" t="s">
        <v>1433</v>
      </c>
      <c r="G140" s="9" t="s">
        <v>1434</v>
      </c>
      <c r="H140" s="8" t="s">
        <v>1435</v>
      </c>
      <c r="I140" s="27" t="s">
        <v>1436</v>
      </c>
      <c r="J140" s="27" t="n">
        <f aca="false">턴_설계!$B$5</f>
        <v>120</v>
      </c>
    </row>
    <row r="141" customFormat="false" ht="42" hidden="false" customHeight="true" outlineLevel="0" collapsed="false">
      <c r="A141" s="27" t="n">
        <v>12</v>
      </c>
      <c r="B141" s="27" t="n">
        <v>5</v>
      </c>
      <c r="C141" s="29" t="s">
        <v>818</v>
      </c>
      <c r="D141" s="8" t="s">
        <v>1437</v>
      </c>
      <c r="E141" s="9" t="s">
        <v>1438</v>
      </c>
      <c r="F141" s="9" t="s">
        <v>1439</v>
      </c>
      <c r="G141" s="9" t="s">
        <v>1440</v>
      </c>
      <c r="H141" s="8" t="s">
        <v>1441</v>
      </c>
      <c r="I141" s="27" t="s">
        <v>1442</v>
      </c>
      <c r="J141" s="27" t="n">
        <f aca="false">턴_설계!$B$5</f>
        <v>120</v>
      </c>
    </row>
    <row r="142" customFormat="false" ht="29.25" hidden="false" customHeight="true" outlineLevel="0" collapsed="false">
      <c r="A142" s="27" t="n">
        <v>12</v>
      </c>
      <c r="B142" s="27" t="n">
        <v>6</v>
      </c>
      <c r="C142" s="29" t="s">
        <v>818</v>
      </c>
      <c r="D142" s="8" t="s">
        <v>1443</v>
      </c>
      <c r="E142" s="9" t="s">
        <v>1444</v>
      </c>
      <c r="F142" s="9" t="s">
        <v>1445</v>
      </c>
      <c r="G142" s="9" t="s">
        <v>1446</v>
      </c>
      <c r="H142" s="8" t="s">
        <v>1447</v>
      </c>
      <c r="I142" s="27" t="s">
        <v>1448</v>
      </c>
      <c r="J142" s="27" t="n">
        <f aca="false">턴_설계!$B$5</f>
        <v>120</v>
      </c>
    </row>
    <row r="143" customFormat="false" ht="42" hidden="false" customHeight="true" outlineLevel="0" collapsed="false">
      <c r="A143" s="27" t="n">
        <v>12</v>
      </c>
      <c r="B143" s="27" t="n">
        <v>7</v>
      </c>
      <c r="C143" s="29" t="s">
        <v>835</v>
      </c>
      <c r="D143" s="8" t="s">
        <v>1449</v>
      </c>
      <c r="E143" s="9" t="s">
        <v>1450</v>
      </c>
      <c r="F143" s="9" t="s">
        <v>1451</v>
      </c>
      <c r="G143" s="9" t="s">
        <v>1452</v>
      </c>
      <c r="H143" s="8" t="s">
        <v>1288</v>
      </c>
      <c r="I143" s="27" t="s">
        <v>1453</v>
      </c>
      <c r="J143" s="27" t="n">
        <f aca="false">턴_설계!$B$5</f>
        <v>120</v>
      </c>
    </row>
    <row r="144" customFormat="false" ht="42" hidden="false" customHeight="true" outlineLevel="0" collapsed="false">
      <c r="A144" s="27" t="n">
        <v>12</v>
      </c>
      <c r="B144" s="27" t="n">
        <v>8</v>
      </c>
      <c r="C144" s="29" t="s">
        <v>835</v>
      </c>
      <c r="D144" s="8" t="s">
        <v>1454</v>
      </c>
      <c r="E144" s="9" t="s">
        <v>1455</v>
      </c>
      <c r="F144" s="9" t="s">
        <v>1456</v>
      </c>
      <c r="G144" s="9" t="s">
        <v>1457</v>
      </c>
      <c r="H144" s="8" t="s">
        <v>1458</v>
      </c>
      <c r="I144" s="27" t="s">
        <v>1459</v>
      </c>
      <c r="J144" s="27" t="n">
        <f aca="false">턴_설계!$B$5</f>
        <v>120</v>
      </c>
    </row>
    <row r="145" customFormat="false" ht="16.5" hidden="false" customHeight="true" outlineLevel="0" collapsed="false">
      <c r="A145" s="27" t="n">
        <v>12</v>
      </c>
      <c r="B145" s="27" t="n">
        <v>9</v>
      </c>
      <c r="C145" s="29" t="s">
        <v>852</v>
      </c>
      <c r="D145" s="8" t="s">
        <v>1460</v>
      </c>
      <c r="E145" s="9" t="s">
        <v>1461</v>
      </c>
      <c r="F145" s="9" t="s">
        <v>1462</v>
      </c>
      <c r="G145" s="9" t="s">
        <v>1463</v>
      </c>
      <c r="H145" s="8" t="s">
        <v>1464</v>
      </c>
      <c r="I145" s="27" t="s">
        <v>1465</v>
      </c>
      <c r="J145" s="27" t="n">
        <f aca="false">턴_설계!$B$5</f>
        <v>120</v>
      </c>
    </row>
    <row r="146" customFormat="false" ht="42" hidden="false" customHeight="true" outlineLevel="0" collapsed="false">
      <c r="A146" s="27" t="n">
        <v>12</v>
      </c>
      <c r="B146" s="27" t="n">
        <v>10</v>
      </c>
      <c r="C146" s="29" t="s">
        <v>818</v>
      </c>
      <c r="D146" s="8" t="s">
        <v>1466</v>
      </c>
      <c r="E146" s="9" t="s">
        <v>1467</v>
      </c>
      <c r="F146" s="8" t="s">
        <v>1468</v>
      </c>
      <c r="G146" s="8" t="s">
        <v>282</v>
      </c>
      <c r="H146" s="8" t="s">
        <v>1469</v>
      </c>
      <c r="I146" s="27"/>
      <c r="J146" s="27" t="n">
        <f aca="false">턴_설계!$B$5</f>
        <v>120</v>
      </c>
    </row>
    <row r="147" customFormat="false" ht="29.25" hidden="false" customHeight="true" outlineLevel="0" collapsed="false">
      <c r="A147" s="27" t="n">
        <v>12</v>
      </c>
      <c r="B147" s="27" t="n">
        <v>11</v>
      </c>
      <c r="C147" s="29" t="s">
        <v>835</v>
      </c>
      <c r="D147" s="8" t="s">
        <v>1470</v>
      </c>
      <c r="E147" s="9" t="s">
        <v>1471</v>
      </c>
      <c r="F147" s="9" t="s">
        <v>1472</v>
      </c>
      <c r="G147" s="9" t="s">
        <v>1473</v>
      </c>
      <c r="H147" s="8" t="s">
        <v>1474</v>
      </c>
      <c r="I147" s="27"/>
      <c r="J147" s="27" t="n">
        <f aca="false">턴_설계!$B$5</f>
        <v>120</v>
      </c>
    </row>
    <row r="148" customFormat="false" ht="29.25" hidden="false" customHeight="true" outlineLevel="0" collapsed="false">
      <c r="A148" s="27" t="n">
        <v>12</v>
      </c>
      <c r="B148" s="27" t="n">
        <v>12</v>
      </c>
      <c r="C148" s="29" t="s">
        <v>863</v>
      </c>
      <c r="D148" s="8" t="s">
        <v>1475</v>
      </c>
      <c r="E148" s="9" t="s">
        <v>1476</v>
      </c>
      <c r="F148" s="9" t="s">
        <v>1477</v>
      </c>
      <c r="G148" s="9" t="s">
        <v>1478</v>
      </c>
      <c r="H148" s="8" t="s">
        <v>1479</v>
      </c>
      <c r="I148" s="27"/>
      <c r="J148" s="27" t="n">
        <f aca="false">턴_설계!$B$5</f>
        <v>120</v>
      </c>
    </row>
    <row r="149" customFormat="false" ht="29.25" hidden="false" customHeight="true" outlineLevel="0" collapsed="false">
      <c r="A149" s="27" t="n">
        <v>13</v>
      </c>
      <c r="B149" s="27" t="n">
        <v>1</v>
      </c>
      <c r="C149" s="29" t="s">
        <v>802</v>
      </c>
      <c r="D149" s="8" t="s">
        <v>1480</v>
      </c>
      <c r="E149" s="9" t="s">
        <v>1481</v>
      </c>
      <c r="F149" s="8" t="s">
        <v>1482</v>
      </c>
      <c r="G149" s="9" t="s">
        <v>1483</v>
      </c>
      <c r="H149" s="8" t="s">
        <v>1484</v>
      </c>
      <c r="I149" s="27"/>
      <c r="J149" s="27" t="n">
        <f aca="false">턴_설계!$B$5</f>
        <v>120</v>
      </c>
    </row>
    <row r="150" customFormat="false" ht="29.25" hidden="false" customHeight="true" outlineLevel="0" collapsed="false">
      <c r="A150" s="27" t="n">
        <v>13</v>
      </c>
      <c r="B150" s="27" t="n">
        <v>2</v>
      </c>
      <c r="C150" s="29" t="s">
        <v>802</v>
      </c>
      <c r="D150" s="8" t="s">
        <v>1485</v>
      </c>
      <c r="E150" s="9" t="s">
        <v>1486</v>
      </c>
      <c r="F150" s="8" t="s">
        <v>1487</v>
      </c>
      <c r="G150" s="9" t="s">
        <v>1488</v>
      </c>
      <c r="H150" s="8" t="s">
        <v>1489</v>
      </c>
      <c r="I150" s="27"/>
      <c r="J150" s="27" t="n">
        <f aca="false">턴_설계!$B$5</f>
        <v>120</v>
      </c>
    </row>
    <row r="151" customFormat="false" ht="16.5" hidden="false" customHeight="true" outlineLevel="0" collapsed="false">
      <c r="A151" s="27" t="n">
        <v>13</v>
      </c>
      <c r="B151" s="27" t="n">
        <v>3</v>
      </c>
      <c r="C151" s="29" t="s">
        <v>802</v>
      </c>
      <c r="D151" s="8" t="s">
        <v>1490</v>
      </c>
      <c r="E151" s="9" t="s">
        <v>1491</v>
      </c>
      <c r="F151" s="9" t="s">
        <v>1492</v>
      </c>
      <c r="G151" s="8" t="s">
        <v>282</v>
      </c>
      <c r="H151" s="8" t="s">
        <v>1493</v>
      </c>
      <c r="I151" s="27"/>
      <c r="J151" s="27" t="n">
        <f aca="false">턴_설계!$B$5</f>
        <v>120</v>
      </c>
    </row>
    <row r="152" customFormat="false" ht="29.25" hidden="false" customHeight="true" outlineLevel="0" collapsed="false">
      <c r="A152" s="27" t="n">
        <v>13</v>
      </c>
      <c r="B152" s="27" t="n">
        <v>4</v>
      </c>
      <c r="C152" s="29" t="s">
        <v>818</v>
      </c>
      <c r="D152" s="8" t="s">
        <v>1494</v>
      </c>
      <c r="E152" s="9" t="s">
        <v>1495</v>
      </c>
      <c r="F152" s="9" t="s">
        <v>1496</v>
      </c>
      <c r="G152" s="9" t="s">
        <v>1497</v>
      </c>
      <c r="H152" s="8" t="s">
        <v>1498</v>
      </c>
      <c r="I152" s="27"/>
      <c r="J152" s="27" t="n">
        <f aca="false">턴_설계!$B$5</f>
        <v>120</v>
      </c>
    </row>
    <row r="153" customFormat="false" ht="29.25" hidden="false" customHeight="true" outlineLevel="0" collapsed="false">
      <c r="A153" s="27" t="n">
        <v>13</v>
      </c>
      <c r="B153" s="27" t="n">
        <v>5</v>
      </c>
      <c r="C153" s="29" t="s">
        <v>818</v>
      </c>
      <c r="D153" s="8" t="s">
        <v>1499</v>
      </c>
      <c r="E153" s="9" t="s">
        <v>1500</v>
      </c>
      <c r="F153" s="9" t="s">
        <v>1501</v>
      </c>
      <c r="G153" s="8" t="s">
        <v>282</v>
      </c>
      <c r="H153" s="8" t="s">
        <v>1502</v>
      </c>
      <c r="I153" s="27" t="s">
        <v>746</v>
      </c>
      <c r="J153" s="27" t="n">
        <f aca="false">턴_설계!$B$5</f>
        <v>120</v>
      </c>
    </row>
    <row r="154" customFormat="false" ht="29.25" hidden="false" customHeight="true" outlineLevel="0" collapsed="false">
      <c r="A154" s="27" t="n">
        <v>13</v>
      </c>
      <c r="B154" s="27" t="n">
        <v>6</v>
      </c>
      <c r="C154" s="29" t="s">
        <v>829</v>
      </c>
      <c r="D154" s="8" t="s">
        <v>1503</v>
      </c>
      <c r="E154" s="8" t="s">
        <v>1504</v>
      </c>
      <c r="F154" s="8" t="s">
        <v>1505</v>
      </c>
      <c r="G154" s="8" t="s">
        <v>282</v>
      </c>
      <c r="H154" s="8" t="s">
        <v>1506</v>
      </c>
      <c r="I154" s="27" t="s">
        <v>746</v>
      </c>
      <c r="J154" s="27" t="n">
        <f aca="false">턴_설계!$B$5</f>
        <v>120</v>
      </c>
    </row>
    <row r="155" customFormat="false" ht="29.25" hidden="false" customHeight="true" outlineLevel="0" collapsed="false">
      <c r="A155" s="27" t="n">
        <v>13</v>
      </c>
      <c r="B155" s="27" t="n">
        <v>7</v>
      </c>
      <c r="C155" s="29" t="s">
        <v>818</v>
      </c>
      <c r="D155" s="8" t="s">
        <v>1507</v>
      </c>
      <c r="E155" s="9" t="s">
        <v>1508</v>
      </c>
      <c r="F155" s="8" t="s">
        <v>1509</v>
      </c>
      <c r="G155" s="9" t="s">
        <v>1510</v>
      </c>
      <c r="H155" s="8" t="s">
        <v>1511</v>
      </c>
      <c r="I155" s="27" t="s">
        <v>1512</v>
      </c>
      <c r="J155" s="27" t="n">
        <f aca="false">턴_설계!$B$5</f>
        <v>120</v>
      </c>
    </row>
    <row r="156" customFormat="false" ht="16.5" hidden="false" customHeight="true" outlineLevel="0" collapsed="false">
      <c r="A156" s="27" t="n">
        <v>13</v>
      </c>
      <c r="B156" s="27" t="n">
        <v>8</v>
      </c>
      <c r="C156" s="29" t="s">
        <v>818</v>
      </c>
      <c r="D156" s="8" t="s">
        <v>1513</v>
      </c>
      <c r="E156" s="9" t="s">
        <v>1514</v>
      </c>
      <c r="F156" s="8" t="s">
        <v>1515</v>
      </c>
      <c r="G156" s="8" t="s">
        <v>282</v>
      </c>
      <c r="H156" s="8" t="s">
        <v>1516</v>
      </c>
      <c r="I156" s="27"/>
      <c r="J156" s="27" t="n">
        <f aca="false">턴_설계!$B$5</f>
        <v>120</v>
      </c>
    </row>
    <row r="157" customFormat="false" ht="16.5" hidden="false" customHeight="true" outlineLevel="0" collapsed="false">
      <c r="A157" s="27" t="n">
        <v>13</v>
      </c>
      <c r="B157" s="27" t="n">
        <v>9</v>
      </c>
      <c r="C157" s="29" t="s">
        <v>835</v>
      </c>
      <c r="D157" s="8" t="s">
        <v>1517</v>
      </c>
      <c r="E157" s="9" t="s">
        <v>1518</v>
      </c>
      <c r="F157" s="8" t="s">
        <v>1519</v>
      </c>
      <c r="G157" s="8" t="s">
        <v>282</v>
      </c>
      <c r="H157" s="8" t="s">
        <v>1520</v>
      </c>
      <c r="I157" s="27"/>
      <c r="J157" s="27" t="n">
        <f aca="false">턴_설계!$B$5</f>
        <v>120</v>
      </c>
    </row>
    <row r="158" customFormat="false" ht="29.25" hidden="false" customHeight="true" outlineLevel="0" collapsed="false">
      <c r="A158" s="27" t="n">
        <v>13</v>
      </c>
      <c r="B158" s="27" t="n">
        <v>10</v>
      </c>
      <c r="C158" s="29" t="s">
        <v>852</v>
      </c>
      <c r="D158" s="8" t="s">
        <v>1521</v>
      </c>
      <c r="E158" s="9" t="s">
        <v>1522</v>
      </c>
      <c r="F158" s="9" t="s">
        <v>1523</v>
      </c>
      <c r="G158" s="8" t="s">
        <v>282</v>
      </c>
      <c r="H158" s="8" t="s">
        <v>1524</v>
      </c>
      <c r="I158" s="27"/>
      <c r="J158" s="27" t="n">
        <f aca="false">턴_설계!$B$5</f>
        <v>120</v>
      </c>
    </row>
    <row r="159" customFormat="false" ht="29.25" hidden="false" customHeight="true" outlineLevel="0" collapsed="false">
      <c r="A159" s="27" t="n">
        <v>13</v>
      </c>
      <c r="B159" s="27" t="n">
        <v>11</v>
      </c>
      <c r="C159" s="29" t="s">
        <v>852</v>
      </c>
      <c r="D159" s="8" t="s">
        <v>1525</v>
      </c>
      <c r="E159" s="9" t="s">
        <v>1526</v>
      </c>
      <c r="F159" s="8" t="s">
        <v>1527</v>
      </c>
      <c r="G159" s="8" t="s">
        <v>282</v>
      </c>
      <c r="H159" s="9" t="s">
        <v>1103</v>
      </c>
      <c r="I159" s="27"/>
      <c r="J159" s="27" t="n">
        <f aca="false">턴_설계!$B$5</f>
        <v>120</v>
      </c>
    </row>
    <row r="160" customFormat="false" ht="16.5" hidden="false" customHeight="true" outlineLevel="0" collapsed="false">
      <c r="A160" s="27" t="n">
        <v>13</v>
      </c>
      <c r="B160" s="27" t="n">
        <v>12</v>
      </c>
      <c r="C160" s="29" t="s">
        <v>1528</v>
      </c>
      <c r="D160" s="8" t="s">
        <v>1529</v>
      </c>
      <c r="E160" s="9" t="s">
        <v>1530</v>
      </c>
      <c r="F160" s="9" t="s">
        <v>1531</v>
      </c>
      <c r="G160" s="8" t="s">
        <v>282</v>
      </c>
      <c r="H160" s="8" t="s">
        <v>1532</v>
      </c>
      <c r="I160" s="27"/>
      <c r="J160" s="27" t="n">
        <f aca="false">턴_설계!$B$5</f>
        <v>120</v>
      </c>
    </row>
    <row r="161" customFormat="false" ht="15" hidden="false" customHeight="true" outlineLevel="0" collapsed="false">
      <c r="I161" s="63" t="s">
        <v>278</v>
      </c>
      <c r="J161" s="64" t="n">
        <f aca="false">SUM(J5:J160)</f>
        <v>18720</v>
      </c>
    </row>
  </sheetData>
  <autoFilter ref="A4:J16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4"/>
    <col collapsed="false" customWidth="true" hidden="false" outlineLevel="0" max="3" min="3" style="1" width="12"/>
    <col collapsed="false" customWidth="true" hidden="false" outlineLevel="0" max="4" min="4" style="1" width="8"/>
    <col collapsed="false" customWidth="true" hidden="false" outlineLevel="0" max="5" min="5" style="1" width="16"/>
    <col collapsed="false" customWidth="true" hidden="false" outlineLevel="0" max="7" min="6" style="1" width="8"/>
    <col collapsed="false" customWidth="true" hidden="false" outlineLevel="0" max="8" min="8" style="1" width="42"/>
    <col collapsed="false" customWidth="true" hidden="false" outlineLevel="0" max="9" min="9" style="1" width="20"/>
  </cols>
  <sheetData>
    <row r="1" customFormat="false" ht="24" hidden="false" customHeight="true" outlineLevel="0" collapsed="false">
      <c r="A1" s="24" t="s">
        <v>1533</v>
      </c>
    </row>
    <row r="2" customFormat="false" ht="15" hidden="false" customHeight="true" outlineLevel="0" collapsed="false">
      <c r="A2" s="23" t="s">
        <v>1534</v>
      </c>
    </row>
    <row r="4" customFormat="false" ht="30" hidden="false" customHeight="true" outlineLevel="0" collapsed="false">
      <c r="A4" s="25" t="s">
        <v>83</v>
      </c>
      <c r="B4" s="26" t="s">
        <v>1535</v>
      </c>
      <c r="C4" s="26" t="s">
        <v>1536</v>
      </c>
      <c r="D4" s="26" t="s">
        <v>1537</v>
      </c>
      <c r="E4" s="26" t="s">
        <v>1538</v>
      </c>
      <c r="F4" s="26" t="s">
        <v>1539</v>
      </c>
      <c r="G4" s="26" t="s">
        <v>1540</v>
      </c>
      <c r="H4" s="26" t="s">
        <v>1541</v>
      </c>
      <c r="I4" s="26" t="s">
        <v>1542</v>
      </c>
    </row>
    <row r="5" customFormat="false" ht="29.25" hidden="false" customHeight="true" outlineLevel="0" collapsed="false">
      <c r="A5" s="27" t="n">
        <v>1</v>
      </c>
      <c r="B5" s="8" t="s">
        <v>1543</v>
      </c>
      <c r="C5" s="29" t="s">
        <v>1544</v>
      </c>
      <c r="D5" s="28" t="n">
        <v>1</v>
      </c>
      <c r="E5" s="8" t="s">
        <v>1545</v>
      </c>
      <c r="F5" s="28" t="n">
        <v>11</v>
      </c>
      <c r="G5" s="27" t="n">
        <f aca="false">F5-D5</f>
        <v>10</v>
      </c>
      <c r="H5" s="8" t="s">
        <v>1546</v>
      </c>
      <c r="I5" s="8" t="s">
        <v>150</v>
      </c>
    </row>
    <row r="6" customFormat="false" ht="29.25" hidden="false" customHeight="true" outlineLevel="0" collapsed="false">
      <c r="A6" s="27" t="n">
        <v>2</v>
      </c>
      <c r="B6" s="8" t="s">
        <v>1547</v>
      </c>
      <c r="C6" s="29" t="s">
        <v>1548</v>
      </c>
      <c r="D6" s="28" t="n">
        <v>1</v>
      </c>
      <c r="E6" s="8" t="s">
        <v>1545</v>
      </c>
      <c r="F6" s="28" t="n">
        <v>13</v>
      </c>
      <c r="G6" s="27" t="n">
        <f aca="false">F6-D6</f>
        <v>12</v>
      </c>
      <c r="H6" s="8" t="s">
        <v>1549</v>
      </c>
      <c r="I6" s="8" t="s">
        <v>1550</v>
      </c>
    </row>
    <row r="7" customFormat="false" ht="29.25" hidden="false" customHeight="true" outlineLevel="0" collapsed="false">
      <c r="A7" s="27" t="n">
        <v>3</v>
      </c>
      <c r="B7" s="8" t="s">
        <v>1551</v>
      </c>
      <c r="C7" s="29" t="s">
        <v>1552</v>
      </c>
      <c r="D7" s="28" t="n">
        <v>3</v>
      </c>
      <c r="E7" s="8" t="s">
        <v>1553</v>
      </c>
      <c r="F7" s="28" t="n">
        <v>11</v>
      </c>
      <c r="G7" s="27" t="n">
        <f aca="false">F7-D7</f>
        <v>8</v>
      </c>
      <c r="H7" s="8" t="s">
        <v>1554</v>
      </c>
      <c r="I7" s="8" t="s">
        <v>1555</v>
      </c>
    </row>
    <row r="8" customFormat="false" ht="29.25" hidden="false" customHeight="true" outlineLevel="0" collapsed="false">
      <c r="A8" s="27" t="n">
        <v>4</v>
      </c>
      <c r="B8" s="8" t="s">
        <v>1556</v>
      </c>
      <c r="C8" s="29" t="s">
        <v>1544</v>
      </c>
      <c r="D8" s="28" t="n">
        <v>1</v>
      </c>
      <c r="E8" s="8" t="s">
        <v>1557</v>
      </c>
      <c r="F8" s="28" t="n">
        <v>11</v>
      </c>
      <c r="G8" s="27" t="n">
        <f aca="false">F8-D8</f>
        <v>10</v>
      </c>
      <c r="H8" s="8" t="s">
        <v>1558</v>
      </c>
      <c r="I8" s="8" t="s">
        <v>1550</v>
      </c>
    </row>
    <row r="9" customFormat="false" ht="29.25" hidden="false" customHeight="true" outlineLevel="0" collapsed="false">
      <c r="A9" s="27" t="n">
        <v>5</v>
      </c>
      <c r="B9" s="8" t="s">
        <v>1559</v>
      </c>
      <c r="C9" s="29" t="s">
        <v>1560</v>
      </c>
      <c r="D9" s="28" t="n">
        <v>1</v>
      </c>
      <c r="E9" s="8" t="s">
        <v>1561</v>
      </c>
      <c r="F9" s="28" t="n">
        <v>9</v>
      </c>
      <c r="G9" s="27" t="n">
        <f aca="false">F9-D9</f>
        <v>8</v>
      </c>
      <c r="H9" s="8" t="s">
        <v>1562</v>
      </c>
      <c r="I9" s="8" t="s">
        <v>229</v>
      </c>
    </row>
    <row r="10" customFormat="false" ht="29.25" hidden="false" customHeight="true" outlineLevel="0" collapsed="false">
      <c r="A10" s="27" t="n">
        <v>6</v>
      </c>
      <c r="B10" s="8" t="s">
        <v>1563</v>
      </c>
      <c r="C10" s="29" t="s">
        <v>1564</v>
      </c>
      <c r="D10" s="28" t="n">
        <v>1</v>
      </c>
      <c r="E10" s="8" t="s">
        <v>1545</v>
      </c>
      <c r="F10" s="28" t="n">
        <v>12</v>
      </c>
      <c r="G10" s="27" t="n">
        <f aca="false">F10-D10</f>
        <v>11</v>
      </c>
      <c r="H10" s="8" t="s">
        <v>1565</v>
      </c>
      <c r="I10" s="8" t="s">
        <v>1566</v>
      </c>
    </row>
    <row r="11" customFormat="false" ht="29.25" hidden="false" customHeight="true" outlineLevel="0" collapsed="false">
      <c r="A11" s="27" t="n">
        <v>7</v>
      </c>
      <c r="B11" s="8" t="s">
        <v>1567</v>
      </c>
      <c r="C11" s="29" t="s">
        <v>1544</v>
      </c>
      <c r="D11" s="28" t="n">
        <v>1</v>
      </c>
      <c r="E11" s="8" t="s">
        <v>1568</v>
      </c>
      <c r="F11" s="28" t="n">
        <v>13</v>
      </c>
      <c r="G11" s="27" t="n">
        <f aca="false">F11-D11</f>
        <v>12</v>
      </c>
      <c r="H11" s="8" t="s">
        <v>1569</v>
      </c>
      <c r="I11" s="8" t="s">
        <v>1524</v>
      </c>
    </row>
    <row r="12" customFormat="false" ht="29.25" hidden="false" customHeight="true" outlineLevel="0" collapsed="false">
      <c r="A12" s="27" t="n">
        <v>8</v>
      </c>
      <c r="B12" s="8" t="s">
        <v>1570</v>
      </c>
      <c r="C12" s="29" t="s">
        <v>1560</v>
      </c>
      <c r="D12" s="28" t="n">
        <v>2</v>
      </c>
      <c r="E12" s="8" t="s">
        <v>1571</v>
      </c>
      <c r="F12" s="28" t="n">
        <v>11</v>
      </c>
      <c r="G12" s="27" t="n">
        <f aca="false">F12-D12</f>
        <v>9</v>
      </c>
      <c r="H12" s="8" t="s">
        <v>1572</v>
      </c>
      <c r="I12" s="8" t="s">
        <v>103</v>
      </c>
    </row>
    <row r="13" customFormat="false" ht="29.25" hidden="false" customHeight="true" outlineLevel="0" collapsed="false">
      <c r="A13" s="27" t="n">
        <v>9</v>
      </c>
      <c r="B13" s="8" t="s">
        <v>1573</v>
      </c>
      <c r="C13" s="29" t="s">
        <v>1544</v>
      </c>
      <c r="D13" s="28" t="n">
        <v>2</v>
      </c>
      <c r="E13" s="8" t="s">
        <v>1574</v>
      </c>
      <c r="F13" s="28" t="n">
        <v>4</v>
      </c>
      <c r="G13" s="27" t="n">
        <f aca="false">F13-D13</f>
        <v>2</v>
      </c>
      <c r="H13" s="8" t="s">
        <v>1575</v>
      </c>
      <c r="I13" s="8" t="s">
        <v>128</v>
      </c>
    </row>
    <row r="14" customFormat="false" ht="16.5" hidden="false" customHeight="true" outlineLevel="0" collapsed="false">
      <c r="A14" s="27" t="n">
        <v>10</v>
      </c>
      <c r="B14" s="8" t="s">
        <v>1576</v>
      </c>
      <c r="C14" s="29" t="s">
        <v>1548</v>
      </c>
      <c r="D14" s="28" t="n">
        <v>4</v>
      </c>
      <c r="E14" s="8" t="s">
        <v>1577</v>
      </c>
      <c r="F14" s="28" t="n">
        <v>7</v>
      </c>
      <c r="G14" s="27" t="n">
        <f aca="false">F14-D14</f>
        <v>3</v>
      </c>
      <c r="H14" s="8" t="s">
        <v>1578</v>
      </c>
      <c r="I14" s="8" t="s">
        <v>1579</v>
      </c>
    </row>
    <row r="15" customFormat="false" ht="29.25" hidden="false" customHeight="true" outlineLevel="0" collapsed="false">
      <c r="A15" s="27" t="n">
        <v>11</v>
      </c>
      <c r="B15" s="8" t="s">
        <v>1580</v>
      </c>
      <c r="C15" s="29" t="s">
        <v>311</v>
      </c>
      <c r="D15" s="28" t="n">
        <v>4</v>
      </c>
      <c r="E15" s="8" t="s">
        <v>1581</v>
      </c>
      <c r="F15" s="28" t="n">
        <v>12</v>
      </c>
      <c r="G15" s="27" t="n">
        <f aca="false">F15-D15</f>
        <v>8</v>
      </c>
      <c r="H15" s="8" t="s">
        <v>1582</v>
      </c>
      <c r="I15" s="8" t="s">
        <v>128</v>
      </c>
    </row>
    <row r="16" customFormat="false" ht="29.25" hidden="false" customHeight="true" outlineLevel="0" collapsed="false">
      <c r="A16" s="27" t="n">
        <v>12</v>
      </c>
      <c r="B16" s="8" t="s">
        <v>1583</v>
      </c>
      <c r="C16" s="29" t="s">
        <v>1548</v>
      </c>
      <c r="D16" s="28" t="n">
        <v>5</v>
      </c>
      <c r="E16" s="8" t="s">
        <v>1584</v>
      </c>
      <c r="F16" s="28" t="n">
        <v>11</v>
      </c>
      <c r="G16" s="27" t="n">
        <f aca="false">F16-D16</f>
        <v>6</v>
      </c>
      <c r="H16" s="8" t="s">
        <v>1585</v>
      </c>
      <c r="I16" s="8" t="s">
        <v>139</v>
      </c>
    </row>
    <row r="17" customFormat="false" ht="29.25" hidden="false" customHeight="true" outlineLevel="0" collapsed="false">
      <c r="A17" s="27" t="n">
        <v>13</v>
      </c>
      <c r="B17" s="8" t="s">
        <v>1586</v>
      </c>
      <c r="C17" s="29" t="s">
        <v>1544</v>
      </c>
      <c r="D17" s="28" t="n">
        <v>1</v>
      </c>
      <c r="E17" s="8" t="s">
        <v>1545</v>
      </c>
      <c r="F17" s="28" t="n">
        <v>13</v>
      </c>
      <c r="G17" s="27" t="n">
        <f aca="false">F17-D17</f>
        <v>12</v>
      </c>
      <c r="H17" s="8" t="s">
        <v>1587</v>
      </c>
      <c r="I17" s="8" t="s">
        <v>139</v>
      </c>
    </row>
    <row r="18" customFormat="false" ht="29.25" hidden="false" customHeight="true" outlineLevel="0" collapsed="false">
      <c r="A18" s="27" t="n">
        <v>14</v>
      </c>
      <c r="B18" s="8" t="s">
        <v>1588</v>
      </c>
      <c r="C18" s="29" t="s">
        <v>1548</v>
      </c>
      <c r="D18" s="28" t="n">
        <v>3</v>
      </c>
      <c r="E18" s="8" t="s">
        <v>1589</v>
      </c>
      <c r="F18" s="28" t="n">
        <v>13</v>
      </c>
      <c r="G18" s="27" t="n">
        <f aca="false">F18-D18</f>
        <v>10</v>
      </c>
      <c r="H18" s="8" t="s">
        <v>1590</v>
      </c>
      <c r="I18" s="8" t="s">
        <v>116</v>
      </c>
    </row>
    <row r="19" customFormat="false" ht="16.5" hidden="false" customHeight="true" outlineLevel="0" collapsed="false">
      <c r="A19" s="27" t="n">
        <v>15</v>
      </c>
      <c r="B19" s="8" t="s">
        <v>1591</v>
      </c>
      <c r="C19" s="29" t="s">
        <v>1592</v>
      </c>
      <c r="D19" s="28" t="n">
        <v>5</v>
      </c>
      <c r="E19" s="8" t="s">
        <v>1593</v>
      </c>
      <c r="F19" s="28" t="n">
        <v>10</v>
      </c>
      <c r="G19" s="27" t="n">
        <f aca="false">F19-D19</f>
        <v>5</v>
      </c>
      <c r="H19" s="8" t="s">
        <v>1594</v>
      </c>
      <c r="I19" s="8" t="s">
        <v>1595</v>
      </c>
    </row>
    <row r="20" customFormat="false" ht="29.25" hidden="false" customHeight="true" outlineLevel="0" collapsed="false">
      <c r="A20" s="27" t="n">
        <v>16</v>
      </c>
      <c r="B20" s="8" t="s">
        <v>1596</v>
      </c>
      <c r="C20" s="29" t="s">
        <v>311</v>
      </c>
      <c r="D20" s="28" t="n">
        <v>1</v>
      </c>
      <c r="E20" s="8" t="s">
        <v>1597</v>
      </c>
      <c r="F20" s="28" t="n">
        <v>9</v>
      </c>
      <c r="G20" s="27" t="n">
        <f aca="false">F20-D20</f>
        <v>8</v>
      </c>
      <c r="H20" s="8" t="s">
        <v>1598</v>
      </c>
      <c r="I20" s="8" t="s">
        <v>240</v>
      </c>
    </row>
    <row r="21" customFormat="false" ht="29.25" hidden="false" customHeight="true" outlineLevel="0" collapsed="false">
      <c r="A21" s="27" t="n">
        <v>17</v>
      </c>
      <c r="B21" s="8" t="s">
        <v>1599</v>
      </c>
      <c r="C21" s="29" t="s">
        <v>1552</v>
      </c>
      <c r="D21" s="28" t="n">
        <v>2</v>
      </c>
      <c r="E21" s="8" t="s">
        <v>1600</v>
      </c>
      <c r="F21" s="28" t="n">
        <v>12</v>
      </c>
      <c r="G21" s="27" t="n">
        <f aca="false">F21-D21</f>
        <v>10</v>
      </c>
      <c r="H21" s="8" t="s">
        <v>1601</v>
      </c>
      <c r="I21" s="9" t="s">
        <v>1103</v>
      </c>
    </row>
    <row r="22" customFormat="false" ht="29.25" hidden="false" customHeight="true" outlineLevel="0" collapsed="false">
      <c r="A22" s="27" t="n">
        <v>18</v>
      </c>
      <c r="B22" s="8" t="s">
        <v>1602</v>
      </c>
      <c r="C22" s="29" t="s">
        <v>1544</v>
      </c>
      <c r="D22" s="28" t="n">
        <v>1</v>
      </c>
      <c r="E22" s="8" t="s">
        <v>1603</v>
      </c>
      <c r="F22" s="28" t="n">
        <v>12</v>
      </c>
      <c r="G22" s="27" t="n">
        <f aca="false">F22-D22</f>
        <v>11</v>
      </c>
      <c r="H22" s="8" t="s">
        <v>1604</v>
      </c>
      <c r="I22" s="8" t="s">
        <v>252</v>
      </c>
    </row>
    <row r="23" customFormat="false" ht="29.25" hidden="false" customHeight="true" outlineLevel="0" collapsed="false">
      <c r="A23" s="27" t="n">
        <v>19</v>
      </c>
      <c r="B23" s="8" t="s">
        <v>1605</v>
      </c>
      <c r="C23" s="29" t="s">
        <v>1560</v>
      </c>
      <c r="D23" s="28" t="n">
        <v>6</v>
      </c>
      <c r="E23" s="8" t="s">
        <v>1606</v>
      </c>
      <c r="F23" s="28" t="n">
        <v>10</v>
      </c>
      <c r="G23" s="27" t="n">
        <f aca="false">F23-D23</f>
        <v>4</v>
      </c>
      <c r="H23" s="8" t="s">
        <v>1607</v>
      </c>
      <c r="I23" s="8" t="s">
        <v>162</v>
      </c>
    </row>
    <row r="24" customFormat="false" ht="29.25" hidden="false" customHeight="true" outlineLevel="0" collapsed="false">
      <c r="A24" s="27" t="n">
        <v>20</v>
      </c>
      <c r="B24" s="8" t="s">
        <v>1608</v>
      </c>
      <c r="C24" s="29" t="s">
        <v>1544</v>
      </c>
      <c r="D24" s="28" t="n">
        <v>1</v>
      </c>
      <c r="E24" s="8" t="s">
        <v>1609</v>
      </c>
      <c r="F24" s="28" t="n">
        <v>12</v>
      </c>
      <c r="G24" s="27" t="n">
        <f aca="false">F24-D24</f>
        <v>11</v>
      </c>
      <c r="H24" s="8" t="s">
        <v>1610</v>
      </c>
      <c r="I24" s="8" t="s">
        <v>174</v>
      </c>
    </row>
    <row r="25" customFormat="false" ht="29.25" hidden="false" customHeight="true" outlineLevel="0" collapsed="false">
      <c r="A25" s="27" t="n">
        <v>21</v>
      </c>
      <c r="B25" s="8" t="s">
        <v>1611</v>
      </c>
      <c r="C25" s="29" t="s">
        <v>1548</v>
      </c>
      <c r="D25" s="28" t="n">
        <v>1</v>
      </c>
      <c r="E25" s="8" t="s">
        <v>1612</v>
      </c>
      <c r="F25" s="28" t="n">
        <v>13</v>
      </c>
      <c r="G25" s="27" t="n">
        <f aca="false">F25-D25</f>
        <v>12</v>
      </c>
      <c r="H25" s="8" t="s">
        <v>1613</v>
      </c>
      <c r="I25" s="8" t="s">
        <v>207</v>
      </c>
    </row>
    <row r="26" customFormat="false" ht="29.25" hidden="false" customHeight="true" outlineLevel="0" collapsed="false">
      <c r="A26" s="27" t="n">
        <v>22</v>
      </c>
      <c r="B26" s="8" t="s">
        <v>1614</v>
      </c>
      <c r="C26" s="29" t="s">
        <v>1544</v>
      </c>
      <c r="D26" s="28" t="n">
        <v>6</v>
      </c>
      <c r="E26" s="8" t="s">
        <v>1615</v>
      </c>
      <c r="F26" s="28" t="n">
        <v>13</v>
      </c>
      <c r="G26" s="27" t="n">
        <f aca="false">F26-D26</f>
        <v>7</v>
      </c>
      <c r="H26" s="8" t="s">
        <v>1616</v>
      </c>
      <c r="I26" s="8" t="s">
        <v>1532</v>
      </c>
    </row>
    <row r="27" customFormat="false" ht="29.25" hidden="false" customHeight="true" outlineLevel="0" collapsed="false">
      <c r="A27" s="27" t="n">
        <v>23</v>
      </c>
      <c r="B27" s="8" t="s">
        <v>1617</v>
      </c>
      <c r="C27" s="29" t="s">
        <v>433</v>
      </c>
      <c r="D27" s="28" t="n">
        <v>10</v>
      </c>
      <c r="E27" s="8" t="s">
        <v>1618</v>
      </c>
      <c r="F27" s="28" t="n">
        <v>12</v>
      </c>
      <c r="G27" s="27" t="n">
        <f aca="false">F27-D27</f>
        <v>2</v>
      </c>
      <c r="H27" s="8" t="s">
        <v>1619</v>
      </c>
      <c r="I27" s="8" t="s">
        <v>1620</v>
      </c>
    </row>
    <row r="28" customFormat="false" ht="29.25" hidden="false" customHeight="true" outlineLevel="0" collapsed="false">
      <c r="A28" s="27" t="n">
        <v>24</v>
      </c>
      <c r="B28" s="9" t="s">
        <v>1621</v>
      </c>
      <c r="C28" s="29" t="s">
        <v>433</v>
      </c>
      <c r="D28" s="28" t="n">
        <v>7</v>
      </c>
      <c r="E28" s="8" t="s">
        <v>1622</v>
      </c>
      <c r="F28" s="28" t="n">
        <v>8</v>
      </c>
      <c r="G28" s="27" t="n">
        <f aca="false">F28-D28</f>
        <v>1</v>
      </c>
      <c r="H28" s="8" t="s">
        <v>1623</v>
      </c>
      <c r="I28" s="8" t="s">
        <v>1624</v>
      </c>
    </row>
    <row r="29" customFormat="false" ht="29.25" hidden="false" customHeight="true" outlineLevel="0" collapsed="false">
      <c r="A29" s="27" t="n">
        <v>25</v>
      </c>
      <c r="B29" s="8" t="s">
        <v>1625</v>
      </c>
      <c r="C29" s="29" t="s">
        <v>1560</v>
      </c>
      <c r="D29" s="28" t="n">
        <v>11</v>
      </c>
      <c r="E29" s="8" t="s">
        <v>1626</v>
      </c>
      <c r="F29" s="28" t="n">
        <v>12</v>
      </c>
      <c r="G29" s="27" t="n">
        <f aca="false">F29-D29</f>
        <v>1</v>
      </c>
      <c r="H29" s="8" t="s">
        <v>1627</v>
      </c>
      <c r="I29" s="8" t="s">
        <v>1402</v>
      </c>
    </row>
    <row r="30" customFormat="false" ht="29.25" hidden="false" customHeight="true" outlineLevel="0" collapsed="false">
      <c r="A30" s="27" t="n">
        <v>26</v>
      </c>
      <c r="B30" s="8" t="s">
        <v>1628</v>
      </c>
      <c r="C30" s="29" t="s">
        <v>1544</v>
      </c>
      <c r="D30" s="28" t="n">
        <v>11</v>
      </c>
      <c r="E30" s="8" t="s">
        <v>1629</v>
      </c>
      <c r="F30" s="28" t="n">
        <v>12</v>
      </c>
      <c r="G30" s="27" t="n">
        <f aca="false">F30-D30</f>
        <v>1</v>
      </c>
      <c r="H30" s="8" t="s">
        <v>1630</v>
      </c>
      <c r="I30" s="8" t="s">
        <v>1631</v>
      </c>
    </row>
    <row r="31" customFormat="false" ht="29.25" hidden="false" customHeight="true" outlineLevel="0" collapsed="false">
      <c r="A31" s="27" t="n">
        <v>27</v>
      </c>
      <c r="B31" s="8" t="s">
        <v>1632</v>
      </c>
      <c r="C31" s="29" t="s">
        <v>1560</v>
      </c>
      <c r="D31" s="28" t="n">
        <v>7</v>
      </c>
      <c r="E31" s="8" t="s">
        <v>1633</v>
      </c>
      <c r="F31" s="28" t="n">
        <v>12</v>
      </c>
      <c r="G31" s="27" t="n">
        <f aca="false">F31-D31</f>
        <v>5</v>
      </c>
      <c r="H31" s="8" t="s">
        <v>1634</v>
      </c>
      <c r="I31" s="8" t="s">
        <v>1635</v>
      </c>
    </row>
    <row r="32" customFormat="false" ht="29.25" hidden="false" customHeight="true" outlineLevel="0" collapsed="false">
      <c r="A32" s="27" t="n">
        <v>28</v>
      </c>
      <c r="B32" s="8" t="s">
        <v>1636</v>
      </c>
      <c r="C32" s="29" t="s">
        <v>1544</v>
      </c>
      <c r="D32" s="28" t="n">
        <v>1</v>
      </c>
      <c r="E32" s="8" t="s">
        <v>1637</v>
      </c>
      <c r="F32" s="28" t="n">
        <v>9</v>
      </c>
      <c r="G32" s="27" t="n">
        <f aca="false">F32-D32</f>
        <v>8</v>
      </c>
      <c r="H32" s="8" t="s">
        <v>1638</v>
      </c>
      <c r="I32" s="8" t="s">
        <v>1639</v>
      </c>
    </row>
    <row r="34" customFormat="false" ht="15" hidden="false" customHeight="true" outlineLevel="0" collapsed="false">
      <c r="B34" s="63" t="s">
        <v>1640</v>
      </c>
      <c r="G34" s="65" t="n">
        <f aca="false">AVERAGE(G5:G32)</f>
        <v>7.39285714285714</v>
      </c>
    </row>
    <row r="35" customFormat="false" ht="15" hidden="false" customHeight="true" outlineLevel="0" collapsed="false">
      <c r="B35" s="63" t="s">
        <v>1641</v>
      </c>
      <c r="G35" s="63" t="n">
        <f aca="false">MAX(G5:G32)</f>
        <v>12</v>
      </c>
    </row>
    <row r="36" customFormat="false" ht="15" hidden="false" customHeight="true" outlineLevel="0" collapsed="false">
      <c r="B36" s="63" t="s">
        <v>1642</v>
      </c>
      <c r="G36" s="63" t="n">
        <f aca="false">COUNTA(B5:B32)</f>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M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9"/>
    <col collapsed="false" customWidth="true" hidden="false" outlineLevel="0" max="3" min="3" style="1" width="22"/>
    <col collapsed="false" customWidth="true" hidden="false" outlineLevel="0" max="4" min="4" style="1" width="26"/>
    <col collapsed="false" customWidth="true" hidden="false" outlineLevel="0" max="5" min="5" style="1" width="46"/>
    <col collapsed="false" customWidth="true" hidden="false" outlineLevel="0" max="6" min="6" style="1" width="36"/>
    <col collapsed="false" customWidth="true" hidden="false" outlineLevel="0" max="7" min="7" style="1" width="32"/>
    <col collapsed="false" customWidth="true" hidden="false" outlineLevel="0" max="9" min="8" style="1" width="24"/>
    <col collapsed="false" customWidth="true" hidden="false" outlineLevel="0" max="10" min="10" style="1" width="42"/>
    <col collapsed="false" customWidth="true" hidden="false" outlineLevel="0" max="11" min="11" style="1" width="34"/>
    <col collapsed="false" customWidth="true" hidden="false" outlineLevel="0" max="12" min="12" style="1" width="38"/>
    <col collapsed="false" customWidth="true" hidden="false" outlineLevel="0" max="13" min="13" style="1" width="36"/>
  </cols>
  <sheetData>
    <row r="1" customFormat="false" ht="24" hidden="false" customHeight="true" outlineLevel="0" collapsed="false">
      <c r="A1" s="24" t="s">
        <v>1643</v>
      </c>
    </row>
    <row r="2" customFormat="false" ht="15" hidden="false" customHeight="true" outlineLevel="0" collapsed="false">
      <c r="A2" s="23" t="s">
        <v>1644</v>
      </c>
    </row>
    <row r="4" customFormat="false" ht="19.5" hidden="false" customHeight="true" outlineLevel="0" collapsed="false">
      <c r="A4" s="25" t="s">
        <v>1645</v>
      </c>
      <c r="B4" s="26" t="s">
        <v>1646</v>
      </c>
      <c r="C4" s="26" t="s">
        <v>50</v>
      </c>
      <c r="D4" s="26" t="s">
        <v>1647</v>
      </c>
      <c r="E4" s="26" t="s">
        <v>1648</v>
      </c>
      <c r="F4" s="26" t="s">
        <v>1649</v>
      </c>
      <c r="G4" s="26" t="s">
        <v>1650</v>
      </c>
      <c r="H4" s="26" t="s">
        <v>724</v>
      </c>
      <c r="I4" s="26" t="s">
        <v>1651</v>
      </c>
      <c r="J4" s="26" t="s">
        <v>1652</v>
      </c>
      <c r="K4" s="26" t="s">
        <v>1653</v>
      </c>
      <c r="L4" s="26" t="s">
        <v>1654</v>
      </c>
      <c r="M4" s="26" t="s">
        <v>1655</v>
      </c>
    </row>
    <row r="5" customFormat="false" ht="42" hidden="false" customHeight="true" outlineLevel="0" collapsed="false">
      <c r="A5" s="66" t="s">
        <v>1169</v>
      </c>
      <c r="B5" s="29" t="s">
        <v>433</v>
      </c>
      <c r="C5" s="9" t="s">
        <v>1656</v>
      </c>
      <c r="D5" s="8" t="s">
        <v>1657</v>
      </c>
      <c r="E5" s="9" t="s">
        <v>1658</v>
      </c>
      <c r="F5" s="8" t="s">
        <v>1659</v>
      </c>
      <c r="G5" s="8" t="s">
        <v>1660</v>
      </c>
      <c r="H5" s="8" t="s">
        <v>1661</v>
      </c>
      <c r="I5" s="9" t="s">
        <v>1662</v>
      </c>
      <c r="J5" s="9" t="s">
        <v>1663</v>
      </c>
      <c r="K5" s="8" t="s">
        <v>1664</v>
      </c>
      <c r="L5" s="9" t="s">
        <v>1665</v>
      </c>
      <c r="M5" s="9" t="s">
        <v>1666</v>
      </c>
    </row>
    <row r="6" customFormat="false" ht="54.75" hidden="false" customHeight="true" outlineLevel="0" collapsed="false">
      <c r="A6" s="66" t="s">
        <v>1667</v>
      </c>
      <c r="B6" s="29" t="s">
        <v>433</v>
      </c>
      <c r="C6" s="9" t="s">
        <v>1668</v>
      </c>
      <c r="D6" s="8" t="s">
        <v>1669</v>
      </c>
      <c r="E6" s="9" t="s">
        <v>1670</v>
      </c>
      <c r="F6" s="8" t="s">
        <v>1671</v>
      </c>
      <c r="G6" s="8" t="s">
        <v>1672</v>
      </c>
      <c r="H6" s="8" t="s">
        <v>1673</v>
      </c>
      <c r="I6" s="9" t="s">
        <v>1674</v>
      </c>
      <c r="J6" s="9" t="s">
        <v>1675</v>
      </c>
      <c r="K6" s="8" t="s">
        <v>1676</v>
      </c>
      <c r="L6" s="9" t="s">
        <v>1677</v>
      </c>
      <c r="M6" s="9" t="s">
        <v>1678</v>
      </c>
    </row>
    <row r="7" customFormat="false" ht="42" hidden="false" customHeight="true" outlineLevel="0" collapsed="false">
      <c r="A7" s="66" t="s">
        <v>907</v>
      </c>
      <c r="B7" s="29" t="s">
        <v>433</v>
      </c>
      <c r="C7" s="9" t="s">
        <v>1679</v>
      </c>
      <c r="D7" s="8" t="s">
        <v>1680</v>
      </c>
      <c r="E7" s="9" t="s">
        <v>1681</v>
      </c>
      <c r="F7" s="8" t="s">
        <v>1682</v>
      </c>
      <c r="G7" s="8" t="s">
        <v>1683</v>
      </c>
      <c r="H7" s="8" t="s">
        <v>1684</v>
      </c>
      <c r="I7" s="9" t="s">
        <v>1685</v>
      </c>
      <c r="J7" s="9" t="s">
        <v>1686</v>
      </c>
      <c r="K7" s="8" t="s">
        <v>1687</v>
      </c>
      <c r="L7" s="9" t="s">
        <v>1688</v>
      </c>
      <c r="M7" s="17" t="s">
        <v>1689</v>
      </c>
    </row>
    <row r="8" customFormat="false" ht="42" hidden="false" customHeight="true" outlineLevel="0" collapsed="false">
      <c r="A8" s="66" t="s">
        <v>733</v>
      </c>
      <c r="B8" s="29" t="s">
        <v>1690</v>
      </c>
      <c r="C8" s="9" t="s">
        <v>1691</v>
      </c>
      <c r="D8" s="8" t="s">
        <v>1692</v>
      </c>
      <c r="E8" s="9" t="s">
        <v>1693</v>
      </c>
      <c r="F8" s="8" t="s">
        <v>1694</v>
      </c>
      <c r="G8" s="8" t="s">
        <v>1695</v>
      </c>
      <c r="H8" s="8" t="s">
        <v>1696</v>
      </c>
      <c r="I8" s="9" t="s">
        <v>1697</v>
      </c>
      <c r="J8" s="9" t="s">
        <v>1698</v>
      </c>
      <c r="K8" s="8" t="s">
        <v>1699</v>
      </c>
      <c r="L8" s="9" t="s">
        <v>1700</v>
      </c>
      <c r="M8" s="9" t="s">
        <v>1701</v>
      </c>
    </row>
    <row r="9" customFormat="false" ht="42" hidden="false" customHeight="true" outlineLevel="0" collapsed="false">
      <c r="A9" s="66" t="s">
        <v>1004</v>
      </c>
      <c r="B9" s="29" t="s">
        <v>1690</v>
      </c>
      <c r="C9" s="9" t="s">
        <v>1702</v>
      </c>
      <c r="D9" s="8" t="s">
        <v>1703</v>
      </c>
      <c r="E9" s="8" t="s">
        <v>1704</v>
      </c>
      <c r="F9" s="8" t="s">
        <v>1705</v>
      </c>
      <c r="G9" s="8" t="s">
        <v>1706</v>
      </c>
      <c r="H9" s="8" t="s">
        <v>1707</v>
      </c>
      <c r="I9" s="9" t="s">
        <v>1708</v>
      </c>
      <c r="J9" s="9" t="s">
        <v>1709</v>
      </c>
      <c r="K9" s="8" t="s">
        <v>1710</v>
      </c>
      <c r="L9" s="8" t="s">
        <v>1711</v>
      </c>
      <c r="M9" s="9" t="s">
        <v>1712</v>
      </c>
    </row>
    <row r="10" customFormat="false" ht="42" hidden="false" customHeight="true" outlineLevel="0" collapsed="false">
      <c r="A10" s="66" t="s">
        <v>783</v>
      </c>
      <c r="B10" s="29" t="s">
        <v>1690</v>
      </c>
      <c r="C10" s="9" t="s">
        <v>1713</v>
      </c>
      <c r="D10" s="8" t="s">
        <v>1714</v>
      </c>
      <c r="E10" s="9" t="s">
        <v>1715</v>
      </c>
      <c r="F10" s="8" t="s">
        <v>1716</v>
      </c>
      <c r="G10" s="8" t="s">
        <v>1717</v>
      </c>
      <c r="H10" s="8" t="s">
        <v>1718</v>
      </c>
      <c r="I10" s="9" t="s">
        <v>1719</v>
      </c>
      <c r="J10" s="9" t="s">
        <v>1720</v>
      </c>
      <c r="K10" s="8" t="s">
        <v>1721</v>
      </c>
      <c r="L10" s="9" t="s">
        <v>1722</v>
      </c>
      <c r="M10" s="9" t="s">
        <v>1723</v>
      </c>
    </row>
    <row r="11" customFormat="false" ht="42" hidden="false" customHeight="true" outlineLevel="0" collapsed="false">
      <c r="A11" s="66" t="s">
        <v>746</v>
      </c>
      <c r="B11" s="29" t="s">
        <v>1724</v>
      </c>
      <c r="C11" s="9" t="s">
        <v>1725</v>
      </c>
      <c r="D11" s="8" t="s">
        <v>1726</v>
      </c>
      <c r="E11" s="9" t="s">
        <v>1727</v>
      </c>
      <c r="F11" s="8" t="s">
        <v>1728</v>
      </c>
      <c r="G11" s="8" t="s">
        <v>1729</v>
      </c>
      <c r="H11" s="8" t="s">
        <v>1730</v>
      </c>
      <c r="I11" s="9" t="s">
        <v>1731</v>
      </c>
      <c r="J11" s="9" t="s">
        <v>1732</v>
      </c>
      <c r="K11" s="8" t="s">
        <v>1733</v>
      </c>
      <c r="L11" s="9" t="s">
        <v>1734</v>
      </c>
      <c r="M11" s="8" t="s">
        <v>1735</v>
      </c>
    </row>
    <row r="12" customFormat="false" ht="42" hidden="false" customHeight="true" outlineLevel="0" collapsed="false">
      <c r="A12" s="66" t="s">
        <v>770</v>
      </c>
      <c r="B12" s="29" t="s">
        <v>1724</v>
      </c>
      <c r="C12" s="9" t="s">
        <v>1736</v>
      </c>
      <c r="D12" s="8" t="s">
        <v>1737</v>
      </c>
      <c r="E12" s="8" t="s">
        <v>1738</v>
      </c>
      <c r="F12" s="8" t="s">
        <v>1739</v>
      </c>
      <c r="G12" s="8" t="s">
        <v>1740</v>
      </c>
      <c r="H12" s="8" t="s">
        <v>1741</v>
      </c>
      <c r="I12" s="9" t="s">
        <v>1742</v>
      </c>
      <c r="J12" s="9" t="s">
        <v>1743</v>
      </c>
      <c r="K12" s="8" t="s">
        <v>1744</v>
      </c>
      <c r="L12" s="9" t="s">
        <v>1745</v>
      </c>
      <c r="M12" s="9" t="s">
        <v>1746</v>
      </c>
    </row>
    <row r="13" customFormat="false" ht="54.75" hidden="false" customHeight="true" outlineLevel="0" collapsed="false">
      <c r="A13" s="66" t="s">
        <v>890</v>
      </c>
      <c r="B13" s="29" t="s">
        <v>1724</v>
      </c>
      <c r="C13" s="9" t="s">
        <v>1747</v>
      </c>
      <c r="D13" s="8" t="s">
        <v>1748</v>
      </c>
      <c r="E13" s="9" t="s">
        <v>1749</v>
      </c>
      <c r="F13" s="8" t="s">
        <v>1750</v>
      </c>
      <c r="G13" s="8" t="s">
        <v>1751</v>
      </c>
      <c r="H13" s="8" t="s">
        <v>1752</v>
      </c>
      <c r="I13" s="9" t="s">
        <v>1753</v>
      </c>
      <c r="J13" s="17" t="s">
        <v>1754</v>
      </c>
      <c r="K13" s="8" t="s">
        <v>1755</v>
      </c>
      <c r="L13" s="8" t="s">
        <v>1756</v>
      </c>
      <c r="M13" s="9" t="s">
        <v>1757</v>
      </c>
    </row>
    <row r="14" customFormat="false" ht="42" hidden="false" customHeight="true" outlineLevel="0" collapsed="false">
      <c r="A14" s="66" t="s">
        <v>922</v>
      </c>
      <c r="B14" s="29" t="s">
        <v>1724</v>
      </c>
      <c r="C14" s="9" t="s">
        <v>1758</v>
      </c>
      <c r="D14" s="8" t="s">
        <v>1759</v>
      </c>
      <c r="E14" s="9" t="s">
        <v>1760</v>
      </c>
      <c r="F14" s="8" t="s">
        <v>1761</v>
      </c>
      <c r="G14" s="8" t="s">
        <v>1762</v>
      </c>
      <c r="H14" s="8" t="s">
        <v>1763</v>
      </c>
      <c r="I14" s="9" t="s">
        <v>1764</v>
      </c>
      <c r="J14" s="9" t="s">
        <v>1765</v>
      </c>
      <c r="K14" s="8" t="s">
        <v>1766</v>
      </c>
      <c r="L14" s="9" t="s">
        <v>1767</v>
      </c>
      <c r="M14" s="9" t="s">
        <v>1768</v>
      </c>
    </row>
    <row r="15" customFormat="false" ht="42" hidden="false" customHeight="true" outlineLevel="0" collapsed="false">
      <c r="A15" s="66" t="s">
        <v>1769</v>
      </c>
      <c r="B15" s="29" t="s">
        <v>1770</v>
      </c>
      <c r="C15" s="9" t="s">
        <v>1771</v>
      </c>
      <c r="D15" s="8" t="s">
        <v>1772</v>
      </c>
      <c r="E15" s="9" t="s">
        <v>1773</v>
      </c>
      <c r="F15" s="8" t="s">
        <v>1774</v>
      </c>
      <c r="G15" s="8" t="s">
        <v>1775</v>
      </c>
      <c r="H15" s="8" t="s">
        <v>1458</v>
      </c>
      <c r="I15" s="9" t="s">
        <v>1776</v>
      </c>
      <c r="J15" s="9" t="s">
        <v>1777</v>
      </c>
      <c r="K15" s="8" t="s">
        <v>1778</v>
      </c>
      <c r="L15" s="9" t="s">
        <v>1779</v>
      </c>
      <c r="M15" s="17" t="s">
        <v>1780</v>
      </c>
    </row>
    <row r="16" customFormat="false" ht="42" hidden="false" customHeight="true" outlineLevel="0" collapsed="false">
      <c r="A16" s="66" t="s">
        <v>1250</v>
      </c>
      <c r="B16" s="29" t="s">
        <v>1781</v>
      </c>
      <c r="C16" s="9" t="s">
        <v>1782</v>
      </c>
      <c r="D16" s="8" t="s">
        <v>1783</v>
      </c>
      <c r="E16" s="9" t="s">
        <v>1784</v>
      </c>
      <c r="F16" s="8" t="s">
        <v>1785</v>
      </c>
      <c r="G16" s="8" t="s">
        <v>1786</v>
      </c>
      <c r="H16" s="8" t="s">
        <v>1787</v>
      </c>
      <c r="I16" s="9" t="s">
        <v>1788</v>
      </c>
      <c r="J16" s="9" t="s">
        <v>1789</v>
      </c>
      <c r="K16" s="8" t="s">
        <v>1790</v>
      </c>
      <c r="L16" s="8" t="s">
        <v>1791</v>
      </c>
      <c r="M16" s="9" t="s">
        <v>1792</v>
      </c>
    </row>
    <row r="17" customFormat="false" ht="67.5" hidden="false" customHeight="true" outlineLevel="0" collapsed="false">
      <c r="A17" s="66" t="s">
        <v>1397</v>
      </c>
      <c r="B17" s="29" t="s">
        <v>1793</v>
      </c>
      <c r="C17" s="17" t="s">
        <v>1794</v>
      </c>
      <c r="D17" s="8" t="s">
        <v>1795</v>
      </c>
      <c r="E17" s="8" t="s">
        <v>1796</v>
      </c>
      <c r="F17" s="8" t="s">
        <v>1797</v>
      </c>
      <c r="G17" s="8" t="s">
        <v>1798</v>
      </c>
      <c r="H17" s="8" t="s">
        <v>1799</v>
      </c>
      <c r="I17" s="9" t="s">
        <v>1800</v>
      </c>
      <c r="J17" s="9" t="s">
        <v>1801</v>
      </c>
      <c r="K17" s="8" t="s">
        <v>1802</v>
      </c>
      <c r="L17" s="9" t="s">
        <v>1803</v>
      </c>
      <c r="M17" s="9" t="s">
        <v>1804</v>
      </c>
    </row>
    <row r="18" customFormat="false" ht="54.75" hidden="false" customHeight="true" outlineLevel="0" collapsed="false">
      <c r="A18" s="66" t="s">
        <v>1123</v>
      </c>
      <c r="B18" s="29" t="s">
        <v>1805</v>
      </c>
      <c r="C18" s="9" t="s">
        <v>1806</v>
      </c>
      <c r="D18" s="8" t="s">
        <v>1807</v>
      </c>
      <c r="E18" s="9" t="s">
        <v>1808</v>
      </c>
      <c r="F18" s="8" t="s">
        <v>1809</v>
      </c>
      <c r="G18" s="8" t="s">
        <v>1810</v>
      </c>
      <c r="H18" s="8" t="s">
        <v>1122</v>
      </c>
      <c r="I18" s="9" t="s">
        <v>1811</v>
      </c>
      <c r="J18" s="9" t="s">
        <v>1812</v>
      </c>
      <c r="K18" s="8" t="s">
        <v>1813</v>
      </c>
      <c r="L18" s="9" t="s">
        <v>1814</v>
      </c>
      <c r="M18" s="9" t="s">
        <v>1815</v>
      </c>
    </row>
    <row r="19" customFormat="false" ht="42" hidden="false" customHeight="true" outlineLevel="0" collapsed="false">
      <c r="A19" s="66" t="s">
        <v>1816</v>
      </c>
      <c r="B19" s="29" t="s">
        <v>1817</v>
      </c>
      <c r="C19" s="9" t="s">
        <v>1818</v>
      </c>
      <c r="D19" s="8" t="s">
        <v>1819</v>
      </c>
      <c r="E19" s="9" t="s">
        <v>1820</v>
      </c>
      <c r="F19" s="8" t="s">
        <v>1821</v>
      </c>
      <c r="G19" s="8" t="s">
        <v>1822</v>
      </c>
      <c r="H19" s="8" t="s">
        <v>1823</v>
      </c>
      <c r="I19" s="9" t="s">
        <v>1824</v>
      </c>
      <c r="J19" s="9" t="s">
        <v>1825</v>
      </c>
      <c r="K19" s="8" t="s">
        <v>1826</v>
      </c>
      <c r="L19" s="9" t="s">
        <v>1827</v>
      </c>
      <c r="M19" s="9" t="s">
        <v>1828</v>
      </c>
    </row>
    <row r="20" customFormat="false" ht="42" hidden="false" customHeight="true" outlineLevel="0" collapsed="false">
      <c r="A20" s="66" t="s">
        <v>1436</v>
      </c>
      <c r="B20" s="29" t="s">
        <v>1829</v>
      </c>
      <c r="C20" s="9" t="s">
        <v>1830</v>
      </c>
      <c r="D20" s="8" t="s">
        <v>1831</v>
      </c>
      <c r="E20" s="9" t="s">
        <v>1832</v>
      </c>
      <c r="F20" s="8" t="s">
        <v>1833</v>
      </c>
      <c r="G20" s="8" t="s">
        <v>1834</v>
      </c>
      <c r="H20" s="8" t="s">
        <v>1435</v>
      </c>
      <c r="I20" s="9" t="s">
        <v>1835</v>
      </c>
      <c r="J20" s="9" t="s">
        <v>1836</v>
      </c>
      <c r="K20" s="8" t="s">
        <v>1837</v>
      </c>
      <c r="L20" s="9" t="s">
        <v>1838</v>
      </c>
      <c r="M20" s="9" t="s">
        <v>1839</v>
      </c>
    </row>
    <row r="21" customFormat="false" ht="42" hidden="false" customHeight="true" outlineLevel="0" collapsed="false">
      <c r="A21" s="66" t="s">
        <v>1442</v>
      </c>
      <c r="B21" s="29" t="s">
        <v>1840</v>
      </c>
      <c r="C21" s="9" t="s">
        <v>1841</v>
      </c>
      <c r="D21" s="8" t="s">
        <v>1842</v>
      </c>
      <c r="E21" s="9" t="s">
        <v>1843</v>
      </c>
      <c r="F21" s="8" t="s">
        <v>1844</v>
      </c>
      <c r="G21" s="8" t="s">
        <v>1845</v>
      </c>
      <c r="H21" s="8" t="s">
        <v>1441</v>
      </c>
      <c r="I21" s="9" t="s">
        <v>1846</v>
      </c>
      <c r="J21" s="9" t="s">
        <v>1847</v>
      </c>
      <c r="K21" s="8" t="s">
        <v>1848</v>
      </c>
      <c r="L21" s="9" t="s">
        <v>1849</v>
      </c>
      <c r="M21" s="9" t="s">
        <v>1850</v>
      </c>
    </row>
    <row r="22" customFormat="false" ht="42" hidden="false" customHeight="true" outlineLevel="0" collapsed="false">
      <c r="A22" s="66" t="s">
        <v>1448</v>
      </c>
      <c r="B22" s="29" t="s">
        <v>1724</v>
      </c>
      <c r="C22" s="9" t="s">
        <v>1851</v>
      </c>
      <c r="D22" s="8" t="s">
        <v>1852</v>
      </c>
      <c r="E22" s="9" t="s">
        <v>1853</v>
      </c>
      <c r="F22" s="8" t="s">
        <v>1854</v>
      </c>
      <c r="G22" s="8" t="s">
        <v>1855</v>
      </c>
      <c r="H22" s="8" t="s">
        <v>1447</v>
      </c>
      <c r="I22" s="9" t="s">
        <v>1856</v>
      </c>
      <c r="J22" s="9" t="s">
        <v>1857</v>
      </c>
      <c r="K22" s="8" t="s">
        <v>1858</v>
      </c>
      <c r="L22" s="9" t="s">
        <v>1859</v>
      </c>
      <c r="M22" s="9" t="s">
        <v>1860</v>
      </c>
    </row>
    <row r="24" customFormat="false" ht="18" hidden="false" customHeight="true" outlineLevel="0" collapsed="false">
      <c r="A24" s="4" t="s">
        <v>1861</v>
      </c>
      <c r="B24" s="5"/>
      <c r="C24" s="5"/>
      <c r="D24" s="5"/>
      <c r="E24" s="5"/>
      <c r="F24" s="5"/>
      <c r="G24" s="5"/>
      <c r="H24" s="5"/>
      <c r="I24" s="5"/>
      <c r="J24" s="5"/>
      <c r="K24" s="5"/>
      <c r="L24" s="5"/>
      <c r="M24" s="5"/>
    </row>
    <row r="25" customFormat="false" ht="19.5" hidden="false" customHeight="true" outlineLevel="0" collapsed="false">
      <c r="A25" s="25" t="s">
        <v>83</v>
      </c>
      <c r="B25" s="26" t="s">
        <v>1862</v>
      </c>
      <c r="C25" s="26" t="s">
        <v>1863</v>
      </c>
      <c r="D25" s="26" t="s">
        <v>1864</v>
      </c>
      <c r="E25" s="26" t="s">
        <v>1865</v>
      </c>
    </row>
    <row r="26" customFormat="false" ht="29.25" hidden="false" customHeight="true" outlineLevel="0" collapsed="false">
      <c r="A26" s="27" t="n">
        <v>1</v>
      </c>
      <c r="B26" s="9" t="s">
        <v>1690</v>
      </c>
      <c r="C26" s="9" t="s">
        <v>1866</v>
      </c>
      <c r="D26" s="9" t="s">
        <v>1867</v>
      </c>
      <c r="E26" s="9" t="s">
        <v>1868</v>
      </c>
    </row>
    <row r="27" customFormat="false" ht="29.25" hidden="false" customHeight="true" outlineLevel="0" collapsed="false">
      <c r="A27" s="27" t="n">
        <v>2</v>
      </c>
      <c r="B27" s="9" t="s">
        <v>1724</v>
      </c>
      <c r="C27" s="8" t="s">
        <v>1869</v>
      </c>
      <c r="D27" s="9" t="s">
        <v>1870</v>
      </c>
      <c r="E27" s="8" t="s">
        <v>1871</v>
      </c>
    </row>
    <row r="28" customFormat="false" ht="29.25" hidden="false" customHeight="true" outlineLevel="0" collapsed="false">
      <c r="A28" s="27" t="n">
        <v>3</v>
      </c>
      <c r="B28" s="9" t="s">
        <v>433</v>
      </c>
      <c r="C28" s="9" t="s">
        <v>1872</v>
      </c>
      <c r="D28" s="9" t="s">
        <v>1873</v>
      </c>
      <c r="E28" s="9" t="s">
        <v>1874</v>
      </c>
    </row>
    <row r="29" customFormat="false" ht="42" hidden="false" customHeight="true" outlineLevel="0" collapsed="false">
      <c r="A29" s="27" t="n">
        <v>4</v>
      </c>
      <c r="B29" s="9" t="s">
        <v>1875</v>
      </c>
      <c r="C29" s="9" t="s">
        <v>1876</v>
      </c>
      <c r="D29" s="9" t="s">
        <v>1877</v>
      </c>
      <c r="E29" s="9" t="s">
        <v>1878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Q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15" min="3" style="1" width="6"/>
    <col collapsed="false" customWidth="true" hidden="false" outlineLevel="0" max="17" min="16" style="1" width="10"/>
  </cols>
  <sheetData>
    <row r="1" customFormat="false" ht="24" hidden="false" customHeight="true" outlineLevel="0" collapsed="false">
      <c r="A1" s="24" t="s">
        <v>1879</v>
      </c>
    </row>
    <row r="2" customFormat="false" ht="15" hidden="false" customHeight="true" outlineLevel="0" collapsed="false">
      <c r="A2" s="3" t="s">
        <v>1880</v>
      </c>
    </row>
    <row r="4" customFormat="false" ht="21.75" hidden="false" customHeight="true" outlineLevel="0" collapsed="false">
      <c r="A4" s="25" t="s">
        <v>1645</v>
      </c>
      <c r="B4" s="26" t="s">
        <v>50</v>
      </c>
      <c r="C4" s="25" t="s">
        <v>313</v>
      </c>
      <c r="D4" s="25" t="s">
        <v>314</v>
      </c>
      <c r="E4" s="25" t="s">
        <v>315</v>
      </c>
      <c r="F4" s="25" t="s">
        <v>316</v>
      </c>
      <c r="G4" s="25" t="s">
        <v>317</v>
      </c>
      <c r="H4" s="25" t="s">
        <v>318</v>
      </c>
      <c r="I4" s="25" t="s">
        <v>319</v>
      </c>
      <c r="J4" s="25" t="s">
        <v>320</v>
      </c>
      <c r="K4" s="25" t="s">
        <v>321</v>
      </c>
      <c r="L4" s="25" t="s">
        <v>322</v>
      </c>
      <c r="M4" s="25" t="s">
        <v>323</v>
      </c>
      <c r="N4" s="25" t="s">
        <v>324</v>
      </c>
      <c r="O4" s="25" t="s">
        <v>701</v>
      </c>
      <c r="P4" s="26" t="s">
        <v>1881</v>
      </c>
      <c r="Q4" s="26" t="s">
        <v>1882</v>
      </c>
    </row>
    <row r="5" customFormat="false" ht="15" hidden="false" customHeight="true" outlineLevel="0" collapsed="false">
      <c r="A5" s="49" t="s">
        <v>1169</v>
      </c>
      <c r="B5" s="67" t="s">
        <v>1883</v>
      </c>
      <c r="C5" s="31"/>
      <c r="D5" s="31"/>
      <c r="E5" s="31"/>
      <c r="F5" s="31"/>
      <c r="G5" s="31"/>
      <c r="H5" s="31"/>
      <c r="I5" s="31" t="s">
        <v>1884</v>
      </c>
      <c r="J5" s="31" t="s">
        <v>1884</v>
      </c>
      <c r="K5" s="31"/>
      <c r="L5" s="31"/>
      <c r="M5" s="31"/>
      <c r="N5" s="31" t="s">
        <v>1885</v>
      </c>
      <c r="O5" s="31" t="s">
        <v>1884</v>
      </c>
      <c r="P5" s="32" t="n">
        <f aca="false">COUNTIF(C5:O5,"●")</f>
        <v>1</v>
      </c>
      <c r="Q5" s="32" t="n">
        <f aca="false">COUNTIF(C5:O5,"○")</f>
        <v>3</v>
      </c>
    </row>
    <row r="6" customFormat="false" ht="15" hidden="false" customHeight="true" outlineLevel="0" collapsed="false">
      <c r="A6" s="49" t="s">
        <v>1667</v>
      </c>
      <c r="B6" s="67" t="s">
        <v>1886</v>
      </c>
      <c r="C6" s="31"/>
      <c r="D6" s="31"/>
      <c r="E6" s="31"/>
      <c r="F6" s="31"/>
      <c r="G6" s="31"/>
      <c r="H6" s="31"/>
      <c r="I6" s="31"/>
      <c r="J6" s="31"/>
      <c r="K6" s="31"/>
      <c r="L6" s="31"/>
      <c r="M6" s="31"/>
      <c r="N6" s="31" t="s">
        <v>1885</v>
      </c>
      <c r="O6" s="31" t="s">
        <v>1884</v>
      </c>
      <c r="P6" s="32" t="n">
        <f aca="false">COUNTIF(C6:O6,"●")</f>
        <v>1</v>
      </c>
      <c r="Q6" s="32" t="n">
        <f aca="false">COUNTIF(C6:O6,"○")</f>
        <v>1</v>
      </c>
    </row>
    <row r="7" customFormat="false" ht="15" hidden="false" customHeight="true" outlineLevel="0" collapsed="false">
      <c r="A7" s="49" t="s">
        <v>907</v>
      </c>
      <c r="B7" s="67" t="s">
        <v>1887</v>
      </c>
      <c r="C7" s="31"/>
      <c r="D7" s="31" t="s">
        <v>1884</v>
      </c>
      <c r="E7" s="31" t="s">
        <v>1884</v>
      </c>
      <c r="F7" s="31" t="s">
        <v>1884</v>
      </c>
      <c r="G7" s="31"/>
      <c r="H7" s="31"/>
      <c r="I7" s="31" t="s">
        <v>1885</v>
      </c>
      <c r="J7" s="31"/>
      <c r="K7" s="31" t="s">
        <v>1885</v>
      </c>
      <c r="L7" s="31"/>
      <c r="M7" s="31"/>
      <c r="N7" s="31" t="s">
        <v>1884</v>
      </c>
      <c r="O7" s="31"/>
      <c r="P7" s="32" t="n">
        <f aca="false">COUNTIF(C7:O7,"●")</f>
        <v>2</v>
      </c>
      <c r="Q7" s="32" t="n">
        <f aca="false">COUNTIF(C7:O7,"○")</f>
        <v>4</v>
      </c>
    </row>
    <row r="8" customFormat="false" ht="15" hidden="false" customHeight="true" outlineLevel="0" collapsed="false">
      <c r="A8" s="49" t="s">
        <v>733</v>
      </c>
      <c r="B8" s="67" t="s">
        <v>1888</v>
      </c>
      <c r="C8" s="31" t="s">
        <v>1884</v>
      </c>
      <c r="D8" s="31" t="s">
        <v>1885</v>
      </c>
      <c r="E8" s="31"/>
      <c r="F8" s="31"/>
      <c r="G8" s="31"/>
      <c r="H8" s="31" t="s">
        <v>1885</v>
      </c>
      <c r="I8" s="31" t="s">
        <v>1884</v>
      </c>
      <c r="J8" s="31" t="s">
        <v>1884</v>
      </c>
      <c r="K8" s="31"/>
      <c r="L8" s="31"/>
      <c r="M8" s="31" t="s">
        <v>1885</v>
      </c>
      <c r="N8" s="31"/>
      <c r="O8" s="31" t="s">
        <v>1884</v>
      </c>
      <c r="P8" s="32" t="n">
        <f aca="false">COUNTIF(C8:O8,"●")</f>
        <v>3</v>
      </c>
      <c r="Q8" s="32" t="n">
        <f aca="false">COUNTIF(C8:O8,"○")</f>
        <v>4</v>
      </c>
    </row>
    <row r="9" customFormat="false" ht="15" hidden="false" customHeight="true" outlineLevel="0" collapsed="false">
      <c r="A9" s="49" t="s">
        <v>1004</v>
      </c>
      <c r="B9" s="67" t="s">
        <v>1889</v>
      </c>
      <c r="C9" s="31" t="s">
        <v>1884</v>
      </c>
      <c r="D9" s="31"/>
      <c r="E9" s="31"/>
      <c r="F9" s="31"/>
      <c r="G9" s="31" t="s">
        <v>1885</v>
      </c>
      <c r="H9" s="31"/>
      <c r="I9" s="31"/>
      <c r="J9" s="31" t="s">
        <v>1884</v>
      </c>
      <c r="K9" s="31"/>
      <c r="L9" s="31"/>
      <c r="M9" s="31"/>
      <c r="N9" s="31" t="s">
        <v>1884</v>
      </c>
      <c r="O9" s="31" t="s">
        <v>1884</v>
      </c>
      <c r="P9" s="32" t="n">
        <f aca="false">COUNTIF(C9:O9,"●")</f>
        <v>1</v>
      </c>
      <c r="Q9" s="32" t="n">
        <f aca="false">COUNTIF(C9:O9,"○")</f>
        <v>4</v>
      </c>
    </row>
    <row r="10" customFormat="false" ht="15" hidden="false" customHeight="true" outlineLevel="0" collapsed="false">
      <c r="A10" s="49" t="s">
        <v>783</v>
      </c>
      <c r="B10" s="67" t="s">
        <v>1890</v>
      </c>
      <c r="C10" s="31"/>
      <c r="D10" s="31"/>
      <c r="E10" s="31"/>
      <c r="F10" s="31"/>
      <c r="G10" s="31"/>
      <c r="H10" s="31"/>
      <c r="I10" s="31"/>
      <c r="J10" s="31"/>
      <c r="K10" s="31"/>
      <c r="L10" s="31"/>
      <c r="M10" s="31" t="s">
        <v>1885</v>
      </c>
      <c r="N10" s="31" t="s">
        <v>1885</v>
      </c>
      <c r="O10" s="31" t="s">
        <v>1884</v>
      </c>
      <c r="P10" s="32" t="n">
        <f aca="false">COUNTIF(C10:O10,"●")</f>
        <v>2</v>
      </c>
      <c r="Q10" s="32" t="n">
        <f aca="false">COUNTIF(C10:O10,"○")</f>
        <v>1</v>
      </c>
    </row>
    <row r="11" customFormat="false" ht="15" hidden="false" customHeight="true" outlineLevel="0" collapsed="false">
      <c r="A11" s="49" t="s">
        <v>746</v>
      </c>
      <c r="B11" s="67" t="s">
        <v>1891</v>
      </c>
      <c r="C11" s="31" t="s">
        <v>1884</v>
      </c>
      <c r="D11" s="31"/>
      <c r="E11" s="31"/>
      <c r="F11" s="31"/>
      <c r="G11" s="31" t="s">
        <v>1884</v>
      </c>
      <c r="H11" s="31" t="s">
        <v>1884</v>
      </c>
      <c r="I11" s="31" t="s">
        <v>1884</v>
      </c>
      <c r="J11" s="31" t="s">
        <v>1884</v>
      </c>
      <c r="K11" s="31"/>
      <c r="L11" s="31"/>
      <c r="M11" s="31"/>
      <c r="N11" s="31"/>
      <c r="O11" s="31" t="s">
        <v>1885</v>
      </c>
      <c r="P11" s="32" t="n">
        <f aca="false">COUNTIF(C11:O11,"●")</f>
        <v>1</v>
      </c>
      <c r="Q11" s="32" t="n">
        <f aca="false">COUNTIF(C11:O11,"○")</f>
        <v>5</v>
      </c>
    </row>
    <row r="12" customFormat="false" ht="15" hidden="false" customHeight="true" outlineLevel="0" collapsed="false">
      <c r="A12" s="49" t="s">
        <v>770</v>
      </c>
      <c r="B12" s="67" t="s">
        <v>1892</v>
      </c>
      <c r="C12" s="31" t="s">
        <v>1884</v>
      </c>
      <c r="D12" s="31"/>
      <c r="E12" s="31" t="s">
        <v>1884</v>
      </c>
      <c r="F12" s="31"/>
      <c r="G12" s="31"/>
      <c r="H12" s="31" t="s">
        <v>1885</v>
      </c>
      <c r="I12" s="31" t="s">
        <v>1885</v>
      </c>
      <c r="J12" s="31" t="s">
        <v>1884</v>
      </c>
      <c r="K12" s="31"/>
      <c r="L12" s="31"/>
      <c r="M12" s="31" t="s">
        <v>1885</v>
      </c>
      <c r="N12" s="31"/>
      <c r="O12" s="31"/>
      <c r="P12" s="32" t="n">
        <f aca="false">COUNTIF(C12:O12,"●")</f>
        <v>3</v>
      </c>
      <c r="Q12" s="32" t="n">
        <f aca="false">COUNTIF(C12:O12,"○")</f>
        <v>3</v>
      </c>
    </row>
    <row r="13" customFormat="false" ht="15" hidden="false" customHeight="true" outlineLevel="0" collapsed="false">
      <c r="A13" s="49" t="s">
        <v>890</v>
      </c>
      <c r="B13" s="67" t="s">
        <v>1893</v>
      </c>
      <c r="C13" s="31"/>
      <c r="D13" s="31"/>
      <c r="E13" s="31" t="s">
        <v>1884</v>
      </c>
      <c r="F13" s="31"/>
      <c r="G13" s="31"/>
      <c r="H13" s="31"/>
      <c r="I13" s="31"/>
      <c r="J13" s="31"/>
      <c r="K13" s="31" t="s">
        <v>1885</v>
      </c>
      <c r="L13" s="31"/>
      <c r="M13" s="31"/>
      <c r="N13" s="31"/>
      <c r="O13" s="31" t="s">
        <v>1884</v>
      </c>
      <c r="P13" s="32" t="n">
        <f aca="false">COUNTIF(C13:O13,"●")</f>
        <v>1</v>
      </c>
      <c r="Q13" s="32" t="n">
        <f aca="false">COUNTIF(C13:O13,"○")</f>
        <v>2</v>
      </c>
    </row>
    <row r="14" customFormat="false" ht="15" hidden="false" customHeight="true" outlineLevel="0" collapsed="false">
      <c r="A14" s="49" t="s">
        <v>922</v>
      </c>
      <c r="B14" s="67" t="s">
        <v>1894</v>
      </c>
      <c r="C14" s="31"/>
      <c r="D14" s="31"/>
      <c r="E14" s="31" t="s">
        <v>1885</v>
      </c>
      <c r="F14" s="31"/>
      <c r="G14" s="31"/>
      <c r="H14" s="31"/>
      <c r="I14" s="31"/>
      <c r="J14" s="31"/>
      <c r="K14" s="31"/>
      <c r="L14" s="31"/>
      <c r="M14" s="31"/>
      <c r="N14" s="31" t="s">
        <v>1884</v>
      </c>
      <c r="O14" s="31" t="s">
        <v>1884</v>
      </c>
      <c r="P14" s="32" t="n">
        <f aca="false">COUNTIF(C14:O14,"●")</f>
        <v>1</v>
      </c>
      <c r="Q14" s="32" t="n">
        <f aca="false">COUNTIF(C14:O14,"○")</f>
        <v>2</v>
      </c>
    </row>
    <row r="15" customFormat="false" ht="15" hidden="false" customHeight="true" outlineLevel="0" collapsed="false">
      <c r="A15" s="49" t="s">
        <v>1769</v>
      </c>
      <c r="B15" s="67" t="s">
        <v>1895</v>
      </c>
      <c r="C15" s="31"/>
      <c r="D15" s="31"/>
      <c r="E15" s="31"/>
      <c r="F15" s="31"/>
      <c r="G15" s="31"/>
      <c r="H15" s="31"/>
      <c r="I15" s="31"/>
      <c r="J15" s="31"/>
      <c r="K15" s="31"/>
      <c r="L15" s="31"/>
      <c r="M15" s="31"/>
      <c r="N15" s="31" t="s">
        <v>1885</v>
      </c>
      <c r="O15" s="31" t="s">
        <v>1884</v>
      </c>
      <c r="P15" s="32" t="n">
        <f aca="false">COUNTIF(C15:O15,"●")</f>
        <v>1</v>
      </c>
      <c r="Q15" s="32" t="n">
        <f aca="false">COUNTIF(C15:O15,"○")</f>
        <v>1</v>
      </c>
    </row>
    <row r="16" customFormat="false" ht="15" hidden="false" customHeight="true" outlineLevel="0" collapsed="false">
      <c r="A16" s="49" t="s">
        <v>1250</v>
      </c>
      <c r="B16" s="67" t="s">
        <v>1896</v>
      </c>
      <c r="C16" s="31"/>
      <c r="D16" s="31"/>
      <c r="E16" s="31"/>
      <c r="F16" s="31"/>
      <c r="G16" s="31"/>
      <c r="H16" s="31"/>
      <c r="I16" s="31"/>
      <c r="J16" s="31"/>
      <c r="K16" s="31" t="s">
        <v>1885</v>
      </c>
      <c r="L16" s="31"/>
      <c r="M16" s="31"/>
      <c r="N16" s="31"/>
      <c r="O16" s="31" t="s">
        <v>1884</v>
      </c>
      <c r="P16" s="32" t="n">
        <f aca="false">COUNTIF(C16:O16,"●")</f>
        <v>1</v>
      </c>
      <c r="Q16" s="32" t="n">
        <f aca="false">COUNTIF(C16:O16,"○")</f>
        <v>1</v>
      </c>
    </row>
    <row r="17" customFormat="false" ht="15" hidden="false" customHeight="true" outlineLevel="0" collapsed="false">
      <c r="A17" s="49" t="s">
        <v>1397</v>
      </c>
      <c r="B17" s="68" t="s">
        <v>1897</v>
      </c>
      <c r="C17" s="31"/>
      <c r="D17" s="31"/>
      <c r="E17" s="31"/>
      <c r="F17" s="31"/>
      <c r="G17" s="31"/>
      <c r="H17" s="31"/>
      <c r="I17" s="31"/>
      <c r="J17" s="31"/>
      <c r="K17" s="31"/>
      <c r="L17" s="31"/>
      <c r="M17" s="31" t="s">
        <v>1885</v>
      </c>
      <c r="N17" s="31" t="s">
        <v>1884</v>
      </c>
      <c r="O17" s="31" t="s">
        <v>1884</v>
      </c>
      <c r="P17" s="32" t="n">
        <f aca="false">COUNTIF(C17:O17,"●")</f>
        <v>1</v>
      </c>
      <c r="Q17" s="32" t="n">
        <f aca="false">COUNTIF(C17:O17,"○")</f>
        <v>2</v>
      </c>
    </row>
    <row r="18" customFormat="false" ht="15" hidden="false" customHeight="true" outlineLevel="0" collapsed="false">
      <c r="A18" s="49" t="s">
        <v>1123</v>
      </c>
      <c r="B18" s="67" t="s">
        <v>1898</v>
      </c>
      <c r="C18" s="31"/>
      <c r="D18" s="31"/>
      <c r="E18" s="31"/>
      <c r="F18" s="31"/>
      <c r="G18" s="31"/>
      <c r="H18" s="31"/>
      <c r="I18" s="31" t="s">
        <v>1885</v>
      </c>
      <c r="J18" s="31" t="s">
        <v>1884</v>
      </c>
      <c r="K18" s="31"/>
      <c r="L18" s="31"/>
      <c r="M18" s="31"/>
      <c r="N18" s="31"/>
      <c r="O18" s="31"/>
      <c r="P18" s="32" t="n">
        <f aca="false">COUNTIF(C18:O18,"●")</f>
        <v>1</v>
      </c>
      <c r="Q18" s="32" t="n">
        <f aca="false">COUNTIF(C18:O18,"○")</f>
        <v>1</v>
      </c>
    </row>
    <row r="19" customFormat="false" ht="15" hidden="false" customHeight="true" outlineLevel="0" collapsed="false">
      <c r="A19" s="49" t="s">
        <v>1816</v>
      </c>
      <c r="B19" s="67" t="s">
        <v>1899</v>
      </c>
      <c r="C19" s="31"/>
      <c r="D19" s="31"/>
      <c r="E19" s="31"/>
      <c r="F19" s="31"/>
      <c r="G19" s="31"/>
      <c r="H19" s="31"/>
      <c r="I19" s="31"/>
      <c r="J19" s="31"/>
      <c r="K19" s="31"/>
      <c r="L19" s="31" t="s">
        <v>1885</v>
      </c>
      <c r="M19" s="31" t="s">
        <v>1884</v>
      </c>
      <c r="N19" s="31" t="s">
        <v>1884</v>
      </c>
      <c r="O19" s="31"/>
      <c r="P19" s="32" t="n">
        <f aca="false">COUNTIF(C19:O19,"●")</f>
        <v>1</v>
      </c>
      <c r="Q19" s="32" t="n">
        <f aca="false">COUNTIF(C19:O19,"○")</f>
        <v>2</v>
      </c>
    </row>
    <row r="20" customFormat="false" ht="15" hidden="false" customHeight="true" outlineLevel="0" collapsed="false">
      <c r="A20" s="49" t="s">
        <v>1436</v>
      </c>
      <c r="B20" s="67" t="s">
        <v>1900</v>
      </c>
      <c r="C20" s="31"/>
      <c r="D20" s="31"/>
      <c r="E20" s="31"/>
      <c r="F20" s="31"/>
      <c r="G20" s="31"/>
      <c r="H20" s="31"/>
      <c r="I20" s="31"/>
      <c r="J20" s="31"/>
      <c r="K20" s="31"/>
      <c r="L20" s="31"/>
      <c r="M20" s="31"/>
      <c r="N20" s="31" t="s">
        <v>1885</v>
      </c>
      <c r="O20" s="31"/>
      <c r="P20" s="32" t="n">
        <f aca="false">COUNTIF(C20:O20,"●")</f>
        <v>1</v>
      </c>
      <c r="Q20" s="32" t="n">
        <f aca="false">COUNTIF(C20:O20,"○")</f>
        <v>0</v>
      </c>
    </row>
    <row r="21" customFormat="false" ht="15" hidden="false" customHeight="true" outlineLevel="0" collapsed="false">
      <c r="A21" s="49" t="s">
        <v>1442</v>
      </c>
      <c r="B21" s="67" t="s">
        <v>1901</v>
      </c>
      <c r="C21" s="31"/>
      <c r="D21" s="31"/>
      <c r="E21" s="31"/>
      <c r="F21" s="31"/>
      <c r="G21" s="31"/>
      <c r="H21" s="31"/>
      <c r="I21" s="31"/>
      <c r="J21" s="31"/>
      <c r="K21" s="31"/>
      <c r="L21" s="31"/>
      <c r="M21" s="31"/>
      <c r="N21" s="31" t="s">
        <v>1885</v>
      </c>
      <c r="O21" s="31"/>
      <c r="P21" s="32" t="n">
        <f aca="false">COUNTIF(C21:O21,"●")</f>
        <v>1</v>
      </c>
      <c r="Q21" s="32" t="n">
        <f aca="false">COUNTIF(C21:O21,"○")</f>
        <v>0</v>
      </c>
    </row>
    <row r="22" customFormat="false" ht="15" hidden="false" customHeight="true" outlineLevel="0" collapsed="false">
      <c r="A22" s="49" t="s">
        <v>1448</v>
      </c>
      <c r="B22" s="67" t="s">
        <v>1902</v>
      </c>
      <c r="C22" s="31"/>
      <c r="D22" s="31"/>
      <c r="E22" s="31"/>
      <c r="F22" s="31"/>
      <c r="G22" s="31"/>
      <c r="H22" s="31"/>
      <c r="I22" s="31"/>
      <c r="J22" s="31"/>
      <c r="K22" s="31"/>
      <c r="L22" s="31"/>
      <c r="M22" s="31"/>
      <c r="N22" s="31" t="s">
        <v>1885</v>
      </c>
      <c r="O22" s="31"/>
      <c r="P22" s="32" t="n">
        <f aca="false">COUNTIF(C22:O22,"●")</f>
        <v>1</v>
      </c>
      <c r="Q22" s="32" t="n">
        <f aca="false">COUNTIF(C22:O22,"○")</f>
        <v>0</v>
      </c>
    </row>
    <row r="23" customFormat="false" ht="15" hidden="false" customHeight="true" outlineLevel="0" collapsed="false">
      <c r="A23" s="69"/>
      <c r="B23" s="46" t="s">
        <v>1903</v>
      </c>
      <c r="C23" s="52" t="n">
        <f aca="false">COUNTIF(C5:C22,"●")</f>
        <v>0</v>
      </c>
      <c r="D23" s="52" t="n">
        <f aca="false">COUNTIF(D5:D22,"●")</f>
        <v>1</v>
      </c>
      <c r="E23" s="52" t="n">
        <f aca="false">COUNTIF(E5:E22,"●")</f>
        <v>1</v>
      </c>
      <c r="F23" s="52" t="n">
        <f aca="false">COUNTIF(F5:F22,"●")</f>
        <v>0</v>
      </c>
      <c r="G23" s="52" t="n">
        <f aca="false">COUNTIF(G5:G22,"●")</f>
        <v>1</v>
      </c>
      <c r="H23" s="52" t="n">
        <f aca="false">COUNTIF(H5:H22,"●")</f>
        <v>2</v>
      </c>
      <c r="I23" s="52" t="n">
        <f aca="false">COUNTIF(I5:I22,"●")</f>
        <v>3</v>
      </c>
      <c r="J23" s="52" t="n">
        <f aca="false">COUNTIF(J5:J22,"●")</f>
        <v>0</v>
      </c>
      <c r="K23" s="52" t="n">
        <f aca="false">COUNTIF(K5:K22,"●")</f>
        <v>3</v>
      </c>
      <c r="L23" s="52" t="n">
        <f aca="false">COUNTIF(L5:L22,"●")</f>
        <v>1</v>
      </c>
      <c r="M23" s="52" t="n">
        <f aca="false">COUNTIF(M5:M22,"●")</f>
        <v>4</v>
      </c>
      <c r="N23" s="52" t="n">
        <f aca="false">COUNTIF(N5:N22,"●")</f>
        <v>7</v>
      </c>
      <c r="O23" s="52" t="n">
        <f aca="false">COUNTIF(O5:O22,"●")</f>
        <v>1</v>
      </c>
      <c r="P23" s="52" t="n">
        <f aca="false">SUM(P5:P22)</f>
        <v>24</v>
      </c>
      <c r="Q23" s="69"/>
    </row>
    <row r="24" customFormat="false" ht="15" hidden="false" customHeight="true" outlineLevel="0" collapsed="false">
      <c r="A24" s="69"/>
      <c r="B24" s="46" t="s">
        <v>1904</v>
      </c>
      <c r="C24" s="52" t="n">
        <f aca="false">COUNTIF(C5:C22,"○")</f>
        <v>4</v>
      </c>
      <c r="D24" s="52" t="n">
        <f aca="false">COUNTIF(D5:D22,"○")</f>
        <v>1</v>
      </c>
      <c r="E24" s="52" t="n">
        <f aca="false">COUNTIF(E5:E22,"○")</f>
        <v>3</v>
      </c>
      <c r="F24" s="52" t="n">
        <f aca="false">COUNTIF(F5:F22,"○")</f>
        <v>1</v>
      </c>
      <c r="G24" s="52" t="n">
        <f aca="false">COUNTIF(G5:G22,"○")</f>
        <v>1</v>
      </c>
      <c r="H24" s="52" t="n">
        <f aca="false">COUNTIF(H5:H22,"○")</f>
        <v>1</v>
      </c>
      <c r="I24" s="52" t="n">
        <f aca="false">COUNTIF(I5:I22,"○")</f>
        <v>3</v>
      </c>
      <c r="J24" s="52" t="n">
        <f aca="false">COUNTIF(J5:J22,"○")</f>
        <v>6</v>
      </c>
      <c r="K24" s="52" t="n">
        <f aca="false">COUNTIF(K5:K22,"○")</f>
        <v>0</v>
      </c>
      <c r="L24" s="52" t="n">
        <f aca="false">COUNTIF(L5:L22,"○")</f>
        <v>0</v>
      </c>
      <c r="M24" s="52" t="n">
        <f aca="false">COUNTIF(M5:M22,"○")</f>
        <v>1</v>
      </c>
      <c r="N24" s="52" t="n">
        <f aca="false">COUNTIF(N5:N22,"○")</f>
        <v>5</v>
      </c>
      <c r="O24" s="52" t="n">
        <f aca="false">COUNTIF(O5:O22,"○")</f>
        <v>10</v>
      </c>
      <c r="P24" s="69"/>
      <c r="Q24" s="52" t="n">
        <f aca="false">SUM(Q5:Q22)</f>
        <v>36</v>
      </c>
    </row>
    <row r="26" customFormat="false" ht="29.25" hidden="false" customHeight="true" outlineLevel="0" collapsed="false">
      <c r="A26" s="60" t="s">
        <v>1905</v>
      </c>
      <c r="B26" s="60"/>
      <c r="C26" s="60"/>
      <c r="D26" s="60"/>
      <c r="E26" s="60"/>
      <c r="F26" s="60"/>
      <c r="G26" s="60"/>
      <c r="H26" s="60"/>
      <c r="I26" s="60"/>
      <c r="J26" s="60"/>
      <c r="K26" s="60"/>
      <c r="L26" s="60"/>
      <c r="M26" s="60"/>
      <c r="N26" s="60"/>
      <c r="O26" s="60"/>
      <c r="P26" s="60"/>
      <c r="Q26" s="60"/>
    </row>
    <row r="27" customFormat="false" ht="16.5" hidden="false" customHeight="true" outlineLevel="0" collapsed="false">
      <c r="A27" s="60" t="s">
        <v>1906</v>
      </c>
      <c r="B27" s="60"/>
      <c r="C27" s="60"/>
      <c r="D27" s="60"/>
      <c r="E27" s="60"/>
      <c r="F27" s="60"/>
      <c r="G27" s="60"/>
      <c r="H27" s="60"/>
      <c r="I27" s="60"/>
      <c r="J27" s="60"/>
      <c r="K27" s="60"/>
      <c r="L27" s="60"/>
      <c r="M27" s="60"/>
      <c r="N27" s="60"/>
      <c r="O27" s="60"/>
      <c r="P27" s="60"/>
      <c r="Q27" s="60"/>
    </row>
  </sheetData>
  <mergeCells count="2">
    <mergeCell ref="A26:Q26"/>
    <mergeCell ref="A27:Q27"/>
  </mergeCells>
  <conditionalFormatting sqref="C5:O22">
    <cfRule type="cellIs" priority="2" operator="equal" aboveAverage="0" equalAverage="0" bottom="0" percent="0" rank="0" text="" dxfId="3">
      <formula>"●"</formula>
    </cfRule>
    <cfRule type="cellIs" priority="3" operator="equal" aboveAverage="0" equalAverage="0" bottom="0" percent="0" rank="0" text="" dxfId="4">
      <formula>"○"</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26"/>
    <col collapsed="false" customWidth="true" hidden="false" outlineLevel="0" max="3" min="3" style="1" width="62"/>
    <col collapsed="false" customWidth="true" hidden="false" outlineLevel="0" max="4" min="4" style="1" width="34"/>
    <col collapsed="false" customWidth="true" hidden="false" outlineLevel="0" max="5" min="5" style="1" width="20"/>
    <col collapsed="false" customWidth="true" hidden="false" outlineLevel="0" max="6" min="6" style="1" width="38"/>
    <col collapsed="false" customWidth="true" hidden="false" outlineLevel="0" max="7" min="7" style="1" width="18"/>
  </cols>
  <sheetData>
    <row r="1" customFormat="false" ht="24" hidden="false" customHeight="true" outlineLevel="0" collapsed="false">
      <c r="A1" s="24" t="s">
        <v>1907</v>
      </c>
    </row>
    <row r="2" customFormat="false" ht="15" hidden="false" customHeight="true" outlineLevel="0" collapsed="false">
      <c r="A2" s="3" t="s">
        <v>1908</v>
      </c>
    </row>
    <row r="4" customFormat="false" ht="19.5" hidden="false" customHeight="true" outlineLevel="0" collapsed="false">
      <c r="A4" s="26" t="s">
        <v>1909</v>
      </c>
      <c r="B4" s="26" t="s">
        <v>1910</v>
      </c>
      <c r="C4" s="26" t="s">
        <v>382</v>
      </c>
      <c r="D4" s="26" t="s">
        <v>1911</v>
      </c>
      <c r="E4" s="26" t="s">
        <v>1912</v>
      </c>
      <c r="F4" s="26" t="s">
        <v>1653</v>
      </c>
      <c r="G4" s="26" t="s">
        <v>1913</v>
      </c>
    </row>
    <row r="5" customFormat="false" ht="42" hidden="false" customHeight="true" outlineLevel="0" collapsed="false">
      <c r="A5" s="6" t="s">
        <v>1914</v>
      </c>
      <c r="B5" s="9" t="s">
        <v>1915</v>
      </c>
      <c r="C5" s="9" t="s">
        <v>1916</v>
      </c>
      <c r="D5" s="9" t="s">
        <v>1917</v>
      </c>
      <c r="E5" s="8" t="s">
        <v>1918</v>
      </c>
      <c r="F5" s="8" t="s">
        <v>1919</v>
      </c>
      <c r="G5" s="9" t="s">
        <v>1920</v>
      </c>
    </row>
    <row r="6" customFormat="false" ht="29.25" hidden="false" customHeight="true" outlineLevel="0" collapsed="false">
      <c r="A6" s="6" t="s">
        <v>1914</v>
      </c>
      <c r="B6" s="9" t="s">
        <v>1921</v>
      </c>
      <c r="C6" s="9" t="s">
        <v>1922</v>
      </c>
      <c r="D6" s="9" t="s">
        <v>1923</v>
      </c>
      <c r="E6" s="8" t="s">
        <v>1924</v>
      </c>
      <c r="F6" s="8" t="s">
        <v>1925</v>
      </c>
      <c r="G6" s="9" t="s">
        <v>1920</v>
      </c>
    </row>
    <row r="7" customFormat="false" ht="42" hidden="false" customHeight="true" outlineLevel="0" collapsed="false">
      <c r="A7" s="6" t="s">
        <v>1914</v>
      </c>
      <c r="B7" s="9" t="s">
        <v>1926</v>
      </c>
      <c r="C7" s="9" t="s">
        <v>1927</v>
      </c>
      <c r="D7" s="9" t="s">
        <v>1928</v>
      </c>
      <c r="E7" s="8" t="s">
        <v>1929</v>
      </c>
      <c r="F7" s="8" t="s">
        <v>1930</v>
      </c>
      <c r="G7" s="9" t="s">
        <v>1920</v>
      </c>
    </row>
    <row r="8" customFormat="false" ht="29.25" hidden="false" customHeight="true" outlineLevel="0" collapsed="false">
      <c r="A8" s="6" t="s">
        <v>1914</v>
      </c>
      <c r="B8" s="9" t="s">
        <v>1931</v>
      </c>
      <c r="C8" s="9" t="s">
        <v>1932</v>
      </c>
      <c r="D8" s="9" t="s">
        <v>1933</v>
      </c>
      <c r="E8" s="8" t="s">
        <v>1934</v>
      </c>
      <c r="F8" s="8" t="s">
        <v>1935</v>
      </c>
      <c r="G8" s="9" t="s">
        <v>1920</v>
      </c>
    </row>
    <row r="9" customFormat="false" ht="29.25" hidden="false" customHeight="true" outlineLevel="0" collapsed="false">
      <c r="A9" s="6" t="s">
        <v>1914</v>
      </c>
      <c r="B9" s="9" t="s">
        <v>1936</v>
      </c>
      <c r="C9" s="9" t="s">
        <v>1937</v>
      </c>
      <c r="D9" s="9" t="s">
        <v>1938</v>
      </c>
      <c r="E9" s="8" t="s">
        <v>1939</v>
      </c>
      <c r="F9" s="8" t="s">
        <v>1940</v>
      </c>
      <c r="G9" s="9" t="s">
        <v>1920</v>
      </c>
    </row>
    <row r="10" customFormat="false" ht="67.5" hidden="false" customHeight="true" outlineLevel="0" collapsed="false">
      <c r="A10" s="6" t="s">
        <v>1914</v>
      </c>
      <c r="B10" s="9" t="s">
        <v>1941</v>
      </c>
      <c r="C10" s="9" t="s">
        <v>1942</v>
      </c>
      <c r="D10" s="9" t="s">
        <v>1943</v>
      </c>
      <c r="E10" s="8" t="s">
        <v>1944</v>
      </c>
      <c r="F10" s="8" t="s">
        <v>1945</v>
      </c>
      <c r="G10" s="9" t="s">
        <v>1920</v>
      </c>
    </row>
    <row r="11" customFormat="false" ht="42" hidden="false" customHeight="true" outlineLevel="0" collapsed="false">
      <c r="A11" s="6" t="s">
        <v>1914</v>
      </c>
      <c r="B11" s="9" t="s">
        <v>1946</v>
      </c>
      <c r="C11" s="9" t="s">
        <v>1947</v>
      </c>
      <c r="D11" s="9" t="s">
        <v>1948</v>
      </c>
      <c r="E11" s="8" t="s">
        <v>1949</v>
      </c>
      <c r="F11" s="8" t="s">
        <v>1950</v>
      </c>
      <c r="G11" s="9" t="s">
        <v>1920</v>
      </c>
    </row>
    <row r="12" customFormat="false" ht="29.25" hidden="false" customHeight="true" outlineLevel="0" collapsed="false">
      <c r="A12" s="6" t="s">
        <v>1914</v>
      </c>
      <c r="B12" s="9" t="s">
        <v>1951</v>
      </c>
      <c r="C12" s="9" t="s">
        <v>1952</v>
      </c>
      <c r="D12" s="9" t="s">
        <v>1953</v>
      </c>
      <c r="E12" s="8" t="s">
        <v>1954</v>
      </c>
      <c r="F12" s="8" t="s">
        <v>1955</v>
      </c>
      <c r="G12" s="9" t="s">
        <v>1920</v>
      </c>
    </row>
    <row r="13" customFormat="false" ht="42" hidden="false" customHeight="true" outlineLevel="0" collapsed="false">
      <c r="A13" s="6" t="s">
        <v>1914</v>
      </c>
      <c r="B13" s="9" t="s">
        <v>1956</v>
      </c>
      <c r="C13" s="9" t="s">
        <v>1957</v>
      </c>
      <c r="D13" s="9" t="s">
        <v>1958</v>
      </c>
      <c r="E13" s="8" t="s">
        <v>1959</v>
      </c>
      <c r="F13" s="8" t="s">
        <v>1960</v>
      </c>
      <c r="G13" s="9" t="s">
        <v>1920</v>
      </c>
    </row>
    <row r="14" customFormat="false" ht="29.25" hidden="false" customHeight="true" outlineLevel="0" collapsed="false">
      <c r="A14" s="6" t="s">
        <v>1914</v>
      </c>
      <c r="B14" s="9" t="s">
        <v>1961</v>
      </c>
      <c r="C14" s="9" t="s">
        <v>1962</v>
      </c>
      <c r="D14" s="9" t="s">
        <v>1963</v>
      </c>
      <c r="E14" s="8" t="s">
        <v>1964</v>
      </c>
      <c r="F14" s="8" t="s">
        <v>1965</v>
      </c>
      <c r="G14" s="9" t="s">
        <v>1920</v>
      </c>
    </row>
    <row r="15" customFormat="false" ht="29.25" hidden="false" customHeight="true" outlineLevel="0" collapsed="false">
      <c r="A15" s="6" t="s">
        <v>1914</v>
      </c>
      <c r="B15" s="9" t="s">
        <v>1966</v>
      </c>
      <c r="C15" s="9" t="s">
        <v>1967</v>
      </c>
      <c r="D15" s="9" t="s">
        <v>1968</v>
      </c>
      <c r="E15" s="8" t="s">
        <v>1969</v>
      </c>
      <c r="F15" s="8" t="s">
        <v>1970</v>
      </c>
      <c r="G15" s="9" t="s">
        <v>1920</v>
      </c>
    </row>
    <row r="16" customFormat="false" ht="29.25" hidden="false" customHeight="true" outlineLevel="0" collapsed="false">
      <c r="A16" s="6" t="s">
        <v>1914</v>
      </c>
      <c r="B16" s="9" t="s">
        <v>1971</v>
      </c>
      <c r="C16" s="9" t="s">
        <v>1972</v>
      </c>
      <c r="D16" s="9" t="s">
        <v>1973</v>
      </c>
      <c r="E16" s="8" t="s">
        <v>1974</v>
      </c>
      <c r="F16" s="8" t="s">
        <v>1975</v>
      </c>
      <c r="G16" s="9" t="s">
        <v>1920</v>
      </c>
    </row>
    <row r="17" customFormat="false" ht="29.25" hidden="false" customHeight="true" outlineLevel="0" collapsed="false">
      <c r="A17" s="6" t="s">
        <v>1914</v>
      </c>
      <c r="B17" s="9" t="s">
        <v>1976</v>
      </c>
      <c r="C17" s="9" t="s">
        <v>1977</v>
      </c>
      <c r="D17" s="9" t="s">
        <v>1978</v>
      </c>
      <c r="E17" s="8" t="s">
        <v>1979</v>
      </c>
      <c r="F17" s="8" t="s">
        <v>1980</v>
      </c>
      <c r="G17" s="9" t="s">
        <v>1920</v>
      </c>
    </row>
    <row r="18" customFormat="false" ht="42" hidden="false" customHeight="true" outlineLevel="0" collapsed="false">
      <c r="A18" s="6" t="s">
        <v>1914</v>
      </c>
      <c r="B18" s="8" t="s">
        <v>1981</v>
      </c>
      <c r="C18" s="9" t="s">
        <v>1982</v>
      </c>
      <c r="D18" s="9" t="s">
        <v>1983</v>
      </c>
      <c r="E18" s="8" t="s">
        <v>1984</v>
      </c>
      <c r="F18" s="8" t="s">
        <v>1985</v>
      </c>
      <c r="G18" s="9" t="s">
        <v>1920</v>
      </c>
    </row>
    <row r="19" customFormat="false" ht="54.75" hidden="false" customHeight="true" outlineLevel="0" collapsed="false">
      <c r="A19" s="6" t="s">
        <v>1914</v>
      </c>
      <c r="B19" s="9" t="s">
        <v>1986</v>
      </c>
      <c r="C19" s="9" t="s">
        <v>1987</v>
      </c>
      <c r="D19" s="17" t="s">
        <v>1988</v>
      </c>
      <c r="E19" s="8" t="s">
        <v>1989</v>
      </c>
      <c r="F19" s="8" t="s">
        <v>1990</v>
      </c>
      <c r="G19" s="9" t="s">
        <v>1920</v>
      </c>
    </row>
    <row r="20" customFormat="false" ht="42" hidden="false" customHeight="true" outlineLevel="0" collapsed="false">
      <c r="A20" s="6" t="s">
        <v>1991</v>
      </c>
      <c r="B20" s="9" t="s">
        <v>1992</v>
      </c>
      <c r="C20" s="9" t="s">
        <v>1993</v>
      </c>
      <c r="D20" s="9" t="s">
        <v>1994</v>
      </c>
      <c r="E20" s="8" t="s">
        <v>1995</v>
      </c>
      <c r="F20" s="8" t="s">
        <v>1996</v>
      </c>
      <c r="G20" s="9" t="s">
        <v>1920</v>
      </c>
    </row>
    <row r="21" customFormat="false" ht="29.25" hidden="false" customHeight="true" outlineLevel="0" collapsed="false">
      <c r="A21" s="6" t="s">
        <v>1991</v>
      </c>
      <c r="B21" s="9" t="s">
        <v>1997</v>
      </c>
      <c r="C21" s="9" t="s">
        <v>1998</v>
      </c>
      <c r="D21" s="9" t="s">
        <v>1999</v>
      </c>
      <c r="E21" s="8" t="s">
        <v>2000</v>
      </c>
      <c r="F21" s="8" t="s">
        <v>2001</v>
      </c>
      <c r="G21" s="9" t="s">
        <v>1920</v>
      </c>
    </row>
    <row r="22" customFormat="false" ht="42" hidden="false" customHeight="true" outlineLevel="0" collapsed="false">
      <c r="A22" s="6" t="s">
        <v>1991</v>
      </c>
      <c r="B22" s="9" t="s">
        <v>2002</v>
      </c>
      <c r="C22" s="9" t="s">
        <v>2003</v>
      </c>
      <c r="D22" s="9" t="s">
        <v>2004</v>
      </c>
      <c r="E22" s="8" t="s">
        <v>2005</v>
      </c>
      <c r="F22" s="8" t="s">
        <v>2006</v>
      </c>
      <c r="G22" s="9" t="s">
        <v>1920</v>
      </c>
    </row>
    <row r="23" customFormat="false" ht="42" hidden="false" customHeight="true" outlineLevel="0" collapsed="false">
      <c r="A23" s="6" t="s">
        <v>1991</v>
      </c>
      <c r="B23" s="9" t="s">
        <v>2007</v>
      </c>
      <c r="C23" s="9" t="s">
        <v>2008</v>
      </c>
      <c r="D23" s="9" t="s">
        <v>2009</v>
      </c>
      <c r="E23" s="8" t="s">
        <v>2010</v>
      </c>
      <c r="F23" s="8" t="s">
        <v>2011</v>
      </c>
      <c r="G23" s="9" t="s">
        <v>1920</v>
      </c>
    </row>
    <row r="24" customFormat="false" ht="29.25" hidden="false" customHeight="true" outlineLevel="0" collapsed="false">
      <c r="A24" s="6" t="s">
        <v>1991</v>
      </c>
      <c r="B24" s="9" t="s">
        <v>2012</v>
      </c>
      <c r="C24" s="9" t="s">
        <v>2013</v>
      </c>
      <c r="D24" s="9" t="s">
        <v>2014</v>
      </c>
      <c r="E24" s="8" t="s">
        <v>2015</v>
      </c>
      <c r="F24" s="8" t="s">
        <v>2016</v>
      </c>
      <c r="G24" s="9" t="s">
        <v>1920</v>
      </c>
    </row>
    <row r="25" customFormat="false" ht="29.25" hidden="false" customHeight="true" outlineLevel="0" collapsed="false">
      <c r="A25" s="6" t="s">
        <v>1991</v>
      </c>
      <c r="B25" s="9" t="s">
        <v>2017</v>
      </c>
      <c r="C25" s="9" t="s">
        <v>2018</v>
      </c>
      <c r="D25" s="9" t="s">
        <v>2019</v>
      </c>
      <c r="E25" s="8" t="s">
        <v>2020</v>
      </c>
      <c r="F25" s="8" t="s">
        <v>2021</v>
      </c>
      <c r="G25" s="9" t="s">
        <v>1920</v>
      </c>
    </row>
    <row r="26" customFormat="false" ht="80.25" hidden="false" customHeight="true" outlineLevel="0" collapsed="false">
      <c r="A26" s="6" t="s">
        <v>1991</v>
      </c>
      <c r="B26" s="9" t="s">
        <v>2022</v>
      </c>
      <c r="C26" s="9" t="s">
        <v>2023</v>
      </c>
      <c r="D26" s="9" t="s">
        <v>2024</v>
      </c>
      <c r="E26" s="8" t="s">
        <v>1995</v>
      </c>
      <c r="F26" s="8" t="s">
        <v>2025</v>
      </c>
      <c r="G26" s="9" t="s">
        <v>1920</v>
      </c>
    </row>
    <row r="27" customFormat="false" ht="42" hidden="false" customHeight="true" outlineLevel="0" collapsed="false">
      <c r="A27" s="6" t="s">
        <v>1991</v>
      </c>
      <c r="B27" s="9" t="s">
        <v>2026</v>
      </c>
      <c r="C27" s="9" t="s">
        <v>2027</v>
      </c>
      <c r="D27" s="9" t="s">
        <v>2028</v>
      </c>
      <c r="E27" s="8" t="s">
        <v>2029</v>
      </c>
      <c r="F27" s="8" t="s">
        <v>2030</v>
      </c>
      <c r="G27" s="9" t="s">
        <v>1920</v>
      </c>
    </row>
    <row r="28" customFormat="false" ht="42" hidden="false" customHeight="true" outlineLevel="0" collapsed="false">
      <c r="A28" s="6" t="s">
        <v>2031</v>
      </c>
      <c r="B28" s="9" t="s">
        <v>2032</v>
      </c>
      <c r="C28" s="9" t="s">
        <v>2033</v>
      </c>
      <c r="D28" s="9" t="s">
        <v>2034</v>
      </c>
      <c r="E28" s="8" t="s">
        <v>2035</v>
      </c>
      <c r="F28" s="8" t="s">
        <v>2036</v>
      </c>
      <c r="G28" s="9" t="s">
        <v>1920</v>
      </c>
    </row>
    <row r="29" customFormat="false" ht="54.75" hidden="false" customHeight="true" outlineLevel="0" collapsed="false">
      <c r="A29" s="6" t="s">
        <v>2031</v>
      </c>
      <c r="B29" s="9" t="s">
        <v>2037</v>
      </c>
      <c r="C29" s="9" t="s">
        <v>2038</v>
      </c>
      <c r="D29" s="9" t="s">
        <v>2039</v>
      </c>
      <c r="E29" s="8" t="s">
        <v>2040</v>
      </c>
      <c r="F29" s="8" t="s">
        <v>2041</v>
      </c>
      <c r="G29" s="9" t="s">
        <v>1920</v>
      </c>
    </row>
    <row r="30" customFormat="false" ht="29.25" hidden="false" customHeight="true" outlineLevel="0" collapsed="false">
      <c r="A30" s="6" t="s">
        <v>2031</v>
      </c>
      <c r="B30" s="9" t="s">
        <v>2042</v>
      </c>
      <c r="C30" s="9" t="s">
        <v>2043</v>
      </c>
      <c r="D30" s="9" t="s">
        <v>2044</v>
      </c>
      <c r="E30" s="8" t="s">
        <v>2045</v>
      </c>
      <c r="F30" s="8" t="s">
        <v>2046</v>
      </c>
      <c r="G30" s="9" t="s">
        <v>1920</v>
      </c>
    </row>
    <row r="31" customFormat="false" ht="29.25" hidden="false" customHeight="true" outlineLevel="0" collapsed="false">
      <c r="A31" s="6" t="s">
        <v>2031</v>
      </c>
      <c r="B31" s="9" t="s">
        <v>2047</v>
      </c>
      <c r="C31" s="9" t="s">
        <v>2048</v>
      </c>
      <c r="D31" s="9" t="s">
        <v>2049</v>
      </c>
      <c r="E31" s="8" t="s">
        <v>2050</v>
      </c>
      <c r="F31" s="8" t="s">
        <v>2051</v>
      </c>
      <c r="G31" s="9" t="s">
        <v>1920</v>
      </c>
    </row>
    <row r="32" customFormat="false" ht="42" hidden="false" customHeight="true" outlineLevel="0" collapsed="false">
      <c r="A32" s="6" t="s">
        <v>2031</v>
      </c>
      <c r="B32" s="9" t="s">
        <v>1340</v>
      </c>
      <c r="C32" s="9" t="s">
        <v>2052</v>
      </c>
      <c r="D32" s="17" t="s">
        <v>2053</v>
      </c>
      <c r="E32" s="8" t="s">
        <v>2054</v>
      </c>
      <c r="F32" s="8" t="s">
        <v>2055</v>
      </c>
      <c r="G32" s="9" t="s">
        <v>1920</v>
      </c>
    </row>
    <row r="33" customFormat="false" ht="54.75" hidden="false" customHeight="true" outlineLevel="0" collapsed="false">
      <c r="A33" s="6" t="s">
        <v>2031</v>
      </c>
      <c r="B33" s="9" t="s">
        <v>2056</v>
      </c>
      <c r="C33" s="9" t="s">
        <v>2057</v>
      </c>
      <c r="D33" s="8" t="s">
        <v>2058</v>
      </c>
      <c r="E33" s="8" t="s">
        <v>2059</v>
      </c>
      <c r="F33" s="8" t="s">
        <v>2060</v>
      </c>
      <c r="G33" s="9" t="s">
        <v>1920</v>
      </c>
    </row>
    <row r="34" customFormat="false" ht="42" hidden="false" customHeight="true" outlineLevel="0" collapsed="false">
      <c r="A34" s="6" t="s">
        <v>2031</v>
      </c>
      <c r="B34" s="9" t="s">
        <v>2061</v>
      </c>
      <c r="C34" s="9" t="s">
        <v>2062</v>
      </c>
      <c r="D34" s="9" t="s">
        <v>2063</v>
      </c>
      <c r="E34" s="8" t="s">
        <v>2064</v>
      </c>
      <c r="F34" s="8" t="s">
        <v>2065</v>
      </c>
      <c r="G34" s="9" t="s">
        <v>1920</v>
      </c>
    </row>
    <row r="35" customFormat="false" ht="42" hidden="false" customHeight="true" outlineLevel="0" collapsed="false">
      <c r="A35" s="6" t="s">
        <v>2066</v>
      </c>
      <c r="B35" s="9" t="s">
        <v>2067</v>
      </c>
      <c r="C35" s="9" t="s">
        <v>2068</v>
      </c>
      <c r="D35" s="9" t="s">
        <v>2069</v>
      </c>
      <c r="E35" s="8" t="s">
        <v>2070</v>
      </c>
      <c r="F35" s="8" t="s">
        <v>2071</v>
      </c>
      <c r="G35" s="9" t="s">
        <v>1920</v>
      </c>
    </row>
    <row r="36" customFormat="false" ht="42" hidden="false" customHeight="true" outlineLevel="0" collapsed="false">
      <c r="A36" s="6" t="s">
        <v>2066</v>
      </c>
      <c r="B36" s="17" t="s">
        <v>2072</v>
      </c>
      <c r="C36" s="9" t="s">
        <v>2073</v>
      </c>
      <c r="D36" s="17" t="s">
        <v>2074</v>
      </c>
      <c r="E36" s="8" t="s">
        <v>2075</v>
      </c>
      <c r="F36" s="8" t="s">
        <v>2076</v>
      </c>
      <c r="G36" s="9" t="s">
        <v>1920</v>
      </c>
    </row>
    <row r="37" customFormat="false" ht="29.25" hidden="false" customHeight="true" outlineLevel="0" collapsed="false">
      <c r="A37" s="6" t="s">
        <v>2066</v>
      </c>
      <c r="B37" s="9" t="s">
        <v>2077</v>
      </c>
      <c r="C37" s="9" t="s">
        <v>2078</v>
      </c>
      <c r="D37" s="9" t="s">
        <v>2079</v>
      </c>
      <c r="E37" s="8" t="s">
        <v>2080</v>
      </c>
      <c r="F37" s="8" t="s">
        <v>2081</v>
      </c>
      <c r="G37" s="9" t="s">
        <v>1920</v>
      </c>
    </row>
    <row r="38" customFormat="false" ht="29.25" hidden="false" customHeight="true" outlineLevel="0" collapsed="false">
      <c r="A38" s="6" t="s">
        <v>2066</v>
      </c>
      <c r="B38" s="9" t="s">
        <v>2082</v>
      </c>
      <c r="C38" s="9" t="s">
        <v>2083</v>
      </c>
      <c r="D38" s="9" t="s">
        <v>2084</v>
      </c>
      <c r="E38" s="8" t="s">
        <v>2085</v>
      </c>
      <c r="F38" s="8" t="s">
        <v>2086</v>
      </c>
      <c r="G38" s="9" t="s">
        <v>1920</v>
      </c>
    </row>
    <row r="39" customFormat="false" ht="29.25" hidden="false" customHeight="true" outlineLevel="0" collapsed="false">
      <c r="A39" s="6" t="s">
        <v>2066</v>
      </c>
      <c r="B39" s="9" t="s">
        <v>2087</v>
      </c>
      <c r="C39" s="9" t="s">
        <v>2088</v>
      </c>
      <c r="D39" s="9" t="s">
        <v>2089</v>
      </c>
      <c r="E39" s="8" t="s">
        <v>2090</v>
      </c>
      <c r="F39" s="8" t="s">
        <v>2091</v>
      </c>
      <c r="G39" s="9" t="s">
        <v>1920</v>
      </c>
    </row>
    <row r="40" customFormat="false" ht="29.25" hidden="false" customHeight="true" outlineLevel="0" collapsed="false">
      <c r="A40" s="6" t="s">
        <v>1840</v>
      </c>
      <c r="B40" s="9" t="s">
        <v>2092</v>
      </c>
      <c r="C40" s="9" t="s">
        <v>2093</v>
      </c>
      <c r="D40" s="9" t="s">
        <v>2094</v>
      </c>
      <c r="E40" s="8" t="s">
        <v>2095</v>
      </c>
      <c r="F40" s="8" t="s">
        <v>2096</v>
      </c>
      <c r="G40" s="9" t="s">
        <v>1920</v>
      </c>
    </row>
    <row r="41" customFormat="false" ht="42" hidden="false" customHeight="true" outlineLevel="0" collapsed="false">
      <c r="A41" s="6" t="s">
        <v>1840</v>
      </c>
      <c r="B41" s="9" t="s">
        <v>2097</v>
      </c>
      <c r="C41" s="9" t="s">
        <v>2098</v>
      </c>
      <c r="D41" s="8" t="s">
        <v>2099</v>
      </c>
      <c r="E41" s="8" t="s">
        <v>2100</v>
      </c>
      <c r="F41" s="8" t="s">
        <v>2101</v>
      </c>
      <c r="G41" s="9" t="s">
        <v>1920</v>
      </c>
    </row>
    <row r="42" customFormat="false" ht="67.5" hidden="false" customHeight="true" outlineLevel="0" collapsed="false">
      <c r="A42" s="6" t="s">
        <v>1840</v>
      </c>
      <c r="B42" s="9" t="s">
        <v>2102</v>
      </c>
      <c r="C42" s="9" t="s">
        <v>2103</v>
      </c>
      <c r="D42" s="8" t="s">
        <v>2104</v>
      </c>
      <c r="E42" s="8" t="s">
        <v>2105</v>
      </c>
      <c r="F42" s="8" t="s">
        <v>2106</v>
      </c>
      <c r="G42" s="9" t="s">
        <v>1920</v>
      </c>
    </row>
    <row r="43" customFormat="false" ht="42" hidden="false" customHeight="true" outlineLevel="0" collapsed="false">
      <c r="A43" s="6" t="s">
        <v>1840</v>
      </c>
      <c r="B43" s="9" t="s">
        <v>2107</v>
      </c>
      <c r="C43" s="9" t="s">
        <v>2108</v>
      </c>
      <c r="D43" s="9" t="s">
        <v>2109</v>
      </c>
      <c r="E43" s="8" t="s">
        <v>2110</v>
      </c>
      <c r="F43" s="8" t="s">
        <v>2111</v>
      </c>
      <c r="G43" s="9" t="s">
        <v>1920</v>
      </c>
    </row>
    <row r="44" customFormat="false" ht="42" hidden="false" customHeight="true" outlineLevel="0" collapsed="false">
      <c r="A44" s="6" t="s">
        <v>1840</v>
      </c>
      <c r="B44" s="9" t="s">
        <v>2112</v>
      </c>
      <c r="C44" s="9" t="s">
        <v>2113</v>
      </c>
      <c r="D44" s="9" t="s">
        <v>2114</v>
      </c>
      <c r="E44" s="8" t="s">
        <v>2115</v>
      </c>
      <c r="F44" s="8" t="s">
        <v>2116</v>
      </c>
      <c r="G44" s="9" t="s">
        <v>1920</v>
      </c>
    </row>
    <row r="45" customFormat="false" ht="42" hidden="false" customHeight="true" outlineLevel="0" collapsed="false">
      <c r="A45" s="6" t="s">
        <v>1840</v>
      </c>
      <c r="B45" s="9" t="s">
        <v>2117</v>
      </c>
      <c r="C45" s="9" t="s">
        <v>2118</v>
      </c>
      <c r="D45" s="9" t="s">
        <v>2119</v>
      </c>
      <c r="E45" s="8" t="s">
        <v>2120</v>
      </c>
      <c r="F45" s="8" t="s">
        <v>2121</v>
      </c>
      <c r="G45" s="9" t="s">
        <v>1920</v>
      </c>
    </row>
    <row r="46" customFormat="false" ht="29.25" hidden="false" customHeight="true" outlineLevel="0" collapsed="false">
      <c r="A46" s="6" t="s">
        <v>1724</v>
      </c>
      <c r="B46" s="9" t="s">
        <v>2122</v>
      </c>
      <c r="C46" s="9" t="s">
        <v>2123</v>
      </c>
      <c r="D46" s="9" t="s">
        <v>2124</v>
      </c>
      <c r="E46" s="8" t="s">
        <v>2125</v>
      </c>
      <c r="F46" s="8" t="s">
        <v>2126</v>
      </c>
      <c r="G46" s="9" t="s">
        <v>1920</v>
      </c>
    </row>
    <row r="47" customFormat="false" ht="42" hidden="false" customHeight="true" outlineLevel="0" collapsed="false">
      <c r="A47" s="6" t="s">
        <v>1724</v>
      </c>
      <c r="B47" s="9" t="s">
        <v>2127</v>
      </c>
      <c r="C47" s="9" t="s">
        <v>2128</v>
      </c>
      <c r="D47" s="8" t="s">
        <v>2129</v>
      </c>
      <c r="E47" s="8" t="s">
        <v>2130</v>
      </c>
      <c r="F47" s="8" t="s">
        <v>2131</v>
      </c>
      <c r="G47" s="9" t="s">
        <v>1920</v>
      </c>
    </row>
    <row r="48" customFormat="false" ht="80.25" hidden="false" customHeight="true" outlineLevel="0" collapsed="false">
      <c r="A48" s="6" t="s">
        <v>1793</v>
      </c>
      <c r="B48" s="9" t="s">
        <v>2132</v>
      </c>
      <c r="C48" s="9" t="s">
        <v>2133</v>
      </c>
      <c r="D48" s="9" t="s">
        <v>2134</v>
      </c>
      <c r="E48" s="8" t="s">
        <v>2135</v>
      </c>
      <c r="F48" s="8" t="s">
        <v>2136</v>
      </c>
      <c r="G48" s="9" t="s">
        <v>1920</v>
      </c>
    </row>
    <row r="49" customFormat="false" ht="29.25" hidden="false" customHeight="true" outlineLevel="0" collapsed="false">
      <c r="A49" s="6" t="s">
        <v>1793</v>
      </c>
      <c r="B49" s="17" t="s">
        <v>2137</v>
      </c>
      <c r="C49" s="17" t="s">
        <v>2138</v>
      </c>
      <c r="D49" s="8" t="s">
        <v>2139</v>
      </c>
      <c r="E49" s="8" t="s">
        <v>2140</v>
      </c>
      <c r="F49" s="8" t="s">
        <v>2141</v>
      </c>
      <c r="G49" s="9" t="s">
        <v>2142</v>
      </c>
    </row>
    <row r="50" customFormat="false" ht="42" hidden="false" customHeight="true" outlineLevel="0" collapsed="false">
      <c r="A50" s="6" t="s">
        <v>1781</v>
      </c>
      <c r="B50" s="9" t="s">
        <v>2143</v>
      </c>
      <c r="C50" s="9" t="s">
        <v>2144</v>
      </c>
      <c r="D50" s="17" t="s">
        <v>2145</v>
      </c>
      <c r="E50" s="8" t="s">
        <v>2146</v>
      </c>
      <c r="F50" s="8" t="s">
        <v>2147</v>
      </c>
      <c r="G50" s="9" t="s">
        <v>1920</v>
      </c>
    </row>
    <row r="51" customFormat="false" ht="29.25" hidden="false" customHeight="true" outlineLevel="0" collapsed="false">
      <c r="A51" s="6" t="s">
        <v>1781</v>
      </c>
      <c r="B51" s="9" t="s">
        <v>2148</v>
      </c>
      <c r="C51" s="9" t="s">
        <v>2149</v>
      </c>
      <c r="D51" s="9" t="s">
        <v>2150</v>
      </c>
      <c r="E51" s="8" t="s">
        <v>2151</v>
      </c>
      <c r="F51" s="8" t="s">
        <v>2152</v>
      </c>
      <c r="G51" s="9" t="s">
        <v>1920</v>
      </c>
    </row>
    <row r="52" customFormat="false" ht="29.25" hidden="false" customHeight="true" outlineLevel="0" collapsed="false">
      <c r="A52" s="6"/>
      <c r="B52" s="9"/>
      <c r="C52" s="9"/>
      <c r="D52" s="8"/>
      <c r="E52" s="8"/>
      <c r="F52" s="8"/>
      <c r="G52" s="9"/>
    </row>
    <row r="54" customFormat="false" ht="16.5" hidden="false" customHeight="true" outlineLevel="0" collapsed="false">
      <c r="A54" s="60" t="s">
        <v>2153</v>
      </c>
      <c r="B54" s="60"/>
      <c r="C54" s="60"/>
      <c r="D54" s="60"/>
      <c r="E54" s="60"/>
      <c r="F54" s="60"/>
      <c r="G54" s="60"/>
    </row>
  </sheetData>
  <mergeCells count="1">
    <mergeCell ref="A54:G5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F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6"/>
    <col collapsed="false" customWidth="true" hidden="false" outlineLevel="0" max="3" min="3" style="1" width="46"/>
    <col collapsed="false" customWidth="true" hidden="false" outlineLevel="0" max="4" min="4" style="1" width="54"/>
    <col collapsed="false" customWidth="true" hidden="false" outlineLevel="0" max="5" min="5" style="1" width="26"/>
    <col collapsed="false" customWidth="true" hidden="false" outlineLevel="0" max="6" min="6" style="1" width="6"/>
  </cols>
  <sheetData>
    <row r="1" customFormat="false" ht="24" hidden="false" customHeight="true" outlineLevel="0" collapsed="false">
      <c r="A1" s="24" t="s">
        <v>2154</v>
      </c>
    </row>
    <row r="2" customFormat="false" ht="15" hidden="false" customHeight="true" outlineLevel="0" collapsed="false">
      <c r="A2" s="23" t="s">
        <v>2155</v>
      </c>
    </row>
    <row r="4" customFormat="false" ht="18" hidden="false" customHeight="true" outlineLevel="0" collapsed="false">
      <c r="A4" s="39" t="s">
        <v>2156</v>
      </c>
      <c r="B4" s="5"/>
      <c r="C4" s="5"/>
      <c r="D4" s="5"/>
      <c r="E4" s="5"/>
      <c r="F4" s="5"/>
    </row>
    <row r="5" customFormat="false" ht="19.5" hidden="false" customHeight="true" outlineLevel="0" collapsed="false">
      <c r="A5" s="26" t="s">
        <v>2157</v>
      </c>
      <c r="B5" s="26" t="s">
        <v>2158</v>
      </c>
      <c r="C5" s="26" t="s">
        <v>2159</v>
      </c>
      <c r="D5" s="26" t="s">
        <v>1910</v>
      </c>
      <c r="E5" s="26" t="s">
        <v>1913</v>
      </c>
    </row>
    <row r="6" customFormat="false" ht="29.25" hidden="false" customHeight="true" outlineLevel="0" collapsed="false">
      <c r="A6" s="27" t="s">
        <v>2160</v>
      </c>
      <c r="B6" s="27" t="s">
        <v>2161</v>
      </c>
      <c r="C6" s="8" t="s">
        <v>2162</v>
      </c>
      <c r="D6" s="9" t="s">
        <v>2163</v>
      </c>
      <c r="E6" s="9" t="s">
        <v>2164</v>
      </c>
    </row>
    <row r="7" customFormat="false" ht="29.25" hidden="false" customHeight="true" outlineLevel="0" collapsed="false">
      <c r="A7" s="27" t="s">
        <v>2165</v>
      </c>
      <c r="B7" s="27" t="s">
        <v>2166</v>
      </c>
      <c r="C7" s="9" t="s">
        <v>2167</v>
      </c>
      <c r="D7" s="9" t="s">
        <v>2168</v>
      </c>
      <c r="E7" s="9" t="s">
        <v>2164</v>
      </c>
    </row>
    <row r="8" customFormat="false" ht="29.25" hidden="false" customHeight="true" outlineLevel="0" collapsed="false">
      <c r="A8" s="27" t="s">
        <v>2169</v>
      </c>
      <c r="B8" s="27" t="s">
        <v>2170</v>
      </c>
      <c r="C8" s="9" t="s">
        <v>2171</v>
      </c>
      <c r="D8" s="9" t="s">
        <v>2172</v>
      </c>
      <c r="E8" s="9" t="s">
        <v>2173</v>
      </c>
    </row>
    <row r="9" customFormat="false" ht="16.5" hidden="false" customHeight="true" outlineLevel="0" collapsed="false">
      <c r="A9" s="27" t="s">
        <v>2174</v>
      </c>
      <c r="B9" s="27" t="s">
        <v>2175</v>
      </c>
      <c r="C9" s="17" t="s">
        <v>2176</v>
      </c>
      <c r="D9" s="9" t="s">
        <v>2177</v>
      </c>
      <c r="E9" s="9" t="s">
        <v>2164</v>
      </c>
    </row>
    <row r="10" customFormat="false" ht="42" hidden="false" customHeight="true" outlineLevel="0" collapsed="false">
      <c r="A10" s="27" t="s">
        <v>2178</v>
      </c>
      <c r="B10" s="27" t="s">
        <v>2179</v>
      </c>
      <c r="C10" s="8" t="s">
        <v>2180</v>
      </c>
      <c r="D10" s="9" t="s">
        <v>2181</v>
      </c>
      <c r="E10" s="9" t="s">
        <v>2164</v>
      </c>
    </row>
    <row r="11" customFormat="false" ht="29.25" hidden="false" customHeight="true" outlineLevel="0" collapsed="false">
      <c r="A11" s="27" t="s">
        <v>2182</v>
      </c>
      <c r="B11" s="27" t="s">
        <v>2183</v>
      </c>
      <c r="C11" s="9" t="s">
        <v>2184</v>
      </c>
      <c r="D11" s="9" t="s">
        <v>2185</v>
      </c>
      <c r="E11" s="9" t="s">
        <v>2164</v>
      </c>
    </row>
    <row r="12" customFormat="false" ht="29.25" hidden="false" customHeight="true" outlineLevel="0" collapsed="false">
      <c r="A12" s="27" t="s">
        <v>2186</v>
      </c>
      <c r="B12" s="27" t="s">
        <v>2187</v>
      </c>
      <c r="C12" s="9" t="s">
        <v>2188</v>
      </c>
      <c r="D12" s="9" t="s">
        <v>2189</v>
      </c>
      <c r="E12" s="9" t="s">
        <v>2164</v>
      </c>
    </row>
    <row r="13" customFormat="false" ht="16.5" hidden="false" customHeight="true" outlineLevel="0" collapsed="false">
      <c r="A13" s="27" t="s">
        <v>2190</v>
      </c>
      <c r="B13" s="27" t="s">
        <v>2191</v>
      </c>
      <c r="C13" s="17" t="s">
        <v>2192</v>
      </c>
      <c r="D13" s="9" t="s">
        <v>2193</v>
      </c>
      <c r="E13" s="9" t="s">
        <v>2164</v>
      </c>
    </row>
    <row r="14" customFormat="false" ht="29.25" hidden="false" customHeight="true" outlineLevel="0" collapsed="false">
      <c r="A14" s="27" t="s">
        <v>2194</v>
      </c>
      <c r="B14" s="27" t="s">
        <v>1954</v>
      </c>
      <c r="C14" s="9" t="s">
        <v>2195</v>
      </c>
      <c r="D14" s="9" t="s">
        <v>2196</v>
      </c>
      <c r="E14" s="9" t="s">
        <v>2197</v>
      </c>
    </row>
    <row r="15" customFormat="false" ht="29.25" hidden="false" customHeight="true" outlineLevel="0" collapsed="false">
      <c r="A15" s="27" t="s">
        <v>2198</v>
      </c>
      <c r="B15" s="27" t="s">
        <v>2199</v>
      </c>
      <c r="C15" s="17" t="s">
        <v>2200</v>
      </c>
      <c r="D15" s="9" t="s">
        <v>2201</v>
      </c>
      <c r="E15" s="9" t="s">
        <v>2164</v>
      </c>
    </row>
    <row r="16" customFormat="false" ht="29.25" hidden="false" customHeight="true" outlineLevel="0" collapsed="false">
      <c r="A16" s="27" t="s">
        <v>2202</v>
      </c>
      <c r="B16" s="27" t="s">
        <v>2203</v>
      </c>
      <c r="C16" s="9" t="s">
        <v>2204</v>
      </c>
      <c r="D16" s="9" t="s">
        <v>2205</v>
      </c>
      <c r="E16" s="9" t="s">
        <v>2197</v>
      </c>
    </row>
    <row r="17" customFormat="false" ht="16.5" hidden="false" customHeight="true" outlineLevel="0" collapsed="false">
      <c r="A17" s="27" t="s">
        <v>2206</v>
      </c>
      <c r="B17" s="27" t="s">
        <v>2054</v>
      </c>
      <c r="C17" s="9" t="s">
        <v>2207</v>
      </c>
      <c r="D17" s="9" t="s">
        <v>2208</v>
      </c>
      <c r="E17" s="8" t="s">
        <v>282</v>
      </c>
    </row>
    <row r="18" customFormat="false" ht="29.25" hidden="false" customHeight="true" outlineLevel="0" collapsed="false">
      <c r="A18" s="27" t="s">
        <v>2209</v>
      </c>
      <c r="B18" s="27" t="s">
        <v>2035</v>
      </c>
      <c r="C18" s="8" t="s">
        <v>2210</v>
      </c>
      <c r="D18" s="9" t="s">
        <v>2211</v>
      </c>
      <c r="E18" s="9" t="s">
        <v>2164</v>
      </c>
    </row>
    <row r="19" customFormat="false" ht="16.5" hidden="false" customHeight="true" outlineLevel="0" collapsed="false">
      <c r="A19" s="27" t="s">
        <v>2212</v>
      </c>
      <c r="B19" s="27" t="s">
        <v>2213</v>
      </c>
      <c r="C19" s="9" t="s">
        <v>2214</v>
      </c>
      <c r="D19" s="9" t="s">
        <v>2215</v>
      </c>
      <c r="E19" s="9" t="s">
        <v>2164</v>
      </c>
    </row>
    <row r="20" customFormat="false" ht="29.25" hidden="false" customHeight="true" outlineLevel="0" collapsed="false">
      <c r="A20" s="27" t="s">
        <v>2216</v>
      </c>
      <c r="B20" s="27" t="s">
        <v>2217</v>
      </c>
      <c r="C20" s="9" t="s">
        <v>2218</v>
      </c>
      <c r="D20" s="9" t="s">
        <v>2219</v>
      </c>
      <c r="E20" s="9" t="s">
        <v>2164</v>
      </c>
    </row>
    <row r="21" customFormat="false" ht="16.5" hidden="false" customHeight="true" outlineLevel="0" collapsed="false">
      <c r="A21" s="27" t="s">
        <v>2220</v>
      </c>
      <c r="B21" s="27" t="s">
        <v>2221</v>
      </c>
      <c r="C21" s="17" t="s">
        <v>2222</v>
      </c>
      <c r="D21" s="9" t="s">
        <v>2223</v>
      </c>
      <c r="E21" s="9" t="s">
        <v>2164</v>
      </c>
    </row>
    <row r="22" customFormat="false" ht="29.25" hidden="false" customHeight="true" outlineLevel="0" collapsed="false">
      <c r="A22" s="27" t="s">
        <v>2224</v>
      </c>
      <c r="B22" s="27" t="s">
        <v>2050</v>
      </c>
      <c r="C22" s="9" t="s">
        <v>2225</v>
      </c>
      <c r="D22" s="9" t="s">
        <v>2226</v>
      </c>
      <c r="E22" s="9" t="s">
        <v>2164</v>
      </c>
    </row>
    <row r="23" customFormat="false" ht="29.25" hidden="false" customHeight="true" outlineLevel="0" collapsed="false">
      <c r="A23" s="27" t="s">
        <v>2227</v>
      </c>
      <c r="B23" s="27" t="s">
        <v>2090</v>
      </c>
      <c r="C23" s="9" t="s">
        <v>2228</v>
      </c>
      <c r="D23" s="8" t="s">
        <v>2229</v>
      </c>
      <c r="E23" s="9" t="s">
        <v>2164</v>
      </c>
    </row>
    <row r="24" customFormat="false" ht="16.5" hidden="false" customHeight="true" outlineLevel="0" collapsed="false">
      <c r="A24" s="27" t="s">
        <v>2230</v>
      </c>
      <c r="B24" s="27" t="s">
        <v>2231</v>
      </c>
      <c r="C24" s="9" t="s">
        <v>2232</v>
      </c>
      <c r="D24" s="9" t="s">
        <v>2233</v>
      </c>
      <c r="E24" s="9" t="s">
        <v>2164</v>
      </c>
    </row>
    <row r="26" customFormat="false" ht="18" hidden="false" customHeight="true" outlineLevel="0" collapsed="false">
      <c r="A26" s="39" t="s">
        <v>2234</v>
      </c>
      <c r="B26" s="5"/>
      <c r="C26" s="5"/>
      <c r="D26" s="5"/>
      <c r="E26" s="5"/>
      <c r="F26" s="5"/>
    </row>
    <row r="27" customFormat="false" ht="19.5" hidden="false" customHeight="true" outlineLevel="0" collapsed="false">
      <c r="A27" s="26" t="s">
        <v>86</v>
      </c>
      <c r="B27" s="26" t="s">
        <v>2235</v>
      </c>
      <c r="C27" s="26" t="s">
        <v>2236</v>
      </c>
      <c r="D27" s="26" t="s">
        <v>2237</v>
      </c>
    </row>
    <row r="28" customFormat="false" ht="16.5" hidden="false" customHeight="true" outlineLevel="0" collapsed="false">
      <c r="A28" s="11" t="s">
        <v>2238</v>
      </c>
      <c r="B28" s="8" t="s">
        <v>2239</v>
      </c>
      <c r="C28" s="9" t="s">
        <v>2240</v>
      </c>
      <c r="D28" s="9" t="s">
        <v>2241</v>
      </c>
    </row>
    <row r="29" customFormat="false" ht="16.5" hidden="false" customHeight="true" outlineLevel="0" collapsed="false">
      <c r="A29" s="11" t="s">
        <v>2242</v>
      </c>
      <c r="B29" s="8" t="s">
        <v>2243</v>
      </c>
      <c r="C29" s="9" t="s">
        <v>2244</v>
      </c>
      <c r="D29" s="9" t="s">
        <v>2245</v>
      </c>
    </row>
    <row r="30" customFormat="false" ht="29.25" hidden="false" customHeight="true" outlineLevel="0" collapsed="false">
      <c r="A30" s="11" t="s">
        <v>2246</v>
      </c>
      <c r="B30" s="8" t="s">
        <v>2247</v>
      </c>
      <c r="C30" s="9" t="s">
        <v>2248</v>
      </c>
      <c r="D30" s="9" t="s">
        <v>2249</v>
      </c>
    </row>
    <row r="31" customFormat="false" ht="16.5" hidden="false" customHeight="true" outlineLevel="0" collapsed="false">
      <c r="A31" s="11" t="s">
        <v>2250</v>
      </c>
      <c r="B31" s="8" t="s">
        <v>2251</v>
      </c>
      <c r="C31" s="9" t="s">
        <v>2252</v>
      </c>
      <c r="D31" s="9" t="s">
        <v>2253</v>
      </c>
    </row>
    <row r="32" customFormat="false" ht="16.5" hidden="false" customHeight="true" outlineLevel="0" collapsed="false">
      <c r="A32" s="11" t="s">
        <v>2254</v>
      </c>
      <c r="B32" s="8" t="s">
        <v>2255</v>
      </c>
      <c r="C32" s="9" t="s">
        <v>2256</v>
      </c>
      <c r="D32" s="17" t="s">
        <v>2257</v>
      </c>
    </row>
    <row r="33" customFormat="false" ht="16.5" hidden="false" customHeight="true" outlineLevel="0" collapsed="false">
      <c r="A33" s="11" t="s">
        <v>2258</v>
      </c>
      <c r="B33" s="8" t="s">
        <v>2259</v>
      </c>
      <c r="C33" s="9" t="s">
        <v>2260</v>
      </c>
      <c r="D33" s="17" t="s">
        <v>2261</v>
      </c>
    </row>
    <row r="35" customFormat="false" ht="18" hidden="false" customHeight="true" outlineLevel="0" collapsed="false">
      <c r="A35" s="39" t="s">
        <v>2262</v>
      </c>
    </row>
    <row r="36" customFormat="false" ht="31.5" hidden="false" customHeight="true" outlineLevel="0" collapsed="false">
      <c r="A36" s="26" t="s">
        <v>2263</v>
      </c>
      <c r="B36" s="26" t="s">
        <v>2264</v>
      </c>
      <c r="C36" s="26" t="s">
        <v>2265</v>
      </c>
      <c r="D36" s="26" t="s">
        <v>2266</v>
      </c>
      <c r="E36" s="26" t="s">
        <v>2267</v>
      </c>
    </row>
    <row r="37" customFormat="false" ht="15" hidden="false" customHeight="true" outlineLevel="0" collapsed="false">
      <c r="A37" s="49" t="s">
        <v>2268</v>
      </c>
      <c r="B37" s="70" t="n">
        <v>45.08</v>
      </c>
      <c r="C37" s="33" t="n">
        <f aca="false">B37/$B$43</f>
        <v>0.382033898305085</v>
      </c>
      <c r="D37" s="71" t="n">
        <f aca="false">RANK(B37,$B$37:$B$42)</f>
        <v>1</v>
      </c>
      <c r="E37" s="72" t="s">
        <v>2269</v>
      </c>
    </row>
    <row r="38" customFormat="false" ht="15" hidden="false" customHeight="true" outlineLevel="0" collapsed="false">
      <c r="A38" s="49" t="s">
        <v>2270</v>
      </c>
      <c r="B38" s="70" t="n">
        <v>35.52</v>
      </c>
      <c r="C38" s="33" t="n">
        <f aca="false">B38/$B$43</f>
        <v>0.301016949152542</v>
      </c>
      <c r="D38" s="71" t="n">
        <f aca="false">RANK(B38,$B$37:$B$42)</f>
        <v>2</v>
      </c>
      <c r="E38" s="72" t="s">
        <v>2271</v>
      </c>
    </row>
    <row r="39" customFormat="false" ht="15" hidden="false" customHeight="true" outlineLevel="0" collapsed="false">
      <c r="A39" s="49" t="s">
        <v>2272</v>
      </c>
      <c r="B39" s="70" t="n">
        <v>29.62</v>
      </c>
      <c r="C39" s="33" t="n">
        <f aca="false">B39/$B$43</f>
        <v>0.251016949152542</v>
      </c>
      <c r="D39" s="71" t="n">
        <f aca="false">RANK(B39,$B$37:$B$42)</f>
        <v>3</v>
      </c>
      <c r="E39" s="72" t="s">
        <v>2273</v>
      </c>
    </row>
    <row r="40" customFormat="false" ht="15" hidden="false" customHeight="true" outlineLevel="0" collapsed="false">
      <c r="A40" s="49" t="s">
        <v>2274</v>
      </c>
      <c r="B40" s="70" t="n">
        <v>4.37</v>
      </c>
      <c r="C40" s="33" t="n">
        <f aca="false">B40/$B$43</f>
        <v>0.0370338983050847</v>
      </c>
      <c r="D40" s="71" t="n">
        <f aca="false">RANK(B40,$B$37:$B$42)</f>
        <v>4</v>
      </c>
      <c r="E40" s="72" t="s">
        <v>2275</v>
      </c>
    </row>
    <row r="41" customFormat="false" ht="15" hidden="false" customHeight="true" outlineLevel="0" collapsed="false">
      <c r="A41" s="49" t="s">
        <v>2276</v>
      </c>
      <c r="B41" s="70" t="n">
        <v>2.24</v>
      </c>
      <c r="C41" s="33" t="n">
        <f aca="false">B41/$B$43</f>
        <v>0.0189830508474576</v>
      </c>
      <c r="D41" s="71" t="n">
        <f aca="false">RANK(B41,$B$37:$B$42)</f>
        <v>5</v>
      </c>
      <c r="E41" s="72" t="s">
        <v>2277</v>
      </c>
    </row>
    <row r="42" customFormat="false" ht="15" hidden="false" customHeight="true" outlineLevel="0" collapsed="false">
      <c r="A42" s="73" t="s">
        <v>2278</v>
      </c>
      <c r="B42" s="70" t="n">
        <v>1.17</v>
      </c>
      <c r="C42" s="33" t="n">
        <f aca="false">B42/$B$43</f>
        <v>0.00991525423728814</v>
      </c>
      <c r="D42" s="71" t="n">
        <f aca="false">RANK(B42,$B$37:$B$42)</f>
        <v>6</v>
      </c>
      <c r="E42" s="72" t="s">
        <v>2279</v>
      </c>
    </row>
    <row r="43" customFormat="false" ht="15" hidden="false" customHeight="true" outlineLevel="0" collapsed="false">
      <c r="A43" s="74" t="s">
        <v>2280</v>
      </c>
      <c r="B43" s="75" t="n">
        <f aca="false">SUM(B37:B42)</f>
        <v>118</v>
      </c>
      <c r="C43" s="76"/>
      <c r="D43" s="76"/>
      <c r="E43" s="77" t="s">
        <v>2281</v>
      </c>
    </row>
    <row r="44" customFormat="false" ht="15" hidden="false" customHeight="true" outlineLevel="0" collapsed="false">
      <c r="A44" s="74" t="s">
        <v>2282</v>
      </c>
      <c r="B44" s="75" t="n">
        <f aca="false">B43/2</f>
        <v>59</v>
      </c>
      <c r="C44" s="76"/>
      <c r="D44" s="76"/>
      <c r="E44" s="77" t="s">
        <v>2283</v>
      </c>
    </row>
    <row r="45" customFormat="false" ht="15" hidden="false" customHeight="true" outlineLevel="0" collapsed="false">
      <c r="A45" s="78" t="s">
        <v>2284</v>
      </c>
      <c r="B45" s="76" t="str">
        <f aca="false">INDEX(A37:A42,MATCH(MAX(B37:B42),B37:B42,0))</f>
        <v>UCN 후보</v>
      </c>
      <c r="C45" s="76"/>
      <c r="D45" s="76"/>
      <c r="E45" s="76"/>
    </row>
    <row r="46" customFormat="false" ht="15" hidden="false" customHeight="true" outlineLevel="0" collapsed="false">
      <c r="A46" s="78" t="s">
        <v>2285</v>
      </c>
      <c r="B46" s="76" t="str">
        <f aca="false">INDEX(A37:A42,MATCH(LARGE(B37:B42,2),B37:B42,0))</f>
        <v>Rafael (CC)</v>
      </c>
      <c r="C46" s="76"/>
      <c r="D46" s="76"/>
      <c r="E46" s="76"/>
    </row>
    <row r="47" customFormat="false" ht="15" hidden="false" customHeight="true" outlineLevel="0" collapsed="false">
      <c r="A47" s="78" t="s">
        <v>2286</v>
      </c>
      <c r="B47" s="79" t="n">
        <f aca="false">MAX(B37:B42)/B43</f>
        <v>0.382033898305085</v>
      </c>
      <c r="C47" s="76"/>
      <c r="D47" s="76"/>
      <c r="E47" s="76"/>
    </row>
    <row r="48" customFormat="false" ht="29.25" hidden="false" customHeight="true" outlineLevel="0" collapsed="false">
      <c r="A48" s="74" t="s">
        <v>2287</v>
      </c>
      <c r="B48" s="76" t="str">
        <f aca="false">IF(MAX(B37:B42)&gt;B44,"1차 당선","결선 투표 (상위 2인)")</f>
        <v>결선 투표 (상위 2인)</v>
      </c>
      <c r="C48" s="76"/>
      <c r="D48" s="76"/>
      <c r="E48" s="76" t="s">
        <v>2288</v>
      </c>
    </row>
    <row r="49" customFormat="false" ht="15" hidden="false" customHeight="true" outlineLevel="0" collapsed="false">
      <c r="A49" s="78" t="s">
        <v>2289</v>
      </c>
      <c r="B49" s="79" t="n">
        <f aca="false">(MAX(B37:B42)-LARGE(B37:B42,2))/B43</f>
        <v>0.0810169491525423</v>
      </c>
      <c r="C49" s="76"/>
      <c r="D49" s="76"/>
      <c r="E49" s="76"/>
    </row>
    <row r="50" customFormat="false" ht="48" hidden="false" customHeight="true" outlineLevel="0" collapsed="false">
      <c r="A50" s="60" t="s">
        <v>2290</v>
      </c>
      <c r="B50" s="60"/>
      <c r="C50" s="60"/>
      <c r="D50" s="60"/>
      <c r="E50" s="60"/>
      <c r="F50" s="60"/>
    </row>
    <row r="52" customFormat="false" ht="18" hidden="false" customHeight="true" outlineLevel="0" collapsed="false">
      <c r="A52" s="39" t="s">
        <v>2291</v>
      </c>
    </row>
    <row r="53" customFormat="false" ht="31.5" hidden="false" customHeight="true" outlineLevel="0" collapsed="false">
      <c r="A53" s="80" t="s">
        <v>2292</v>
      </c>
      <c r="B53" s="80" t="s">
        <v>2293</v>
      </c>
      <c r="C53" s="80" t="s">
        <v>2294</v>
      </c>
      <c r="D53" s="80" t="s">
        <v>2295</v>
      </c>
      <c r="E53" s="26" t="s">
        <v>2296</v>
      </c>
      <c r="F53" s="26" t="s">
        <v>2267</v>
      </c>
    </row>
    <row r="54" customFormat="false" ht="15" hidden="false" customHeight="true" outlineLevel="0" collapsed="false">
      <c r="A54" s="49" t="s">
        <v>2270</v>
      </c>
      <c r="B54" s="81" t="n">
        <f aca="false">B38</f>
        <v>35.52</v>
      </c>
      <c r="C54" s="44" t="n">
        <v>1</v>
      </c>
      <c r="D54" s="44" t="n">
        <v>0</v>
      </c>
      <c r="E54" s="82" t="n">
        <f aca="false">1-C54-D54</f>
        <v>0</v>
      </c>
      <c r="F54" s="72"/>
    </row>
    <row r="55" customFormat="false" ht="15" hidden="false" customHeight="true" outlineLevel="0" collapsed="false">
      <c r="A55" s="49" t="s">
        <v>2268</v>
      </c>
      <c r="B55" s="81" t="n">
        <f aca="false">B37</f>
        <v>45.08</v>
      </c>
      <c r="C55" s="44" t="n">
        <v>0</v>
      </c>
      <c r="D55" s="44" t="n">
        <v>1</v>
      </c>
      <c r="E55" s="82" t="n">
        <f aca="false">1-C55-D55</f>
        <v>0</v>
      </c>
      <c r="F55" s="72"/>
    </row>
    <row r="56" customFormat="false" ht="15" hidden="false" customHeight="true" outlineLevel="0" collapsed="false">
      <c r="A56" s="49" t="s">
        <v>2272</v>
      </c>
      <c r="B56" s="81" t="n">
        <f aca="false">B39</f>
        <v>29.62</v>
      </c>
      <c r="C56" s="44" t="n">
        <v>0.66</v>
      </c>
      <c r="D56" s="44" t="n">
        <v>0.165</v>
      </c>
      <c r="E56" s="82" t="n">
        <f aca="false">1-C56-D56</f>
        <v>0.175</v>
      </c>
      <c r="F56" s="72"/>
    </row>
    <row r="57" customFormat="false" ht="15" hidden="false" customHeight="true" outlineLevel="0" collapsed="false">
      <c r="A57" s="49" t="s">
        <v>2274</v>
      </c>
      <c r="B57" s="81" t="n">
        <f aca="false">B40</f>
        <v>4.37</v>
      </c>
      <c r="C57" s="44" t="n">
        <v>0.05</v>
      </c>
      <c r="D57" s="44" t="n">
        <v>0.82</v>
      </c>
      <c r="E57" s="82" t="n">
        <f aca="false">1-C57-D57</f>
        <v>0.13</v>
      </c>
      <c r="F57" s="72"/>
    </row>
    <row r="58" customFormat="false" ht="15" hidden="false" customHeight="true" outlineLevel="0" collapsed="false">
      <c r="A58" s="49" t="s">
        <v>2276</v>
      </c>
      <c r="B58" s="81" t="n">
        <f aca="false">B41</f>
        <v>2.24</v>
      </c>
      <c r="C58" s="44" t="n">
        <v>0.4</v>
      </c>
      <c r="D58" s="44" t="n">
        <v>0.38</v>
      </c>
      <c r="E58" s="82" t="n">
        <f aca="false">1-C58-D58</f>
        <v>0.22</v>
      </c>
      <c r="F58" s="72"/>
    </row>
    <row r="59" customFormat="false" ht="15" hidden="false" customHeight="true" outlineLevel="0" collapsed="false">
      <c r="A59" s="73" t="s">
        <v>2278</v>
      </c>
      <c r="B59" s="81" t="n">
        <f aca="false">B42</f>
        <v>1.17</v>
      </c>
      <c r="C59" s="44" t="n">
        <v>0.3</v>
      </c>
      <c r="D59" s="44" t="n">
        <v>0.3</v>
      </c>
      <c r="E59" s="82" t="n">
        <f aca="false">1-C59-D59</f>
        <v>0.4</v>
      </c>
      <c r="F59" s="72"/>
    </row>
    <row r="60" customFormat="false" ht="15" hidden="false" customHeight="true" outlineLevel="0" collapsed="false">
      <c r="A60" s="78" t="s">
        <v>2297</v>
      </c>
      <c r="B60" s="75" t="n">
        <f aca="false">SUMPRODUCT(B54:B59,C54:C59)</f>
        <v>56.5347</v>
      </c>
      <c r="C60" s="76"/>
      <c r="D60" s="76"/>
      <c r="E60" s="76"/>
      <c r="F60" s="76"/>
    </row>
    <row r="61" customFormat="false" ht="15" hidden="false" customHeight="true" outlineLevel="0" collapsed="false">
      <c r="A61" s="78" t="s">
        <v>2298</v>
      </c>
      <c r="B61" s="75" t="n">
        <f aca="false">SUMPRODUCT(B54:B59,D54:D59)</f>
        <v>54.7529</v>
      </c>
      <c r="C61" s="76"/>
      <c r="D61" s="76"/>
      <c r="E61" s="76"/>
      <c r="F61" s="76"/>
    </row>
    <row r="62" customFormat="false" ht="15" hidden="false" customHeight="true" outlineLevel="0" collapsed="false">
      <c r="A62" s="74" t="s">
        <v>2299</v>
      </c>
      <c r="B62" s="75" t="n">
        <f aca="false">SUMPRODUCT(B54:B59,E54:E59)</f>
        <v>6.7124</v>
      </c>
      <c r="C62" s="76"/>
      <c r="D62" s="76"/>
      <c r="E62" s="76"/>
      <c r="F62" s="76"/>
    </row>
    <row r="63" customFormat="false" ht="15" hidden="false" customHeight="true" outlineLevel="0" collapsed="false">
      <c r="A63" s="78" t="s">
        <v>2300</v>
      </c>
      <c r="B63" s="79" t="n">
        <f aca="false">B60/(B60+B61)</f>
        <v>0.508005384247661</v>
      </c>
      <c r="C63" s="76"/>
      <c r="D63" s="76"/>
      <c r="E63" s="76"/>
      <c r="F63" s="76"/>
    </row>
    <row r="64" customFormat="false" ht="15" hidden="false" customHeight="true" outlineLevel="0" collapsed="false">
      <c r="A64" s="78" t="s">
        <v>2301</v>
      </c>
      <c r="B64" s="79" t="n">
        <f aca="false">B61/(B60+B61)</f>
        <v>0.491994615752339</v>
      </c>
      <c r="C64" s="76"/>
      <c r="D64" s="76"/>
      <c r="E64" s="76"/>
      <c r="F64" s="76"/>
    </row>
    <row r="65" customFormat="false" ht="29.25" hidden="false" customHeight="true" outlineLevel="0" collapsed="false">
      <c r="A65" s="74" t="s">
        <v>2287</v>
      </c>
      <c r="B65" s="76" t="str">
        <f aca="false">IF(B60&gt;B61,"Rafael (CC) 당선","UCN 후보 당선")</f>
        <v>Rafael (CC) 당선</v>
      </c>
      <c r="C65" s="76"/>
      <c r="D65" s="76"/>
      <c r="E65" s="76"/>
      <c r="F65" s="76"/>
    </row>
    <row r="66" customFormat="false" ht="15" hidden="false" customHeight="true" outlineLevel="0" collapsed="false">
      <c r="A66" s="74" t="s">
        <v>2302</v>
      </c>
      <c r="B66" s="75" t="n">
        <f aca="false">ABS(B60-B61)</f>
        <v>1.78180000000001</v>
      </c>
      <c r="C66" s="76"/>
      <c r="D66" s="76"/>
      <c r="E66" s="76"/>
      <c r="F66" s="76"/>
    </row>
    <row r="67" customFormat="false" ht="48" hidden="false" customHeight="true" outlineLevel="0" collapsed="false">
      <c r="A67" s="60" t="s">
        <v>2303</v>
      </c>
      <c r="B67" s="60"/>
      <c r="C67" s="60"/>
      <c r="D67" s="60"/>
      <c r="E67" s="60"/>
      <c r="F67" s="60"/>
    </row>
    <row r="69" customFormat="false" ht="18" hidden="false" customHeight="true" outlineLevel="0" collapsed="false">
      <c r="A69" s="39" t="s">
        <v>2304</v>
      </c>
    </row>
    <row r="70" customFormat="false" ht="31.5" hidden="false" customHeight="true" outlineLevel="0" collapsed="false">
      <c r="A70" s="26" t="s">
        <v>2305</v>
      </c>
      <c r="B70" s="26" t="s">
        <v>2306</v>
      </c>
      <c r="C70" s="26" t="s">
        <v>2307</v>
      </c>
      <c r="D70" s="26" t="s">
        <v>2308</v>
      </c>
      <c r="E70" s="26" t="s">
        <v>2267</v>
      </c>
      <c r="F70" s="26"/>
    </row>
    <row r="71" customFormat="false" ht="15" hidden="false" customHeight="true" outlineLevel="0" collapsed="false">
      <c r="A71" s="49" t="s">
        <v>2242</v>
      </c>
      <c r="B71" s="83" t="n">
        <v>132</v>
      </c>
      <c r="C71" s="31" t="s">
        <v>2309</v>
      </c>
      <c r="D71" s="84" t="s">
        <v>2310</v>
      </c>
      <c r="E71" s="72" t="s">
        <v>2311</v>
      </c>
      <c r="F71" s="72"/>
    </row>
    <row r="72" customFormat="false" ht="15" hidden="false" customHeight="true" outlineLevel="0" collapsed="false">
      <c r="A72" s="49" t="s">
        <v>2312</v>
      </c>
      <c r="B72" s="83" t="n">
        <v>60</v>
      </c>
      <c r="C72" s="31" t="s">
        <v>2309</v>
      </c>
      <c r="D72" s="84" t="s">
        <v>2310</v>
      </c>
      <c r="E72" s="72" t="s">
        <v>2313</v>
      </c>
      <c r="F72" s="72"/>
    </row>
    <row r="73" customFormat="false" ht="15" hidden="false" customHeight="true" outlineLevel="0" collapsed="false">
      <c r="A73" s="49" t="s">
        <v>2254</v>
      </c>
      <c r="B73" s="83" t="n">
        <v>40</v>
      </c>
      <c r="C73" s="31" t="s">
        <v>2309</v>
      </c>
      <c r="D73" s="84" t="s">
        <v>2310</v>
      </c>
      <c r="E73" s="72"/>
      <c r="F73" s="72"/>
    </row>
    <row r="74" customFormat="false" ht="15" hidden="false" customHeight="true" outlineLevel="0" collapsed="false">
      <c r="A74" s="49" t="s">
        <v>2314</v>
      </c>
      <c r="B74" s="83" t="n">
        <v>90</v>
      </c>
      <c r="C74" s="31" t="s">
        <v>2315</v>
      </c>
      <c r="D74" s="84" t="s">
        <v>2316</v>
      </c>
      <c r="E74" s="72" t="s">
        <v>2317</v>
      </c>
      <c r="F74" s="72"/>
    </row>
    <row r="75" customFormat="false" ht="15" hidden="false" customHeight="true" outlineLevel="0" collapsed="false">
      <c r="A75" s="49" t="s">
        <v>2246</v>
      </c>
      <c r="B75" s="83" t="n">
        <v>98</v>
      </c>
      <c r="C75" s="31" t="s">
        <v>2315</v>
      </c>
      <c r="D75" s="84" t="s">
        <v>2316</v>
      </c>
      <c r="E75" s="72" t="s">
        <v>2318</v>
      </c>
      <c r="F75" s="72"/>
    </row>
    <row r="76" customFormat="false" ht="15" hidden="false" customHeight="true" outlineLevel="0" collapsed="false">
      <c r="A76" s="49" t="s">
        <v>2238</v>
      </c>
      <c r="B76" s="83" t="n">
        <v>48</v>
      </c>
      <c r="C76" s="31" t="s">
        <v>2315</v>
      </c>
      <c r="D76" s="84" t="s">
        <v>2316</v>
      </c>
      <c r="E76" s="72" t="s">
        <v>2319</v>
      </c>
      <c r="F76" s="72"/>
    </row>
    <row r="77" customFormat="false" ht="15" hidden="false" customHeight="true" outlineLevel="0" collapsed="false">
      <c r="A77" s="49" t="s">
        <v>2320</v>
      </c>
      <c r="B77" s="83" t="n">
        <v>25</v>
      </c>
      <c r="C77" s="31" t="s">
        <v>2315</v>
      </c>
      <c r="D77" s="84" t="s">
        <v>2316</v>
      </c>
      <c r="E77" s="72" t="s">
        <v>2321</v>
      </c>
      <c r="F77" s="72"/>
    </row>
    <row r="78" customFormat="false" ht="15" hidden="false" customHeight="true" outlineLevel="0" collapsed="false">
      <c r="A78" s="49" t="s">
        <v>2322</v>
      </c>
      <c r="B78" s="83" t="n">
        <v>20</v>
      </c>
      <c r="C78" s="31" t="s">
        <v>2323</v>
      </c>
      <c r="D78" s="84" t="s">
        <v>2324</v>
      </c>
      <c r="E78" s="72" t="s">
        <v>2325</v>
      </c>
      <c r="F78" s="72"/>
    </row>
    <row r="79" customFormat="false" ht="15" hidden="false" customHeight="true" outlineLevel="0" collapsed="false">
      <c r="A79" s="74" t="s">
        <v>2326</v>
      </c>
      <c r="B79" s="85" t="n">
        <f aca="false">SUM(B71:B78)</f>
        <v>513</v>
      </c>
      <c r="C79" s="76"/>
      <c r="D79" s="76"/>
      <c r="E79" s="76" t="str">
        <f aca="false">IF(B79=513,"513석 OK","513석과 불일치")</f>
        <v>513석 OK</v>
      </c>
      <c r="F79" s="76"/>
    </row>
    <row r="80" customFormat="false" ht="15" hidden="false" customHeight="true" outlineLevel="0" collapsed="false">
      <c r="A80" s="74" t="s">
        <v>2327</v>
      </c>
      <c r="B80" s="85" t="n">
        <f aca="false">ROUNDUP(B79*2/3,0)</f>
        <v>342</v>
      </c>
      <c r="C80" s="76"/>
      <c r="D80" s="76"/>
      <c r="E80" s="77" t="s">
        <v>2328</v>
      </c>
      <c r="F80" s="76"/>
    </row>
    <row r="81" customFormat="false" ht="15" hidden="false" customHeight="true" outlineLevel="0" collapsed="false">
      <c r="A81" s="74" t="s">
        <v>2329</v>
      </c>
      <c r="B81" s="85" t="n">
        <f aca="false">SUMIF(C71:C78,"Sim",B71:B78)</f>
        <v>232</v>
      </c>
      <c r="C81" s="76"/>
      <c r="D81" s="76"/>
      <c r="E81" s="76"/>
      <c r="F81" s="76"/>
    </row>
    <row r="82" customFormat="false" ht="15" hidden="false" customHeight="true" outlineLevel="0" collapsed="false">
      <c r="A82" s="74" t="s">
        <v>2330</v>
      </c>
      <c r="B82" s="85" t="n">
        <f aca="false">SUMIF(C71:C78,"Não",B71:B78)</f>
        <v>261</v>
      </c>
      <c r="C82" s="76"/>
      <c r="D82" s="76"/>
      <c r="E82" s="76"/>
      <c r="F82" s="76"/>
    </row>
    <row r="83" customFormat="false" ht="15" hidden="false" customHeight="true" outlineLevel="0" collapsed="false">
      <c r="A83" s="74" t="s">
        <v>2331</v>
      </c>
      <c r="B83" s="85" t="n">
        <f aca="false">SUMIF(C71:C78,"Abst",B71:B78)</f>
        <v>20</v>
      </c>
      <c r="C83" s="76"/>
      <c r="D83" s="76"/>
      <c r="E83" s="77" t="s">
        <v>2332</v>
      </c>
      <c r="F83" s="76"/>
    </row>
    <row r="84" customFormat="false" ht="15" hidden="false" customHeight="true" outlineLevel="0" collapsed="false">
      <c r="A84" s="74" t="s">
        <v>2287</v>
      </c>
      <c r="B84" s="76" t="str">
        <f aca="false">IF(B81&gt;=B80,"개시 승인 → 상원 심판","부결 → 청구 기각")</f>
        <v>부결 → 청구 기각</v>
      </c>
      <c r="C84" s="76"/>
      <c r="D84" s="76"/>
      <c r="E84" s="76"/>
      <c r="F84" s="76"/>
    </row>
    <row r="85" customFormat="false" ht="29.25" hidden="false" customHeight="true" outlineLevel="0" collapsed="false">
      <c r="A85" s="74" t="s">
        <v>2333</v>
      </c>
      <c r="B85" s="85" t="n">
        <f aca="false">B79-B80+1</f>
        <v>172</v>
      </c>
      <c r="C85" s="76"/>
      <c r="D85" s="76"/>
      <c r="E85" s="77" t="s">
        <v>2334</v>
      </c>
      <c r="F85" s="76"/>
    </row>
    <row r="86" customFormat="false" ht="15" hidden="false" customHeight="true" outlineLevel="0" collapsed="false">
      <c r="A86" s="74" t="s">
        <v>2335</v>
      </c>
      <c r="B86" s="85" t="n">
        <f aca="false">SUMIF(D71:D78,"여당",B71:B78)</f>
        <v>261</v>
      </c>
      <c r="C86" s="76"/>
      <c r="D86" s="76"/>
      <c r="E86" s="76" t="str">
        <f aca="false">IF(B86&gt;=308,"개헌(308)도 가능",IF(B86&gt;=257,"과반(257) — 개헌은 불가","과반 미달"))</f>
        <v>과반(257) — 개헌은 불가</v>
      </c>
      <c r="F86" s="76"/>
    </row>
    <row r="87" customFormat="false" ht="18" hidden="false" customHeight="true" outlineLevel="0" collapsed="false"/>
    <row r="88" customFormat="false" ht="48" hidden="false" customHeight="true" outlineLevel="0" collapsed="false">
      <c r="A88" s="60" t="s">
        <v>2336</v>
      </c>
      <c r="B88" s="60"/>
      <c r="C88" s="60"/>
      <c r="D88" s="60"/>
      <c r="E88" s="60"/>
      <c r="F88" s="60"/>
    </row>
    <row r="90" customFormat="false" ht="15" hidden="false" customHeight="true" outlineLevel="0" collapsed="false">
      <c r="A90" s="39" t="s">
        <v>2337</v>
      </c>
      <c r="B90" s="39"/>
      <c r="C90" s="39"/>
      <c r="D90" s="39"/>
      <c r="E90" s="39"/>
      <c r="F90" s="39"/>
    </row>
    <row r="91" customFormat="false" ht="45" hidden="false" customHeight="true" outlineLevel="0" collapsed="false">
      <c r="A91" s="38" t="s">
        <v>2338</v>
      </c>
      <c r="B91" s="38"/>
      <c r="C91" s="38"/>
      <c r="D91" s="38"/>
      <c r="E91" s="38"/>
      <c r="F91" s="38"/>
    </row>
  </sheetData>
  <mergeCells count="4">
    <mergeCell ref="A50:F50"/>
    <mergeCell ref="A67:F67"/>
    <mergeCell ref="A88:F88"/>
    <mergeCell ref="A91:F9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26"/>
    <col collapsed="false" customWidth="true" hidden="false" outlineLevel="0" max="4" min="4" style="1" width="34"/>
    <col collapsed="false" customWidth="true" hidden="false" outlineLevel="0" max="5" min="5" style="1" width="52"/>
  </cols>
  <sheetData>
    <row r="1" customFormat="false" ht="24" hidden="false" customHeight="true" outlineLevel="0" collapsed="false">
      <c r="A1" s="24" t="s">
        <v>2339</v>
      </c>
    </row>
    <row r="2" customFormat="false" ht="15" hidden="false" customHeight="true" outlineLevel="0" collapsed="false">
      <c r="A2" s="23" t="s">
        <v>2340</v>
      </c>
    </row>
    <row r="4" customFormat="false" ht="19.5" hidden="false" customHeight="true" outlineLevel="0" collapsed="false">
      <c r="A4" s="26" t="s">
        <v>2341</v>
      </c>
      <c r="B4" s="25" t="s">
        <v>2342</v>
      </c>
      <c r="C4" s="25" t="s">
        <v>2343</v>
      </c>
      <c r="D4" s="25" t="s">
        <v>2344</v>
      </c>
      <c r="E4" s="26" t="s">
        <v>2267</v>
      </c>
    </row>
    <row r="5" customFormat="false" ht="29.25" hidden="false" customHeight="true" outlineLevel="0" collapsed="false">
      <c r="A5" s="6" t="s">
        <v>2345</v>
      </c>
      <c r="B5" s="8" t="s">
        <v>2346</v>
      </c>
      <c r="C5" s="8" t="s">
        <v>2347</v>
      </c>
      <c r="D5" s="8" t="s">
        <v>2346</v>
      </c>
      <c r="E5" s="8" t="s">
        <v>2348</v>
      </c>
    </row>
    <row r="6" customFormat="false" ht="16.5" hidden="false" customHeight="true" outlineLevel="0" collapsed="false">
      <c r="A6" s="6" t="s">
        <v>2349</v>
      </c>
      <c r="B6" s="8" t="s">
        <v>2346</v>
      </c>
      <c r="C6" s="8" t="s">
        <v>2350</v>
      </c>
      <c r="D6" s="8" t="s">
        <v>2346</v>
      </c>
      <c r="E6" s="8"/>
    </row>
    <row r="7" customFormat="false" ht="42" hidden="false" customHeight="true" outlineLevel="0" collapsed="false">
      <c r="A7" s="11" t="s">
        <v>2351</v>
      </c>
      <c r="B7" s="8" t="s">
        <v>2352</v>
      </c>
      <c r="C7" s="8" t="s">
        <v>2353</v>
      </c>
      <c r="D7" s="8" t="s">
        <v>2354</v>
      </c>
      <c r="E7" s="8" t="s">
        <v>2355</v>
      </c>
    </row>
    <row r="8" customFormat="false" ht="54.75" hidden="false" customHeight="true" outlineLevel="0" collapsed="false">
      <c r="A8" s="11" t="s">
        <v>2356</v>
      </c>
      <c r="B8" s="8" t="s">
        <v>2357</v>
      </c>
      <c r="C8" s="8" t="s">
        <v>2357</v>
      </c>
      <c r="D8" s="8" t="s">
        <v>2358</v>
      </c>
      <c r="E8" s="8" t="s">
        <v>2359</v>
      </c>
    </row>
    <row r="9" customFormat="false" ht="16.5" hidden="false" customHeight="true" outlineLevel="0" collapsed="false">
      <c r="A9" s="11" t="s">
        <v>2360</v>
      </c>
      <c r="B9" s="8" t="s">
        <v>2357</v>
      </c>
      <c r="C9" s="9" t="s">
        <v>2361</v>
      </c>
      <c r="D9" s="8" t="s">
        <v>2362</v>
      </c>
      <c r="E9" s="8"/>
    </row>
    <row r="10" customFormat="false" ht="16.5" hidden="false" customHeight="true" outlineLevel="0" collapsed="false">
      <c r="A10" s="11" t="s">
        <v>2363</v>
      </c>
      <c r="B10" s="8" t="s">
        <v>2364</v>
      </c>
      <c r="C10" s="9" t="s">
        <v>2361</v>
      </c>
      <c r="D10" s="8" t="s">
        <v>2346</v>
      </c>
      <c r="E10" s="9" t="s">
        <v>2365</v>
      </c>
    </row>
    <row r="11" customFormat="false" ht="29.25" hidden="false" customHeight="true" outlineLevel="0" collapsed="false">
      <c r="A11" s="11" t="s">
        <v>2366</v>
      </c>
      <c r="B11" s="8" t="s">
        <v>2367</v>
      </c>
      <c r="C11" s="8" t="s">
        <v>2368</v>
      </c>
      <c r="D11" s="8" t="s">
        <v>2368</v>
      </c>
      <c r="E11" s="9" t="s">
        <v>2369</v>
      </c>
    </row>
    <row r="12" customFormat="false" ht="16.5" hidden="false" customHeight="true" outlineLevel="0" collapsed="false">
      <c r="A12" s="11" t="s">
        <v>2370</v>
      </c>
      <c r="B12" s="8" t="s">
        <v>2352</v>
      </c>
      <c r="C12" s="8" t="s">
        <v>2352</v>
      </c>
      <c r="D12" s="9" t="s">
        <v>2371</v>
      </c>
      <c r="E12" s="8"/>
    </row>
    <row r="13" customFormat="false" ht="16.5" hidden="false" customHeight="true" outlineLevel="0" collapsed="false">
      <c r="A13" s="11" t="s">
        <v>2372</v>
      </c>
      <c r="B13" s="8" t="s">
        <v>2373</v>
      </c>
      <c r="C13" s="8" t="s">
        <v>2374</v>
      </c>
      <c r="D13" s="9" t="s">
        <v>2375</v>
      </c>
      <c r="E13" s="8"/>
    </row>
    <row r="14" customFormat="false" ht="16.5" hidden="false" customHeight="true" outlineLevel="0" collapsed="false">
      <c r="A14" s="11" t="s">
        <v>2376</v>
      </c>
      <c r="B14" s="8" t="s">
        <v>2346</v>
      </c>
      <c r="C14" s="8" t="s">
        <v>2346</v>
      </c>
      <c r="D14" s="8" t="s">
        <v>2346</v>
      </c>
      <c r="E14" s="9" t="s">
        <v>2377</v>
      </c>
    </row>
    <row r="15" customFormat="false" ht="16.5" hidden="false" customHeight="true" outlineLevel="0" collapsed="false">
      <c r="A15" s="11" t="s">
        <v>2378</v>
      </c>
      <c r="B15" s="8" t="s">
        <v>2346</v>
      </c>
      <c r="C15" s="8" t="s">
        <v>2346</v>
      </c>
      <c r="D15" s="8" t="s">
        <v>2346</v>
      </c>
      <c r="E15" s="8" t="s">
        <v>2379</v>
      </c>
    </row>
    <row r="16" customFormat="false" ht="16.5" hidden="false" customHeight="true" outlineLevel="0" collapsed="false">
      <c r="A16" s="11" t="s">
        <v>2380</v>
      </c>
      <c r="B16" s="8" t="s">
        <v>2381</v>
      </c>
      <c r="C16" s="8" t="s">
        <v>2352</v>
      </c>
      <c r="D16" s="9" t="s">
        <v>2382</v>
      </c>
      <c r="E16" s="8"/>
    </row>
    <row r="17" customFormat="false" ht="16.5" hidden="false" customHeight="true" outlineLevel="0" collapsed="false">
      <c r="A17" s="6" t="s">
        <v>2383</v>
      </c>
      <c r="B17" s="8" t="s">
        <v>2384</v>
      </c>
      <c r="C17" s="8" t="s">
        <v>2384</v>
      </c>
      <c r="D17" s="8" t="s">
        <v>2384</v>
      </c>
      <c r="E17" s="9" t="s">
        <v>2385</v>
      </c>
    </row>
    <row r="18" customFormat="false" ht="29.25" hidden="false" customHeight="true" outlineLevel="0" collapsed="false">
      <c r="A18" s="6" t="s">
        <v>2386</v>
      </c>
      <c r="B18" s="8" t="s">
        <v>282</v>
      </c>
      <c r="C18" s="8" t="s">
        <v>282</v>
      </c>
      <c r="D18" s="8" t="s">
        <v>2387</v>
      </c>
      <c r="E18" s="8" t="s">
        <v>2388</v>
      </c>
    </row>
    <row r="19" customFormat="false" ht="42" hidden="false" customHeight="true" outlineLevel="0" collapsed="false">
      <c r="A19" s="6" t="s">
        <v>2389</v>
      </c>
      <c r="B19" s="8" t="s">
        <v>282</v>
      </c>
      <c r="C19" s="8" t="s">
        <v>282</v>
      </c>
      <c r="D19" s="8" t="s">
        <v>2390</v>
      </c>
      <c r="E19" s="9" t="s">
        <v>2391</v>
      </c>
    </row>
    <row r="20" customFormat="false" ht="29.25" hidden="false" customHeight="true" outlineLevel="0" collapsed="false">
      <c r="A20" s="6" t="s">
        <v>2392</v>
      </c>
      <c r="B20" s="8" t="s">
        <v>282</v>
      </c>
      <c r="C20" s="8" t="s">
        <v>282</v>
      </c>
      <c r="D20" s="8" t="s">
        <v>2393</v>
      </c>
      <c r="E20" s="9" t="s">
        <v>2394</v>
      </c>
    </row>
    <row r="21" customFormat="false" ht="29.25" hidden="false" customHeight="true" outlineLevel="0" collapsed="false">
      <c r="A21" s="6" t="s">
        <v>2395</v>
      </c>
      <c r="B21" s="8" t="s">
        <v>282</v>
      </c>
      <c r="C21" s="8" t="s">
        <v>282</v>
      </c>
      <c r="D21" s="8" t="s">
        <v>2396</v>
      </c>
      <c r="E21" s="17" t="s">
        <v>2397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6"/>
    <col collapsed="false" customWidth="true" hidden="false" outlineLevel="0" max="3" min="3" style="1" width="32"/>
    <col collapsed="false" customWidth="true" hidden="false" outlineLevel="0" max="4" min="4" style="1" width="34"/>
    <col collapsed="false" customWidth="true" hidden="false" outlineLevel="0" max="5" min="5" style="1" width="48"/>
  </cols>
  <sheetData>
    <row r="1" customFormat="false" ht="24" hidden="false" customHeight="true" outlineLevel="0" collapsed="false">
      <c r="A1" s="2" t="s">
        <v>2398</v>
      </c>
    </row>
    <row r="2" customFormat="false" ht="15" hidden="false" customHeight="true" outlineLevel="0" collapsed="false">
      <c r="A2" s="23" t="s">
        <v>2399</v>
      </c>
    </row>
    <row r="4" customFormat="false" ht="18" hidden="false" customHeight="true" outlineLevel="0" collapsed="false">
      <c r="A4" s="39" t="s">
        <v>2400</v>
      </c>
      <c r="B4" s="5"/>
      <c r="C4" s="5"/>
      <c r="D4" s="5"/>
      <c r="E4" s="5"/>
    </row>
    <row r="5" customFormat="false" ht="19.5" hidden="false" customHeight="true" outlineLevel="0" collapsed="false">
      <c r="A5" s="26" t="s">
        <v>2401</v>
      </c>
      <c r="B5" s="26" t="s">
        <v>2402</v>
      </c>
      <c r="C5" s="26" t="s">
        <v>2236</v>
      </c>
      <c r="D5" s="26" t="s">
        <v>2403</v>
      </c>
      <c r="E5" s="26" t="s">
        <v>2404</v>
      </c>
    </row>
    <row r="6" customFormat="false" ht="42" hidden="false" customHeight="true" outlineLevel="0" collapsed="false">
      <c r="A6" s="11" t="s">
        <v>2405</v>
      </c>
      <c r="B6" s="8" t="s">
        <v>2406</v>
      </c>
      <c r="C6" s="9" t="s">
        <v>2407</v>
      </c>
      <c r="D6" s="8" t="s">
        <v>2408</v>
      </c>
      <c r="E6" s="9" t="s">
        <v>2409</v>
      </c>
    </row>
    <row r="7" customFormat="false" ht="42" hidden="false" customHeight="true" outlineLevel="0" collapsed="false">
      <c r="A7" s="11" t="s">
        <v>2410</v>
      </c>
      <c r="B7" s="8" t="s">
        <v>2411</v>
      </c>
      <c r="C7" s="9" t="s">
        <v>2412</v>
      </c>
      <c r="D7" s="8" t="s">
        <v>2413</v>
      </c>
      <c r="E7" s="9" t="s">
        <v>2414</v>
      </c>
    </row>
    <row r="8" customFormat="false" ht="29.25" hidden="false" customHeight="true" outlineLevel="0" collapsed="false">
      <c r="A8" s="6" t="s">
        <v>2415</v>
      </c>
      <c r="B8" s="8" t="s">
        <v>2416</v>
      </c>
      <c r="C8" s="9" t="s">
        <v>2417</v>
      </c>
      <c r="D8" s="8" t="s">
        <v>2418</v>
      </c>
      <c r="E8" s="9" t="s">
        <v>2419</v>
      </c>
    </row>
    <row r="10" customFormat="false" ht="18" hidden="false" customHeight="true" outlineLevel="0" collapsed="false">
      <c r="A10" s="39" t="s">
        <v>2420</v>
      </c>
      <c r="B10" s="5"/>
      <c r="C10" s="5"/>
      <c r="D10" s="5"/>
      <c r="E10" s="5"/>
    </row>
    <row r="11" customFormat="false" ht="19.5" hidden="false" customHeight="true" outlineLevel="0" collapsed="false">
      <c r="A11" s="26" t="s">
        <v>2157</v>
      </c>
      <c r="B11" s="26" t="s">
        <v>2421</v>
      </c>
      <c r="C11" s="26" t="s">
        <v>380</v>
      </c>
      <c r="D11" s="26" t="s">
        <v>2422</v>
      </c>
      <c r="E11" s="26" t="s">
        <v>2423</v>
      </c>
    </row>
    <row r="12" customFormat="false" ht="16.5" hidden="false" customHeight="true" outlineLevel="0" collapsed="false">
      <c r="A12" s="11" t="s">
        <v>2424</v>
      </c>
      <c r="B12" s="8" t="s">
        <v>2425</v>
      </c>
      <c r="C12" s="9" t="s">
        <v>2426</v>
      </c>
      <c r="D12" s="9" t="s">
        <v>2427</v>
      </c>
      <c r="E12" s="9" t="s">
        <v>2428</v>
      </c>
    </row>
    <row r="13" customFormat="false" ht="29.25" hidden="false" customHeight="true" outlineLevel="0" collapsed="false">
      <c r="A13" s="11" t="s">
        <v>2429</v>
      </c>
      <c r="B13" s="8" t="s">
        <v>2430</v>
      </c>
      <c r="C13" s="9" t="s">
        <v>2431</v>
      </c>
      <c r="D13" s="9" t="s">
        <v>2432</v>
      </c>
      <c r="E13" s="8" t="s">
        <v>2433</v>
      </c>
    </row>
    <row r="14" customFormat="false" ht="16.5" hidden="false" customHeight="true" outlineLevel="0" collapsed="false">
      <c r="A14" s="11" t="s">
        <v>2434</v>
      </c>
      <c r="B14" s="8" t="s">
        <v>2435</v>
      </c>
      <c r="C14" s="9" t="s">
        <v>2436</v>
      </c>
      <c r="D14" s="9" t="s">
        <v>2437</v>
      </c>
      <c r="E14" s="8" t="s">
        <v>2438</v>
      </c>
    </row>
    <row r="16" customFormat="false" ht="18" hidden="false" customHeight="true" outlineLevel="0" collapsed="false">
      <c r="A16" s="39" t="s">
        <v>2439</v>
      </c>
      <c r="B16" s="5"/>
      <c r="C16" s="5"/>
      <c r="D16" s="5"/>
      <c r="E16" s="5"/>
    </row>
    <row r="17" customFormat="false" ht="19.5" hidden="false" customHeight="true" outlineLevel="0" collapsed="false">
      <c r="A17" s="26" t="s">
        <v>311</v>
      </c>
      <c r="B17" s="26" t="s">
        <v>2440</v>
      </c>
      <c r="C17" s="26" t="s">
        <v>380</v>
      </c>
      <c r="D17" s="26" t="s">
        <v>2441</v>
      </c>
      <c r="E17" s="26" t="s">
        <v>2267</v>
      </c>
    </row>
    <row r="18" customFormat="false" ht="16.5" hidden="false" customHeight="true" outlineLevel="0" collapsed="false">
      <c r="A18" s="11" t="s">
        <v>116</v>
      </c>
      <c r="B18" s="8" t="s">
        <v>2442</v>
      </c>
      <c r="C18" s="9" t="s">
        <v>2443</v>
      </c>
      <c r="D18" s="8" t="s">
        <v>282</v>
      </c>
      <c r="E18" s="8" t="s">
        <v>2444</v>
      </c>
    </row>
    <row r="19" customFormat="false" ht="29.25" hidden="false" customHeight="true" outlineLevel="0" collapsed="false">
      <c r="A19" s="11" t="s">
        <v>207</v>
      </c>
      <c r="B19" s="8" t="s">
        <v>2445</v>
      </c>
      <c r="C19" s="9" t="s">
        <v>2446</v>
      </c>
      <c r="D19" s="9" t="s">
        <v>2447</v>
      </c>
      <c r="E19" s="9" t="s">
        <v>2448</v>
      </c>
    </row>
    <row r="20" customFormat="false" ht="29.25" hidden="false" customHeight="true" outlineLevel="0" collapsed="false">
      <c r="A20" s="11" t="s">
        <v>174</v>
      </c>
      <c r="B20" s="8" t="s">
        <v>2449</v>
      </c>
      <c r="C20" s="9" t="s">
        <v>2450</v>
      </c>
      <c r="D20" s="8" t="s">
        <v>2451</v>
      </c>
      <c r="E20" s="8"/>
    </row>
    <row r="21" customFormat="false" ht="29.25" hidden="false" customHeight="true" outlineLevel="0" collapsed="false">
      <c r="A21" s="11" t="s">
        <v>196</v>
      </c>
      <c r="B21" s="8" t="s">
        <v>2452</v>
      </c>
      <c r="C21" s="9" t="s">
        <v>2453</v>
      </c>
      <c r="D21" s="9" t="s">
        <v>2454</v>
      </c>
      <c r="E21" s="9" t="s">
        <v>2455</v>
      </c>
    </row>
    <row r="23" customFormat="false" ht="18" hidden="false" customHeight="true" outlineLevel="0" collapsed="false">
      <c r="A23" s="39" t="s">
        <v>2456</v>
      </c>
      <c r="B23" s="5"/>
      <c r="C23" s="5"/>
      <c r="D23" s="5"/>
      <c r="E23" s="5"/>
    </row>
    <row r="24" customFormat="false" ht="19.5" hidden="false" customHeight="true" outlineLevel="0" collapsed="false">
      <c r="A24" s="26" t="s">
        <v>311</v>
      </c>
      <c r="B24" s="26" t="s">
        <v>2457</v>
      </c>
      <c r="C24" s="26" t="s">
        <v>2458</v>
      </c>
      <c r="D24" s="26" t="s">
        <v>2459</v>
      </c>
      <c r="E24" s="26" t="s">
        <v>2267</v>
      </c>
    </row>
    <row r="25" customFormat="false" ht="29.25" hidden="false" customHeight="true" outlineLevel="0" collapsed="false">
      <c r="A25" s="11" t="s">
        <v>150</v>
      </c>
      <c r="B25" s="8" t="s">
        <v>2460</v>
      </c>
      <c r="C25" s="9" t="s">
        <v>2461</v>
      </c>
      <c r="D25" s="8" t="s">
        <v>2462</v>
      </c>
      <c r="E25" s="8" t="s">
        <v>2463</v>
      </c>
    </row>
    <row r="26" customFormat="false" ht="29.25" hidden="false" customHeight="true" outlineLevel="0" collapsed="false">
      <c r="A26" s="11" t="s">
        <v>174</v>
      </c>
      <c r="B26" s="8" t="s">
        <v>2464</v>
      </c>
      <c r="C26" s="9" t="s">
        <v>2465</v>
      </c>
      <c r="D26" s="8" t="s">
        <v>2466</v>
      </c>
      <c r="E26" s="8" t="s">
        <v>2467</v>
      </c>
    </row>
    <row r="27" customFormat="false" ht="16.5" hidden="false" customHeight="true" outlineLevel="0" collapsed="false">
      <c r="A27" s="11" t="s">
        <v>218</v>
      </c>
      <c r="B27" s="8" t="s">
        <v>2468</v>
      </c>
      <c r="C27" s="9" t="s">
        <v>2469</v>
      </c>
      <c r="D27" s="8" t="s">
        <v>2470</v>
      </c>
      <c r="E27" s="8" t="s">
        <v>2471</v>
      </c>
    </row>
    <row r="28" customFormat="false" ht="16.5" hidden="false" customHeight="true" outlineLevel="0" collapsed="false">
      <c r="A28" s="11" t="s">
        <v>207</v>
      </c>
      <c r="B28" s="8" t="s">
        <v>2472</v>
      </c>
      <c r="C28" s="9" t="s">
        <v>2473</v>
      </c>
      <c r="D28" s="8" t="s">
        <v>2466</v>
      </c>
      <c r="E28" s="8"/>
    </row>
    <row r="29" customFormat="false" ht="16.5" hidden="false" customHeight="true" outlineLevel="0" collapsed="false">
      <c r="A29" s="11" t="s">
        <v>196</v>
      </c>
      <c r="B29" s="9" t="s">
        <v>2474</v>
      </c>
      <c r="C29" s="9" t="s">
        <v>2475</v>
      </c>
      <c r="D29" s="8" t="s">
        <v>282</v>
      </c>
      <c r="E29" s="8" t="s">
        <v>2476</v>
      </c>
    </row>
    <row r="31" customFormat="false" ht="18" hidden="false" customHeight="true" outlineLevel="0" collapsed="false">
      <c r="A31" s="39" t="s">
        <v>2477</v>
      </c>
      <c r="B31" s="5"/>
      <c r="C31" s="5"/>
      <c r="D31" s="5"/>
      <c r="E31" s="5"/>
    </row>
    <row r="32" customFormat="false" ht="29.25" hidden="false" customHeight="true" outlineLevel="0" collapsed="false">
      <c r="A32" s="38" t="s">
        <v>2478</v>
      </c>
      <c r="B32" s="38"/>
      <c r="C32" s="38"/>
      <c r="D32" s="38"/>
      <c r="E32" s="38"/>
    </row>
    <row r="33" customFormat="false" ht="16.5" hidden="false" customHeight="true" outlineLevel="0" collapsed="false">
      <c r="A33" s="38" t="s">
        <v>2479</v>
      </c>
      <c r="B33" s="38"/>
      <c r="C33" s="38"/>
      <c r="D33" s="38"/>
      <c r="E33" s="38"/>
    </row>
    <row r="34" customFormat="false" ht="16.5" hidden="false" customHeight="true" outlineLevel="0" collapsed="false">
      <c r="A34" s="38" t="s">
        <v>2480</v>
      </c>
      <c r="B34" s="38"/>
      <c r="C34" s="38"/>
      <c r="D34" s="38"/>
      <c r="E34" s="38"/>
    </row>
    <row r="35" customFormat="false" ht="16.5" hidden="false" customHeight="true" outlineLevel="0" collapsed="false">
      <c r="A35" s="38" t="s">
        <v>2481</v>
      </c>
      <c r="B35" s="38"/>
      <c r="C35" s="38"/>
      <c r="D35" s="38"/>
      <c r="E35" s="38"/>
    </row>
  </sheetData>
  <mergeCells count="4">
    <mergeCell ref="A32:E32"/>
    <mergeCell ref="A33:E33"/>
    <mergeCell ref="A34:E34"/>
    <mergeCell ref="A35:E3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6"/>
    <col collapsed="false" customWidth="true" hidden="false" outlineLevel="0" max="3" min="3" style="1" width="38"/>
    <col collapsed="false" customWidth="true" hidden="false" outlineLevel="0" max="4" min="4" style="1" width="40"/>
    <col collapsed="false" customWidth="true" hidden="false" outlineLevel="0" max="5" min="5" style="1" width="34"/>
  </cols>
  <sheetData>
    <row r="1" customFormat="false" ht="24" hidden="false" customHeight="true" outlineLevel="0" collapsed="false">
      <c r="A1" s="2" t="s">
        <v>2482</v>
      </c>
    </row>
    <row r="2" customFormat="false" ht="15" hidden="false" customHeight="true" outlineLevel="0" collapsed="false">
      <c r="A2" s="3" t="s">
        <v>2483</v>
      </c>
    </row>
    <row r="4" customFormat="false" ht="18" hidden="false" customHeight="true" outlineLevel="0" collapsed="false">
      <c r="A4" s="39" t="s">
        <v>304</v>
      </c>
      <c r="B4" s="5"/>
      <c r="C4" s="5"/>
      <c r="D4" s="5"/>
      <c r="E4" s="5"/>
    </row>
    <row r="5" customFormat="false" ht="19.5" hidden="false" customHeight="true" outlineLevel="0" collapsed="false">
      <c r="A5" s="26" t="s">
        <v>1863</v>
      </c>
      <c r="B5" s="26" t="s">
        <v>2484</v>
      </c>
      <c r="C5" s="26"/>
      <c r="D5" s="26"/>
      <c r="E5" s="26"/>
    </row>
    <row r="6" customFormat="false" ht="29.25" hidden="false" customHeight="true" outlineLevel="0" collapsed="false">
      <c r="A6" s="6" t="s">
        <v>2485</v>
      </c>
      <c r="B6" s="8" t="str">
        <f aca="false">"1부 "&amp;INDEX(캐릭터!$E$5:$E$18,MATCH("Dom Pedro",캐릭터!$D$5:$D$18,0))&amp;"세 → 11부 약 "&amp;INDEX(캐릭터!$F$5:$F$18,MATCH("Dom Pedro",캐릭터!$D$5:$D$18,0))&amp;"세 (경과 연수 가정 "&amp;개요!$C$11&amp;"년)"</f>
        <v>1부 65세 → 11부 약 71세 (경과 연수 가정 6년)</v>
      </c>
      <c r="C6" s="8"/>
      <c r="D6" s="8"/>
      <c r="E6" s="8"/>
    </row>
    <row r="7" customFormat="false" ht="16.5" hidden="false" customHeight="true" outlineLevel="0" collapsed="false">
      <c r="A7" s="6" t="s">
        <v>2236</v>
      </c>
      <c r="B7" s="9" t="s">
        <v>2486</v>
      </c>
      <c r="C7" s="9"/>
      <c r="D7" s="9"/>
      <c r="E7" s="9"/>
    </row>
    <row r="8" customFormat="false" ht="29.25" hidden="false" customHeight="true" outlineLevel="0" collapsed="false">
      <c r="A8" s="6" t="s">
        <v>2487</v>
      </c>
      <c r="B8" s="9" t="s">
        <v>2488</v>
      </c>
      <c r="C8" s="9"/>
      <c r="D8" s="9"/>
      <c r="E8" s="9"/>
    </row>
    <row r="9" customFormat="false" ht="29.25" hidden="false" customHeight="true" outlineLevel="0" collapsed="false">
      <c r="A9" s="6" t="s">
        <v>2489</v>
      </c>
      <c r="B9" s="9" t="s">
        <v>2490</v>
      </c>
      <c r="C9" s="9"/>
      <c r="D9" s="9"/>
      <c r="E9" s="9"/>
    </row>
    <row r="10" customFormat="false" ht="16.5" hidden="false" customHeight="true" outlineLevel="0" collapsed="false">
      <c r="A10" s="6" t="s">
        <v>2491</v>
      </c>
      <c r="B10" s="9" t="s">
        <v>2492</v>
      </c>
      <c r="C10" s="9"/>
      <c r="D10" s="9"/>
      <c r="E10" s="9"/>
    </row>
    <row r="11" customFormat="false" ht="16.5" hidden="false" customHeight="true" outlineLevel="0" collapsed="false">
      <c r="A11" s="6" t="s">
        <v>2493</v>
      </c>
      <c r="B11" s="9" t="s">
        <v>2494</v>
      </c>
      <c r="C11" s="9"/>
      <c r="D11" s="9"/>
      <c r="E11" s="9"/>
    </row>
    <row r="12" customFormat="false" ht="29.25" hidden="false" customHeight="true" outlineLevel="0" collapsed="false">
      <c r="A12" s="11" t="s">
        <v>2495</v>
      </c>
      <c r="B12" s="9" t="s">
        <v>2496</v>
      </c>
      <c r="C12" s="9"/>
      <c r="D12" s="9"/>
      <c r="E12" s="9"/>
    </row>
    <row r="13" customFormat="false" ht="16.5" hidden="false" customHeight="true" outlineLevel="0" collapsed="false">
      <c r="A13" s="6" t="s">
        <v>2497</v>
      </c>
      <c r="B13" s="8" t="s">
        <v>2498</v>
      </c>
      <c r="C13" s="8"/>
      <c r="D13" s="8"/>
      <c r="E13" s="8"/>
    </row>
    <row r="14" customFormat="false" ht="16.5" hidden="false" customHeight="true" outlineLevel="0" collapsed="false">
      <c r="A14" s="6" t="s">
        <v>2499</v>
      </c>
      <c r="B14" s="9" t="s">
        <v>2500</v>
      </c>
      <c r="C14" s="9"/>
      <c r="D14" s="9"/>
      <c r="E14" s="9"/>
    </row>
    <row r="15" customFormat="false" ht="16.5" hidden="false" customHeight="true" outlineLevel="0" collapsed="false">
      <c r="A15" s="6" t="s">
        <v>2501</v>
      </c>
      <c r="B15" s="8" t="s">
        <v>2502</v>
      </c>
      <c r="C15" s="8"/>
      <c r="D15" s="8"/>
      <c r="E15" s="8"/>
    </row>
    <row r="17" customFormat="false" ht="18" hidden="false" customHeight="true" outlineLevel="0" collapsed="false">
      <c r="A17" s="39" t="s">
        <v>2503</v>
      </c>
      <c r="B17" s="5"/>
      <c r="C17" s="5"/>
      <c r="D17" s="5"/>
      <c r="E17" s="5"/>
    </row>
    <row r="18" customFormat="false" ht="19.5" hidden="false" customHeight="true" outlineLevel="0" collapsed="false">
      <c r="A18" s="26" t="s">
        <v>2158</v>
      </c>
      <c r="B18" s="26" t="s">
        <v>1560</v>
      </c>
      <c r="C18" s="26" t="s">
        <v>2504</v>
      </c>
      <c r="D18" s="26" t="s">
        <v>2505</v>
      </c>
      <c r="E18" s="26" t="s">
        <v>2506</v>
      </c>
    </row>
    <row r="19" customFormat="false" ht="42" hidden="false" customHeight="true" outlineLevel="0" collapsed="false">
      <c r="A19" s="11" t="s">
        <v>2507</v>
      </c>
      <c r="B19" s="8" t="s">
        <v>2508</v>
      </c>
      <c r="C19" s="9" t="s">
        <v>2509</v>
      </c>
      <c r="D19" s="8" t="s">
        <v>2510</v>
      </c>
      <c r="E19" s="8" t="s">
        <v>2511</v>
      </c>
    </row>
    <row r="20" customFormat="false" ht="29.25" hidden="false" customHeight="true" outlineLevel="0" collapsed="false">
      <c r="A20" s="11" t="s">
        <v>2512</v>
      </c>
      <c r="B20" s="9" t="s">
        <v>2513</v>
      </c>
      <c r="C20" s="8" t="s">
        <v>2514</v>
      </c>
      <c r="D20" s="8" t="s">
        <v>2515</v>
      </c>
      <c r="E20" s="8" t="s">
        <v>2516</v>
      </c>
    </row>
    <row r="21" customFormat="false" ht="29.25" hidden="false" customHeight="true" outlineLevel="0" collapsed="false">
      <c r="A21" s="11" t="s">
        <v>342</v>
      </c>
      <c r="B21" s="8" t="s">
        <v>2517</v>
      </c>
      <c r="C21" s="9" t="s">
        <v>2518</v>
      </c>
      <c r="D21" s="8" t="s">
        <v>2519</v>
      </c>
      <c r="E21" s="8" t="s">
        <v>2520</v>
      </c>
    </row>
    <row r="22" customFormat="false" ht="29.25" hidden="false" customHeight="true" outlineLevel="0" collapsed="false">
      <c r="A22" s="11" t="s">
        <v>344</v>
      </c>
      <c r="B22" s="8" t="s">
        <v>2521</v>
      </c>
      <c r="C22" s="9" t="s">
        <v>2522</v>
      </c>
      <c r="D22" s="8" t="s">
        <v>2523</v>
      </c>
      <c r="E22" s="8" t="s">
        <v>2524</v>
      </c>
    </row>
    <row r="23" customFormat="false" ht="42" hidden="false" customHeight="true" outlineLevel="0" collapsed="false">
      <c r="A23" s="11" t="s">
        <v>2525</v>
      </c>
      <c r="B23" s="9" t="s">
        <v>2526</v>
      </c>
      <c r="C23" s="8" t="s">
        <v>2527</v>
      </c>
      <c r="D23" s="8" t="s">
        <v>2528</v>
      </c>
      <c r="E23" s="8" t="s">
        <v>2529</v>
      </c>
    </row>
    <row r="24" customFormat="false" ht="80.25" hidden="false" customHeight="true" outlineLevel="0" collapsed="false">
      <c r="A24" s="11" t="s">
        <v>2530</v>
      </c>
      <c r="B24" s="9" t="s">
        <v>2531</v>
      </c>
      <c r="C24" s="9" t="s">
        <v>2532</v>
      </c>
      <c r="D24" s="8" t="s">
        <v>2533</v>
      </c>
      <c r="E24" s="8" t="s">
        <v>2534</v>
      </c>
    </row>
    <row r="25" customFormat="false" ht="29.25" hidden="false" customHeight="true" outlineLevel="0" collapsed="false">
      <c r="A25" s="11" t="s">
        <v>2535</v>
      </c>
      <c r="B25" s="9" t="s">
        <v>2536</v>
      </c>
      <c r="C25" s="8" t="s">
        <v>2537</v>
      </c>
      <c r="D25" s="8" t="s">
        <v>2538</v>
      </c>
      <c r="E25" s="8" t="s">
        <v>2539</v>
      </c>
    </row>
    <row r="26" customFormat="false" ht="29.25" hidden="false" customHeight="true" outlineLevel="0" collapsed="false">
      <c r="A26" s="11" t="s">
        <v>2540</v>
      </c>
      <c r="B26" s="9" t="s">
        <v>2541</v>
      </c>
      <c r="C26" s="9" t="s">
        <v>2542</v>
      </c>
      <c r="D26" s="8" t="s">
        <v>2543</v>
      </c>
      <c r="E26" s="8" t="s">
        <v>2544</v>
      </c>
    </row>
    <row r="27" customFormat="false" ht="42" hidden="false" customHeight="true" outlineLevel="0" collapsed="false">
      <c r="A27" s="11" t="s">
        <v>2545</v>
      </c>
      <c r="B27" s="9" t="s">
        <v>2546</v>
      </c>
      <c r="C27" s="9" t="s">
        <v>2547</v>
      </c>
      <c r="D27" s="8" t="s">
        <v>2548</v>
      </c>
      <c r="E27" s="8" t="s">
        <v>2549</v>
      </c>
    </row>
    <row r="28" customFormat="false" ht="42" hidden="false" customHeight="true" outlineLevel="0" collapsed="false">
      <c r="A28" s="11" t="s">
        <v>2550</v>
      </c>
      <c r="B28" s="9" t="s">
        <v>2551</v>
      </c>
      <c r="C28" s="9" t="s">
        <v>2552</v>
      </c>
      <c r="D28" s="8" t="s">
        <v>2553</v>
      </c>
      <c r="E28" s="8" t="s">
        <v>1419</v>
      </c>
    </row>
    <row r="29" customFormat="false" ht="29.25" hidden="false" customHeight="true" outlineLevel="0" collapsed="false">
      <c r="A29" s="11" t="s">
        <v>2554</v>
      </c>
      <c r="B29" s="9" t="s">
        <v>2555</v>
      </c>
      <c r="C29" s="8" t="s">
        <v>2556</v>
      </c>
      <c r="D29" s="8" t="s">
        <v>2557</v>
      </c>
      <c r="E29" s="8" t="s">
        <v>2558</v>
      </c>
    </row>
    <row r="30" customFormat="false" ht="42" hidden="false" customHeight="true" outlineLevel="0" collapsed="false">
      <c r="A30" s="11" t="s">
        <v>2559</v>
      </c>
      <c r="B30" s="8" t="s">
        <v>2560</v>
      </c>
      <c r="C30" s="9" t="s">
        <v>2561</v>
      </c>
      <c r="D30" s="8" t="s">
        <v>2562</v>
      </c>
      <c r="E30" s="8" t="s">
        <v>2563</v>
      </c>
    </row>
    <row r="31" customFormat="false" ht="42" hidden="false" customHeight="true" outlineLevel="0" collapsed="false">
      <c r="A31" s="11" t="s">
        <v>2564</v>
      </c>
      <c r="B31" s="9" t="s">
        <v>2565</v>
      </c>
      <c r="C31" s="9" t="s">
        <v>2566</v>
      </c>
      <c r="D31" s="8" t="s">
        <v>2567</v>
      </c>
      <c r="E31" s="8" t="s">
        <v>2568</v>
      </c>
    </row>
    <row r="32" customFormat="false" ht="29.25" hidden="false" customHeight="true" outlineLevel="0" collapsed="false">
      <c r="A32" s="11" t="s">
        <v>2569</v>
      </c>
      <c r="B32" s="8" t="s">
        <v>2570</v>
      </c>
      <c r="C32" s="9" t="s">
        <v>2571</v>
      </c>
      <c r="D32" s="8" t="s">
        <v>2572</v>
      </c>
      <c r="E32" s="8" t="s">
        <v>2573</v>
      </c>
    </row>
  </sheetData>
  <mergeCells count="11">
    <mergeCell ref="B5:E5"/>
    <mergeCell ref="B6:E6"/>
    <mergeCell ref="B7:E7"/>
    <mergeCell ref="B8:E8"/>
    <mergeCell ref="B9:E9"/>
    <mergeCell ref="B10:E10"/>
    <mergeCell ref="B11:E11"/>
    <mergeCell ref="B12:E12"/>
    <mergeCell ref="B13:E13"/>
    <mergeCell ref="B14:E14"/>
    <mergeCell ref="B15:E1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F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0"/>
    <col collapsed="false" customWidth="true" hidden="false" outlineLevel="0" max="3" min="3" style="1" width="42"/>
    <col collapsed="false" customWidth="true" hidden="false" outlineLevel="0" max="4" min="4" style="1" width="46"/>
    <col collapsed="false" customWidth="true" hidden="false" outlineLevel="0" max="5" min="5" style="1" width="40"/>
    <col collapsed="false" customWidth="true" hidden="false" outlineLevel="0" max="6" min="6" style="1" width="18"/>
  </cols>
  <sheetData>
    <row r="1" customFormat="false" ht="24" hidden="false" customHeight="true" outlineLevel="0" collapsed="false">
      <c r="A1" s="2" t="s">
        <v>2574</v>
      </c>
    </row>
    <row r="2" customFormat="false" ht="15" hidden="false" customHeight="true" outlineLevel="0" collapsed="false">
      <c r="A2" s="23" t="s">
        <v>2575</v>
      </c>
    </row>
    <row r="4" customFormat="false" ht="18" hidden="false" customHeight="true" outlineLevel="0" collapsed="false">
      <c r="A4" s="39" t="s">
        <v>2576</v>
      </c>
      <c r="B4" s="5"/>
      <c r="C4" s="5"/>
      <c r="D4" s="5"/>
      <c r="E4" s="5"/>
      <c r="F4" s="5"/>
    </row>
    <row r="5" customFormat="false" ht="19.5" hidden="false" customHeight="true" outlineLevel="0" collapsed="false">
      <c r="A5" s="26" t="s">
        <v>1863</v>
      </c>
      <c r="B5" s="26" t="s">
        <v>2484</v>
      </c>
      <c r="C5" s="26"/>
      <c r="D5" s="26"/>
      <c r="E5" s="26"/>
      <c r="F5" s="26"/>
    </row>
    <row r="6" customFormat="false" ht="16.5" hidden="false" customHeight="true" outlineLevel="0" collapsed="false">
      <c r="A6" s="6" t="s">
        <v>2577</v>
      </c>
      <c r="B6" s="9" t="s">
        <v>2578</v>
      </c>
      <c r="C6" s="9"/>
      <c r="D6" s="9"/>
      <c r="E6" s="9"/>
      <c r="F6" s="9"/>
    </row>
    <row r="7" customFormat="false" ht="16.5" hidden="false" customHeight="true" outlineLevel="0" collapsed="false">
      <c r="A7" s="6" t="s">
        <v>2579</v>
      </c>
      <c r="B7" s="8" t="s">
        <v>2580</v>
      </c>
      <c r="C7" s="8"/>
      <c r="D7" s="8"/>
      <c r="E7" s="8"/>
      <c r="F7" s="8"/>
    </row>
    <row r="8" customFormat="false" ht="16.5" hidden="false" customHeight="true" outlineLevel="0" collapsed="false">
      <c r="A8" s="6" t="s">
        <v>2581</v>
      </c>
      <c r="B8" s="9" t="s">
        <v>2582</v>
      </c>
      <c r="C8" s="9"/>
      <c r="D8" s="9"/>
      <c r="E8" s="9"/>
      <c r="F8" s="9"/>
    </row>
    <row r="9" customFormat="false" ht="16.5" hidden="false" customHeight="true" outlineLevel="0" collapsed="false">
      <c r="A9" s="6" t="s">
        <v>1564</v>
      </c>
      <c r="B9" s="9" t="s">
        <v>2583</v>
      </c>
      <c r="C9" s="9"/>
      <c r="D9" s="9"/>
      <c r="E9" s="9"/>
      <c r="F9" s="9"/>
    </row>
    <row r="10" customFormat="false" ht="16.5" hidden="false" customHeight="true" outlineLevel="0" collapsed="false">
      <c r="A10" s="11" t="s">
        <v>2584</v>
      </c>
      <c r="B10" s="8" t="s">
        <v>2585</v>
      </c>
      <c r="C10" s="8"/>
      <c r="D10" s="8"/>
      <c r="E10" s="8"/>
      <c r="F10" s="8"/>
    </row>
    <row r="11" customFormat="false" ht="16.5" hidden="false" customHeight="true" outlineLevel="0" collapsed="false">
      <c r="A11" s="6" t="s">
        <v>2586</v>
      </c>
      <c r="B11" s="9" t="s">
        <v>2587</v>
      </c>
      <c r="C11" s="9"/>
      <c r="D11" s="9"/>
      <c r="E11" s="9"/>
      <c r="F11" s="9"/>
    </row>
    <row r="12" customFormat="false" ht="16.5" hidden="false" customHeight="true" outlineLevel="0" collapsed="false">
      <c r="A12" s="6" t="s">
        <v>2588</v>
      </c>
      <c r="B12" s="9" t="s">
        <v>2589</v>
      </c>
      <c r="C12" s="9"/>
      <c r="D12" s="9"/>
      <c r="E12" s="9"/>
      <c r="F12" s="9"/>
    </row>
    <row r="14" customFormat="false" ht="18" hidden="false" customHeight="true" outlineLevel="0" collapsed="false">
      <c r="A14" s="39" t="s">
        <v>2590</v>
      </c>
      <c r="B14" s="5"/>
      <c r="C14" s="5"/>
      <c r="D14" s="5"/>
      <c r="E14" s="5"/>
      <c r="F14" s="5"/>
    </row>
    <row r="15" customFormat="false" ht="19.5" hidden="false" customHeight="true" outlineLevel="0" collapsed="false">
      <c r="A15" s="26" t="s">
        <v>2591</v>
      </c>
      <c r="B15" s="26" t="s">
        <v>2484</v>
      </c>
      <c r="C15" s="26" t="s">
        <v>2592</v>
      </c>
    </row>
    <row r="16" customFormat="false" ht="16.5" hidden="false" customHeight="true" outlineLevel="0" collapsed="false">
      <c r="A16" s="6" t="s">
        <v>2593</v>
      </c>
      <c r="B16" s="9" t="s">
        <v>2594</v>
      </c>
      <c r="C16" s="8" t="s">
        <v>2595</v>
      </c>
    </row>
    <row r="17" customFormat="false" ht="29.25" hidden="false" customHeight="true" outlineLevel="0" collapsed="false">
      <c r="A17" s="6" t="s">
        <v>2596</v>
      </c>
      <c r="B17" s="9" t="s">
        <v>2597</v>
      </c>
      <c r="C17" s="9" t="s">
        <v>2598</v>
      </c>
    </row>
    <row r="18" customFormat="false" ht="29.25" hidden="false" customHeight="true" outlineLevel="0" collapsed="false">
      <c r="A18" s="6" t="s">
        <v>2599</v>
      </c>
      <c r="B18" s="9" t="s">
        <v>2600</v>
      </c>
      <c r="C18" s="9" t="s">
        <v>2601</v>
      </c>
    </row>
    <row r="19" customFormat="false" ht="29.25" hidden="false" customHeight="true" outlineLevel="0" collapsed="false">
      <c r="A19" s="6" t="s">
        <v>2602</v>
      </c>
      <c r="B19" s="9" t="s">
        <v>2603</v>
      </c>
      <c r="C19" s="9" t="s">
        <v>2604</v>
      </c>
    </row>
    <row r="21" customFormat="false" ht="18" hidden="false" customHeight="true" outlineLevel="0" collapsed="false">
      <c r="A21" s="39" t="s">
        <v>2605</v>
      </c>
      <c r="B21" s="5"/>
      <c r="C21" s="5"/>
      <c r="D21" s="5"/>
      <c r="E21" s="5"/>
      <c r="F21" s="5"/>
    </row>
    <row r="22" customFormat="false" ht="19.5" hidden="false" customHeight="true" outlineLevel="0" collapsed="false">
      <c r="A22" s="26" t="s">
        <v>2606</v>
      </c>
      <c r="B22" s="26" t="s">
        <v>2607</v>
      </c>
      <c r="C22" s="25" t="s">
        <v>2608</v>
      </c>
      <c r="D22" s="26" t="s">
        <v>2609</v>
      </c>
      <c r="E22" s="26" t="s">
        <v>2610</v>
      </c>
      <c r="F22" s="26" t="s">
        <v>2611</v>
      </c>
    </row>
    <row r="23" customFormat="false" ht="29.25" hidden="false" customHeight="true" outlineLevel="0" collapsed="false">
      <c r="A23" s="6" t="s">
        <v>2612</v>
      </c>
      <c r="B23" s="8" t="s">
        <v>2613</v>
      </c>
      <c r="C23" s="8" t="s">
        <v>2614</v>
      </c>
      <c r="D23" s="9" t="s">
        <v>2615</v>
      </c>
      <c r="E23" s="8" t="s">
        <v>2616</v>
      </c>
      <c r="F23" s="9" t="s">
        <v>2593</v>
      </c>
    </row>
    <row r="24" customFormat="false" ht="42" hidden="false" customHeight="true" outlineLevel="0" collapsed="false">
      <c r="A24" s="6" t="s">
        <v>2617</v>
      </c>
      <c r="B24" s="8" t="s">
        <v>2110</v>
      </c>
      <c r="C24" s="8" t="s">
        <v>2618</v>
      </c>
      <c r="D24" s="9" t="s">
        <v>2619</v>
      </c>
      <c r="E24" s="8" t="s">
        <v>2620</v>
      </c>
      <c r="F24" s="9" t="s">
        <v>2593</v>
      </c>
    </row>
    <row r="25" customFormat="false" ht="42" hidden="false" customHeight="true" outlineLevel="0" collapsed="false">
      <c r="A25" s="6" t="s">
        <v>2621</v>
      </c>
      <c r="B25" s="17" t="s">
        <v>2622</v>
      </c>
      <c r="C25" s="8" t="s">
        <v>2623</v>
      </c>
      <c r="D25" s="9" t="s">
        <v>2624</v>
      </c>
      <c r="E25" s="8" t="s">
        <v>2625</v>
      </c>
      <c r="F25" s="9" t="s">
        <v>2593</v>
      </c>
    </row>
    <row r="26" customFormat="false" ht="42" hidden="false" customHeight="true" outlineLevel="0" collapsed="false">
      <c r="A26" s="6" t="s">
        <v>2626</v>
      </c>
      <c r="B26" s="8" t="s">
        <v>2627</v>
      </c>
      <c r="C26" s="8" t="s">
        <v>2628</v>
      </c>
      <c r="D26" s="9" t="s">
        <v>2629</v>
      </c>
      <c r="E26" s="8" t="s">
        <v>2630</v>
      </c>
      <c r="F26" s="9" t="s">
        <v>2593</v>
      </c>
    </row>
    <row r="27" customFormat="false" ht="42" hidden="false" customHeight="true" outlineLevel="0" collapsed="false">
      <c r="A27" s="6" t="s">
        <v>2631</v>
      </c>
      <c r="B27" s="8" t="s">
        <v>2632</v>
      </c>
      <c r="C27" s="8" t="s">
        <v>2633</v>
      </c>
      <c r="D27" s="9" t="s">
        <v>2634</v>
      </c>
      <c r="E27" s="8" t="s">
        <v>2635</v>
      </c>
      <c r="F27" s="9" t="s">
        <v>2636</v>
      </c>
    </row>
    <row r="28" customFormat="false" ht="42" hidden="false" customHeight="true" outlineLevel="0" collapsed="false">
      <c r="A28" s="6" t="s">
        <v>2637</v>
      </c>
      <c r="B28" s="8" t="s">
        <v>2638</v>
      </c>
      <c r="C28" s="8" t="s">
        <v>2639</v>
      </c>
      <c r="D28" s="9" t="s">
        <v>2640</v>
      </c>
      <c r="E28" s="8" t="s">
        <v>2641</v>
      </c>
      <c r="F28" s="9" t="s">
        <v>2593</v>
      </c>
    </row>
    <row r="29" customFormat="false" ht="29.25" hidden="false" customHeight="true" outlineLevel="0" collapsed="false">
      <c r="A29" s="6" t="s">
        <v>2642</v>
      </c>
      <c r="B29" s="8" t="s">
        <v>2643</v>
      </c>
      <c r="C29" s="8" t="s">
        <v>2644</v>
      </c>
      <c r="D29" s="9" t="s">
        <v>2645</v>
      </c>
      <c r="E29" s="8" t="s">
        <v>2646</v>
      </c>
      <c r="F29" s="9" t="s">
        <v>2647</v>
      </c>
    </row>
    <row r="30" customFormat="false" ht="29.25" hidden="false" customHeight="true" outlineLevel="0" collapsed="false">
      <c r="A30" s="6" t="s">
        <v>2648</v>
      </c>
      <c r="B30" s="8" t="s">
        <v>2015</v>
      </c>
      <c r="C30" s="8" t="s">
        <v>2649</v>
      </c>
      <c r="D30" s="9" t="s">
        <v>2650</v>
      </c>
      <c r="E30" s="8" t="s">
        <v>2651</v>
      </c>
      <c r="F30" s="9" t="s">
        <v>2593</v>
      </c>
    </row>
    <row r="31" customFormat="false" ht="29.25" hidden="false" customHeight="true" outlineLevel="0" collapsed="false">
      <c r="A31" s="11" t="s">
        <v>2652</v>
      </c>
      <c r="B31" s="8" t="s">
        <v>2653</v>
      </c>
      <c r="C31" s="8" t="s">
        <v>2654</v>
      </c>
      <c r="D31" s="17" t="s">
        <v>2655</v>
      </c>
      <c r="E31" s="8" t="s">
        <v>2656</v>
      </c>
      <c r="F31" s="9" t="s">
        <v>2593</v>
      </c>
    </row>
    <row r="32" customFormat="false" ht="29.25" hidden="false" customHeight="true" outlineLevel="0" collapsed="false">
      <c r="A32" s="6" t="s">
        <v>2657</v>
      </c>
      <c r="B32" s="8" t="s">
        <v>2658</v>
      </c>
      <c r="C32" s="8" t="s">
        <v>2659</v>
      </c>
      <c r="D32" s="17" t="s">
        <v>2660</v>
      </c>
      <c r="E32" s="8" t="s">
        <v>2661</v>
      </c>
      <c r="F32" s="9" t="s">
        <v>2599</v>
      </c>
    </row>
    <row r="33" customFormat="false" ht="29.25" hidden="false" customHeight="true" outlineLevel="0" collapsed="false">
      <c r="A33" s="6" t="s">
        <v>2662</v>
      </c>
      <c r="B33" s="8" t="s">
        <v>2080</v>
      </c>
      <c r="C33" s="8" t="s">
        <v>2663</v>
      </c>
      <c r="D33" s="9" t="s">
        <v>2664</v>
      </c>
      <c r="E33" s="8" t="s">
        <v>2665</v>
      </c>
      <c r="F33" s="9" t="s">
        <v>2596</v>
      </c>
    </row>
    <row r="34" customFormat="false" ht="29.25" hidden="false" customHeight="true" outlineLevel="0" collapsed="false">
      <c r="A34" s="6" t="s">
        <v>1915</v>
      </c>
      <c r="B34" s="8" t="s">
        <v>2666</v>
      </c>
      <c r="C34" s="8" t="s">
        <v>2667</v>
      </c>
      <c r="D34" s="9" t="s">
        <v>2668</v>
      </c>
      <c r="E34" s="8" t="s">
        <v>2669</v>
      </c>
      <c r="F34" s="9" t="s">
        <v>2647</v>
      </c>
    </row>
    <row r="35" customFormat="false" ht="29.25" hidden="false" customHeight="true" outlineLevel="0" collapsed="false">
      <c r="A35" s="6" t="s">
        <v>2670</v>
      </c>
      <c r="B35" s="8" t="s">
        <v>1929</v>
      </c>
      <c r="C35" s="8" t="s">
        <v>2671</v>
      </c>
      <c r="D35" s="9" t="s">
        <v>2672</v>
      </c>
      <c r="E35" s="8" t="s">
        <v>2673</v>
      </c>
      <c r="F35" s="9" t="s">
        <v>2593</v>
      </c>
    </row>
    <row r="36" customFormat="false" ht="29.25" hidden="false" customHeight="true" outlineLevel="0" collapsed="false">
      <c r="A36" s="6" t="s">
        <v>2674</v>
      </c>
      <c r="B36" s="8" t="s">
        <v>2675</v>
      </c>
      <c r="C36" s="8" t="s">
        <v>2676</v>
      </c>
      <c r="D36" s="9" t="s">
        <v>2677</v>
      </c>
      <c r="E36" s="8" t="s">
        <v>2678</v>
      </c>
      <c r="F36" s="9" t="s">
        <v>2593</v>
      </c>
    </row>
    <row r="37" customFormat="false" ht="29.25" hidden="false" customHeight="true" outlineLevel="0" collapsed="false">
      <c r="A37" s="6" t="s">
        <v>2679</v>
      </c>
      <c r="B37" s="8" t="s">
        <v>2680</v>
      </c>
      <c r="C37" s="8" t="s">
        <v>2681</v>
      </c>
      <c r="D37" s="9" t="s">
        <v>2682</v>
      </c>
      <c r="E37" s="8" t="s">
        <v>2683</v>
      </c>
      <c r="F37" s="9" t="s">
        <v>2593</v>
      </c>
    </row>
    <row r="38" customFormat="false" ht="29.25" hidden="false" customHeight="true" outlineLevel="0" collapsed="false">
      <c r="A38" s="6" t="s">
        <v>2067</v>
      </c>
      <c r="B38" s="8" t="s">
        <v>2684</v>
      </c>
      <c r="C38" s="8" t="s">
        <v>2685</v>
      </c>
      <c r="D38" s="9" t="s">
        <v>2686</v>
      </c>
      <c r="E38" s="8" t="s">
        <v>2687</v>
      </c>
      <c r="F38" s="9" t="s">
        <v>2593</v>
      </c>
    </row>
    <row r="39" customFormat="false" ht="29.25" hidden="false" customHeight="true" outlineLevel="0" collapsed="false">
      <c r="A39" s="6" t="s">
        <v>2102</v>
      </c>
      <c r="B39" s="8" t="s">
        <v>2688</v>
      </c>
      <c r="C39" s="8" t="s">
        <v>2689</v>
      </c>
      <c r="D39" s="8" t="s">
        <v>2104</v>
      </c>
      <c r="E39" s="8" t="s">
        <v>2690</v>
      </c>
      <c r="F39" s="9" t="s">
        <v>2593</v>
      </c>
    </row>
    <row r="40" customFormat="false" ht="29.25" hidden="false" customHeight="true" outlineLevel="0" collapsed="false">
      <c r="A40" s="6" t="s">
        <v>2691</v>
      </c>
      <c r="B40" s="8" t="s">
        <v>2680</v>
      </c>
      <c r="C40" s="8" t="s">
        <v>2692</v>
      </c>
      <c r="D40" s="9" t="s">
        <v>2693</v>
      </c>
      <c r="E40" s="8" t="s">
        <v>2694</v>
      </c>
      <c r="F40" s="9" t="s">
        <v>2596</v>
      </c>
    </row>
    <row r="41" customFormat="false" ht="16.5" hidden="false" customHeight="true" outlineLevel="0" collapsed="false">
      <c r="A41" s="6" t="s">
        <v>2695</v>
      </c>
      <c r="B41" s="9" t="s">
        <v>2696</v>
      </c>
      <c r="C41" s="8" t="s">
        <v>2697</v>
      </c>
      <c r="D41" s="8" t="s">
        <v>2698</v>
      </c>
      <c r="E41" s="8" t="s">
        <v>282</v>
      </c>
      <c r="F41" s="9" t="s">
        <v>2602</v>
      </c>
    </row>
    <row r="42" customFormat="false" ht="16.5" hidden="false" customHeight="true" outlineLevel="0" collapsed="false">
      <c r="A42" s="60" t="s">
        <v>2699</v>
      </c>
      <c r="B42" s="60"/>
      <c r="C42" s="60"/>
      <c r="D42" s="60"/>
      <c r="E42" s="60"/>
      <c r="F42" s="60"/>
    </row>
    <row r="44" customFormat="false" ht="18" hidden="false" customHeight="true" outlineLevel="0" collapsed="false">
      <c r="A44" s="39" t="s">
        <v>2700</v>
      </c>
      <c r="B44" s="5"/>
      <c r="C44" s="5"/>
      <c r="D44" s="5"/>
      <c r="E44" s="5"/>
      <c r="F44" s="5"/>
    </row>
    <row r="45" customFormat="false" ht="19.5" hidden="false" customHeight="true" outlineLevel="0" collapsed="false">
      <c r="A45" s="26" t="s">
        <v>2701</v>
      </c>
      <c r="B45" s="26" t="s">
        <v>2702</v>
      </c>
      <c r="C45" s="26" t="s">
        <v>2421</v>
      </c>
      <c r="D45" s="26" t="s">
        <v>380</v>
      </c>
    </row>
    <row r="46" customFormat="false" ht="16.5" hidden="false" customHeight="true" outlineLevel="0" collapsed="false">
      <c r="A46" s="11" t="s">
        <v>2703</v>
      </c>
      <c r="B46" s="9" t="s">
        <v>2704</v>
      </c>
      <c r="C46" s="8" t="s">
        <v>2705</v>
      </c>
      <c r="D46" s="9" t="s">
        <v>2706</v>
      </c>
    </row>
    <row r="47" customFormat="false" ht="16.5" hidden="false" customHeight="true" outlineLevel="0" collapsed="false">
      <c r="A47" s="11" t="s">
        <v>2707</v>
      </c>
      <c r="B47" s="9" t="s">
        <v>2708</v>
      </c>
      <c r="C47" s="8" t="s">
        <v>2709</v>
      </c>
      <c r="D47" s="9" t="s">
        <v>2710</v>
      </c>
    </row>
    <row r="48" customFormat="false" ht="29.25" hidden="false" customHeight="true" outlineLevel="0" collapsed="false">
      <c r="A48" s="11" t="s">
        <v>2703</v>
      </c>
      <c r="B48" s="9" t="s">
        <v>2711</v>
      </c>
      <c r="C48" s="8" t="s">
        <v>2712</v>
      </c>
      <c r="D48" s="17" t="s">
        <v>2713</v>
      </c>
    </row>
    <row r="49" customFormat="false" ht="16.5" hidden="false" customHeight="true" outlineLevel="0" collapsed="false">
      <c r="A49" s="11" t="s">
        <v>2707</v>
      </c>
      <c r="B49" s="9" t="s">
        <v>2714</v>
      </c>
      <c r="C49" s="8" t="s">
        <v>2715</v>
      </c>
      <c r="D49" s="9" t="s">
        <v>2716</v>
      </c>
    </row>
    <row r="50" customFormat="false" ht="29.25" hidden="false" customHeight="true" outlineLevel="0" collapsed="false">
      <c r="A50" s="11" t="s">
        <v>2703</v>
      </c>
      <c r="B50" s="9" t="s">
        <v>2717</v>
      </c>
      <c r="C50" s="8" t="s">
        <v>2718</v>
      </c>
      <c r="D50" s="9" t="s">
        <v>2719</v>
      </c>
    </row>
    <row r="51" customFormat="false" ht="16.5" hidden="false" customHeight="true" outlineLevel="0" collapsed="false">
      <c r="A51" s="11" t="s">
        <v>2707</v>
      </c>
      <c r="B51" s="8" t="s">
        <v>2720</v>
      </c>
      <c r="C51" s="8" t="s">
        <v>2721</v>
      </c>
      <c r="D51" s="9" t="s">
        <v>2722</v>
      </c>
    </row>
    <row r="52" customFormat="false" ht="29.25" hidden="false" customHeight="true" outlineLevel="0" collapsed="false">
      <c r="A52" s="11" t="s">
        <v>2703</v>
      </c>
      <c r="B52" s="9" t="s">
        <v>2723</v>
      </c>
      <c r="C52" s="8" t="s">
        <v>2724</v>
      </c>
      <c r="D52" s="9" t="s">
        <v>2725</v>
      </c>
    </row>
    <row r="53" customFormat="false" ht="16.5" hidden="false" customHeight="true" outlineLevel="0" collapsed="false">
      <c r="A53" s="60" t="s">
        <v>2726</v>
      </c>
      <c r="B53" s="60"/>
      <c r="C53" s="60"/>
      <c r="D53" s="60"/>
      <c r="E53" s="60"/>
      <c r="F53" s="60"/>
    </row>
  </sheetData>
  <mergeCells count="10">
    <mergeCell ref="B5:F5"/>
    <mergeCell ref="B6:F6"/>
    <mergeCell ref="B7:F7"/>
    <mergeCell ref="B8:F8"/>
    <mergeCell ref="B9:F9"/>
    <mergeCell ref="B10:F10"/>
    <mergeCell ref="B11:F11"/>
    <mergeCell ref="B12:F12"/>
    <mergeCell ref="A42:F42"/>
    <mergeCell ref="A53:F5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66"/>
    <col collapsed="false" customWidth="true" hidden="false" outlineLevel="0" max="4" min="4" style="1" width="52"/>
    <col collapsed="false" customWidth="true" hidden="false" outlineLevel="0" max="5" min="5" style="1" width="13"/>
  </cols>
  <sheetData>
    <row r="1" customFormat="false" ht="24" hidden="false" customHeight="true" outlineLevel="0" collapsed="false">
      <c r="A1" s="24" t="s">
        <v>2727</v>
      </c>
    </row>
    <row r="2" customFormat="false" ht="15" hidden="false" customHeight="true" outlineLevel="0" collapsed="false">
      <c r="A2" s="23" t="s">
        <v>2728</v>
      </c>
    </row>
    <row r="4" customFormat="false" ht="18" hidden="false" customHeight="true" outlineLevel="0" collapsed="false">
      <c r="A4" s="39" t="s">
        <v>2729</v>
      </c>
      <c r="B4" s="5"/>
      <c r="C4" s="5"/>
      <c r="D4" s="5"/>
    </row>
    <row r="5" customFormat="false" ht="19.5" hidden="false" customHeight="true" outlineLevel="0" collapsed="false">
      <c r="A5" s="25" t="s">
        <v>83</v>
      </c>
      <c r="B5" s="26" t="s">
        <v>60</v>
      </c>
      <c r="C5" s="26" t="s">
        <v>2484</v>
      </c>
      <c r="D5" s="26" t="s">
        <v>2730</v>
      </c>
    </row>
    <row r="6" customFormat="false" ht="16.5" hidden="false" customHeight="true" outlineLevel="0" collapsed="false">
      <c r="A6" s="27" t="n">
        <v>1</v>
      </c>
      <c r="B6" s="9" t="s">
        <v>2731</v>
      </c>
      <c r="C6" s="9" t="s">
        <v>2732</v>
      </c>
      <c r="D6" s="8" t="s">
        <v>2733</v>
      </c>
    </row>
    <row r="7" customFormat="false" ht="29.25" hidden="false" customHeight="true" outlineLevel="0" collapsed="false">
      <c r="A7" s="27" t="n">
        <v>2</v>
      </c>
      <c r="B7" s="9" t="s">
        <v>2734</v>
      </c>
      <c r="C7" s="9" t="s">
        <v>2735</v>
      </c>
      <c r="D7" s="8" t="s">
        <v>2736</v>
      </c>
    </row>
    <row r="8" customFormat="false" ht="29.25" hidden="false" customHeight="true" outlineLevel="0" collapsed="false">
      <c r="A8" s="27" t="n">
        <v>3</v>
      </c>
      <c r="B8" s="9" t="s">
        <v>2737</v>
      </c>
      <c r="C8" s="9" t="s">
        <v>2738</v>
      </c>
      <c r="D8" s="8" t="s">
        <v>2739</v>
      </c>
    </row>
    <row r="9" customFormat="false" ht="29.25" hidden="false" customHeight="true" outlineLevel="0" collapsed="false">
      <c r="A9" s="27" t="n">
        <v>4</v>
      </c>
      <c r="B9" s="9" t="s">
        <v>2740</v>
      </c>
      <c r="C9" s="9" t="s">
        <v>2741</v>
      </c>
      <c r="D9" s="8" t="s">
        <v>2742</v>
      </c>
    </row>
    <row r="10" customFormat="false" ht="29.25" hidden="false" customHeight="true" outlineLevel="0" collapsed="false">
      <c r="A10" s="27" t="n">
        <v>5</v>
      </c>
      <c r="B10" s="9" t="s">
        <v>2743</v>
      </c>
      <c r="C10" s="9" t="s">
        <v>2744</v>
      </c>
      <c r="D10" s="8" t="s">
        <v>2745</v>
      </c>
    </row>
    <row r="11" customFormat="false" ht="29.25" hidden="false" customHeight="true" outlineLevel="0" collapsed="false">
      <c r="A11" s="27" t="n">
        <v>6</v>
      </c>
      <c r="B11" s="9" t="s">
        <v>2746</v>
      </c>
      <c r="C11" s="9" t="s">
        <v>2747</v>
      </c>
      <c r="D11" s="8" t="s">
        <v>2748</v>
      </c>
    </row>
    <row r="12" customFormat="false" ht="16.5" hidden="false" customHeight="true" outlineLevel="0" collapsed="false">
      <c r="A12" s="27" t="n">
        <v>7</v>
      </c>
      <c r="B12" s="9" t="s">
        <v>2749</v>
      </c>
      <c r="C12" s="9" t="s">
        <v>2750</v>
      </c>
      <c r="D12" s="8" t="s">
        <v>2751</v>
      </c>
    </row>
    <row r="13" customFormat="false" ht="29.25" hidden="false" customHeight="true" outlineLevel="0" collapsed="false">
      <c r="A13" s="27" t="n">
        <v>8</v>
      </c>
      <c r="B13" s="9" t="s">
        <v>2752</v>
      </c>
      <c r="C13" s="9" t="s">
        <v>2753</v>
      </c>
      <c r="D13" s="8" t="s">
        <v>2754</v>
      </c>
    </row>
    <row r="14" customFormat="false" ht="42" hidden="false" customHeight="true" outlineLevel="0" collapsed="false">
      <c r="A14" s="27" t="n">
        <v>9</v>
      </c>
      <c r="B14" s="9" t="s">
        <v>2755</v>
      </c>
      <c r="C14" s="8" t="s">
        <v>2756</v>
      </c>
      <c r="D14" s="8" t="s">
        <v>2757</v>
      </c>
    </row>
    <row r="15" customFormat="false" ht="42" hidden="false" customHeight="true" outlineLevel="0" collapsed="false">
      <c r="A15" s="27" t="n">
        <v>10</v>
      </c>
      <c r="B15" s="9" t="s">
        <v>2758</v>
      </c>
      <c r="C15" s="9" t="s">
        <v>2759</v>
      </c>
      <c r="D15" s="8" t="s">
        <v>2760</v>
      </c>
    </row>
    <row r="16" customFormat="false" ht="16.5" hidden="false" customHeight="true" outlineLevel="0" collapsed="false">
      <c r="A16" s="27" t="n">
        <v>11</v>
      </c>
      <c r="B16" s="9" t="s">
        <v>94</v>
      </c>
      <c r="C16" s="9" t="s">
        <v>2761</v>
      </c>
      <c r="D16" s="8"/>
    </row>
    <row r="17" customFormat="false" ht="29.25" hidden="false" customHeight="true" outlineLevel="0" collapsed="false">
      <c r="A17" s="27" t="n">
        <v>12</v>
      </c>
      <c r="B17" s="8" t="s">
        <v>2762</v>
      </c>
      <c r="C17" s="9" t="s">
        <v>2763</v>
      </c>
      <c r="D17" s="8" t="s">
        <v>2764</v>
      </c>
    </row>
    <row r="18" customFormat="false" ht="16.5" hidden="false" customHeight="true" outlineLevel="0" collapsed="false">
      <c r="A18" s="27" t="n">
        <v>13</v>
      </c>
      <c r="B18" s="8" t="s">
        <v>2765</v>
      </c>
      <c r="C18" s="9" t="s">
        <v>2766</v>
      </c>
      <c r="D18" s="8" t="s">
        <v>2767</v>
      </c>
    </row>
    <row r="19" customFormat="false" ht="16.5" hidden="false" customHeight="true" outlineLevel="0" collapsed="false">
      <c r="A19" s="27" t="n">
        <v>14</v>
      </c>
      <c r="B19" s="9" t="s">
        <v>2768</v>
      </c>
      <c r="C19" s="8" t="s">
        <v>2769</v>
      </c>
      <c r="D19" s="8"/>
    </row>
    <row r="20" customFormat="false" ht="16.5" hidden="false" customHeight="true" outlineLevel="0" collapsed="false">
      <c r="A20" s="27" t="n">
        <v>15</v>
      </c>
      <c r="B20" s="9" t="s">
        <v>2770</v>
      </c>
      <c r="C20" s="8" t="s">
        <v>2771</v>
      </c>
      <c r="D20" s="8" t="s">
        <v>2772</v>
      </c>
    </row>
    <row r="21" customFormat="false" ht="29.25" hidden="false" customHeight="true" outlineLevel="0" collapsed="false">
      <c r="A21" s="27" t="n">
        <v>16</v>
      </c>
      <c r="B21" s="9" t="s">
        <v>2773</v>
      </c>
      <c r="C21" s="9" t="s">
        <v>2774</v>
      </c>
      <c r="D21" s="8" t="s">
        <v>2775</v>
      </c>
    </row>
    <row r="22" customFormat="false" ht="54.75" hidden="false" customHeight="true" outlineLevel="0" collapsed="false">
      <c r="A22" s="27" t="n">
        <v>17</v>
      </c>
      <c r="B22" s="9" t="s">
        <v>2776</v>
      </c>
      <c r="C22" s="9" t="s">
        <v>2777</v>
      </c>
      <c r="D22" s="8" t="s">
        <v>2778</v>
      </c>
    </row>
    <row r="23" customFormat="false" ht="29.25" hidden="false" customHeight="true" outlineLevel="0" collapsed="false">
      <c r="A23" s="27" t="n">
        <v>18</v>
      </c>
      <c r="B23" s="9" t="s">
        <v>2779</v>
      </c>
      <c r="C23" s="9" t="s">
        <v>2780</v>
      </c>
      <c r="D23" s="8" t="s">
        <v>2781</v>
      </c>
    </row>
    <row r="24" customFormat="false" ht="42" hidden="false" customHeight="true" outlineLevel="0" collapsed="false">
      <c r="A24" s="27" t="n">
        <v>19</v>
      </c>
      <c r="B24" s="9" t="s">
        <v>2782</v>
      </c>
      <c r="C24" s="9" t="s">
        <v>2783</v>
      </c>
      <c r="D24" s="8" t="s">
        <v>2784</v>
      </c>
    </row>
    <row r="26" customFormat="false" ht="18" hidden="false" customHeight="true" outlineLevel="0" collapsed="false">
      <c r="A26" s="39" t="s">
        <v>2785</v>
      </c>
      <c r="B26" s="5"/>
      <c r="C26" s="5"/>
      <c r="D26" s="5"/>
    </row>
    <row r="27" customFormat="false" ht="42" hidden="false" customHeight="true" outlineLevel="0" collapsed="false">
      <c r="A27" s="86" t="s">
        <v>2786</v>
      </c>
      <c r="B27" s="86"/>
      <c r="C27" s="86"/>
      <c r="D27" s="86"/>
    </row>
    <row r="28" customFormat="false" ht="29.25" hidden="false" customHeight="true" outlineLevel="0" collapsed="false">
      <c r="A28" s="27" t="n">
        <v>1</v>
      </c>
      <c r="B28" s="8" t="s">
        <v>2787</v>
      </c>
      <c r="C28" s="8" t="s">
        <v>2788</v>
      </c>
      <c r="D28" s="8" t="s">
        <v>207</v>
      </c>
    </row>
    <row r="29" customFormat="false" ht="19.5" hidden="false" customHeight="true" outlineLevel="0" collapsed="false">
      <c r="A29" s="26" t="s">
        <v>311</v>
      </c>
      <c r="B29" s="26" t="s">
        <v>2789</v>
      </c>
      <c r="C29" s="26" t="s">
        <v>2790</v>
      </c>
      <c r="D29" s="26" t="s">
        <v>2791</v>
      </c>
      <c r="E29" s="26" t="s">
        <v>2792</v>
      </c>
    </row>
    <row r="30" customFormat="false" ht="29.25" hidden="false" customHeight="true" outlineLevel="0" collapsed="false">
      <c r="A30" s="11" t="s">
        <v>207</v>
      </c>
      <c r="B30" s="9" t="s">
        <v>2793</v>
      </c>
      <c r="C30" s="9" t="s">
        <v>2794</v>
      </c>
      <c r="D30" s="8" t="s">
        <v>2795</v>
      </c>
      <c r="E30" s="9" t="s">
        <v>2796</v>
      </c>
    </row>
    <row r="31" customFormat="false" ht="42" hidden="false" customHeight="true" outlineLevel="0" collapsed="false">
      <c r="A31" s="11" t="s">
        <v>150</v>
      </c>
      <c r="B31" s="9" t="s">
        <v>2797</v>
      </c>
      <c r="C31" s="9" t="s">
        <v>2798</v>
      </c>
      <c r="D31" s="8" t="s">
        <v>2799</v>
      </c>
      <c r="E31" s="8" t="s">
        <v>2800</v>
      </c>
    </row>
    <row r="32" customFormat="false" ht="29.25" hidden="false" customHeight="true" outlineLevel="0" collapsed="false">
      <c r="A32" s="11" t="s">
        <v>196</v>
      </c>
      <c r="B32" s="9" t="s">
        <v>2801</v>
      </c>
      <c r="C32" s="9" t="s">
        <v>2802</v>
      </c>
      <c r="D32" s="8" t="s">
        <v>2803</v>
      </c>
      <c r="E32" s="8" t="s">
        <v>2804</v>
      </c>
    </row>
    <row r="33" customFormat="false" ht="29.25" hidden="false" customHeight="true" outlineLevel="0" collapsed="false">
      <c r="A33" s="11" t="s">
        <v>162</v>
      </c>
      <c r="B33" s="9" t="s">
        <v>2805</v>
      </c>
      <c r="C33" s="9" t="s">
        <v>2806</v>
      </c>
      <c r="D33" s="8" t="s">
        <v>2807</v>
      </c>
      <c r="E33" s="8" t="s">
        <v>2808</v>
      </c>
    </row>
    <row r="34" customFormat="false" ht="29.25" hidden="false" customHeight="true" outlineLevel="0" collapsed="false">
      <c r="A34" s="11" t="s">
        <v>103</v>
      </c>
      <c r="B34" s="9" t="s">
        <v>2809</v>
      </c>
      <c r="C34" s="9" t="s">
        <v>2810</v>
      </c>
      <c r="D34" s="8" t="s">
        <v>2811</v>
      </c>
      <c r="E34" s="8" t="s">
        <v>2812</v>
      </c>
    </row>
    <row r="35" customFormat="false" ht="16.5" hidden="false" customHeight="true" outlineLevel="0" collapsed="false">
      <c r="A35" s="27" t="n">
        <v>8</v>
      </c>
      <c r="B35" s="9" t="s">
        <v>2813</v>
      </c>
      <c r="C35" s="8" t="s">
        <v>2814</v>
      </c>
      <c r="D35" s="8" t="s">
        <v>2815</v>
      </c>
    </row>
    <row r="36" customFormat="false" ht="16.5" hidden="false" customHeight="true" outlineLevel="0" collapsed="false">
      <c r="A36" s="27" t="n">
        <v>9</v>
      </c>
      <c r="B36" s="9" t="s">
        <v>2816</v>
      </c>
      <c r="C36" s="8" t="s">
        <v>2817</v>
      </c>
      <c r="D36" s="8" t="s">
        <v>185</v>
      </c>
    </row>
    <row r="37" customFormat="false" ht="16.5" hidden="false" customHeight="true" outlineLevel="0" collapsed="false">
      <c r="A37" s="27" t="n">
        <v>10</v>
      </c>
      <c r="B37" s="9" t="s">
        <v>2818</v>
      </c>
      <c r="C37" s="8" t="s">
        <v>2819</v>
      </c>
      <c r="D37" s="8" t="s">
        <v>2820</v>
      </c>
    </row>
    <row r="38" customFormat="false" ht="29.25" hidden="false" customHeight="true" outlineLevel="0" collapsed="false">
      <c r="A38" s="27" t="n">
        <v>11</v>
      </c>
      <c r="B38" s="9" t="s">
        <v>2821</v>
      </c>
      <c r="C38" s="9" t="s">
        <v>2822</v>
      </c>
      <c r="D38" s="8" t="s">
        <v>2823</v>
      </c>
    </row>
    <row r="39" customFormat="false" ht="29.25" hidden="false" customHeight="true" outlineLevel="0" collapsed="false">
      <c r="A39" s="27" t="n">
        <v>12</v>
      </c>
      <c r="B39" s="9" t="s">
        <v>2824</v>
      </c>
      <c r="C39" s="9" t="s">
        <v>2825</v>
      </c>
      <c r="D39" s="8" t="s">
        <v>2826</v>
      </c>
    </row>
  </sheetData>
  <mergeCells count="1">
    <mergeCell ref="A27:D2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E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4" min="3" style="1" width="46"/>
    <col collapsed="false" customWidth="true" hidden="false" outlineLevel="0" max="5" min="5" style="1" width="24"/>
  </cols>
  <sheetData>
    <row r="1" customFormat="false" ht="24" hidden="false" customHeight="true" outlineLevel="0" collapsed="false">
      <c r="A1" s="24" t="s">
        <v>2827</v>
      </c>
    </row>
    <row r="3" customFormat="false" ht="18" hidden="false" customHeight="true" outlineLevel="0" collapsed="false">
      <c r="A3" s="39" t="s">
        <v>2828</v>
      </c>
      <c r="B3" s="5"/>
      <c r="C3" s="5"/>
      <c r="D3" s="5"/>
      <c r="E3" s="5"/>
    </row>
    <row r="4" customFormat="false" ht="19.5" hidden="false" customHeight="true" outlineLevel="0" collapsed="false">
      <c r="A4" s="25" t="s">
        <v>83</v>
      </c>
      <c r="B4" s="26" t="s">
        <v>1863</v>
      </c>
      <c r="C4" s="26" t="s">
        <v>2829</v>
      </c>
      <c r="D4" s="26" t="s">
        <v>2830</v>
      </c>
      <c r="E4" s="26" t="s">
        <v>2831</v>
      </c>
    </row>
    <row r="5" customFormat="false" ht="42" hidden="false" customHeight="true" outlineLevel="0" collapsed="false">
      <c r="A5" s="27" t="n">
        <v>1</v>
      </c>
      <c r="B5" s="17" t="s">
        <v>2832</v>
      </c>
      <c r="C5" s="9" t="s">
        <v>2833</v>
      </c>
      <c r="D5" s="9" t="s">
        <v>2834</v>
      </c>
      <c r="E5" s="9" t="s">
        <v>348</v>
      </c>
    </row>
    <row r="6" customFormat="false" ht="16.5" hidden="false" customHeight="true" outlineLevel="0" collapsed="false">
      <c r="A6" s="27" t="n">
        <v>2</v>
      </c>
      <c r="B6" s="9" t="s">
        <v>2835</v>
      </c>
      <c r="C6" s="8" t="s">
        <v>2836</v>
      </c>
      <c r="D6" s="9" t="s">
        <v>2837</v>
      </c>
      <c r="E6" s="9" t="s">
        <v>2838</v>
      </c>
    </row>
    <row r="7" customFormat="false" ht="29.25" hidden="false" customHeight="true" outlineLevel="0" collapsed="false">
      <c r="A7" s="27" t="n">
        <v>3</v>
      </c>
      <c r="B7" s="9" t="s">
        <v>2839</v>
      </c>
      <c r="C7" s="9" t="s">
        <v>2840</v>
      </c>
      <c r="D7" s="8" t="s">
        <v>2841</v>
      </c>
      <c r="E7" s="9" t="s">
        <v>348</v>
      </c>
    </row>
    <row r="8" customFormat="false" ht="42" hidden="false" customHeight="true" outlineLevel="0" collapsed="false">
      <c r="A8" s="27" t="n">
        <v>4</v>
      </c>
      <c r="B8" s="9" t="s">
        <v>2842</v>
      </c>
      <c r="C8" s="8" t="s">
        <v>282</v>
      </c>
      <c r="D8" s="8" t="s">
        <v>2843</v>
      </c>
      <c r="E8" s="9" t="s">
        <v>2844</v>
      </c>
    </row>
    <row r="9" customFormat="false" ht="29.25" hidden="false" customHeight="true" outlineLevel="0" collapsed="false">
      <c r="A9" s="27" t="n">
        <v>5</v>
      </c>
      <c r="B9" s="9" t="s">
        <v>2845</v>
      </c>
      <c r="C9" s="17" t="s">
        <v>2846</v>
      </c>
      <c r="D9" s="17" t="s">
        <v>2847</v>
      </c>
      <c r="E9" s="9" t="s">
        <v>2848</v>
      </c>
    </row>
    <row r="10" customFormat="false" ht="16.5" hidden="false" customHeight="true" outlineLevel="0" collapsed="false">
      <c r="A10" s="27" t="n">
        <v>6</v>
      </c>
      <c r="B10" s="9" t="s">
        <v>2849</v>
      </c>
      <c r="C10" s="9" t="s">
        <v>2850</v>
      </c>
      <c r="D10" s="9" t="s">
        <v>2851</v>
      </c>
      <c r="E10" s="9" t="s">
        <v>2852</v>
      </c>
    </row>
    <row r="11" customFormat="false" ht="16.5" hidden="false" customHeight="true" outlineLevel="0" collapsed="false">
      <c r="A11" s="27" t="n">
        <v>7</v>
      </c>
      <c r="B11" s="9" t="s">
        <v>2853</v>
      </c>
      <c r="C11" s="9" t="s">
        <v>2854</v>
      </c>
      <c r="D11" s="9" t="s">
        <v>2855</v>
      </c>
      <c r="E11" s="9" t="s">
        <v>2856</v>
      </c>
    </row>
    <row r="12" customFormat="false" ht="42" hidden="false" customHeight="true" outlineLevel="0" collapsed="false">
      <c r="A12" s="27" t="n">
        <v>8</v>
      </c>
      <c r="B12" s="9" t="s">
        <v>2857</v>
      </c>
      <c r="C12" s="8" t="s">
        <v>2858</v>
      </c>
      <c r="D12" s="8" t="s">
        <v>2859</v>
      </c>
      <c r="E12" s="9" t="s">
        <v>2860</v>
      </c>
    </row>
    <row r="13" customFormat="false" ht="29.25" hidden="false" customHeight="true" outlineLevel="0" collapsed="false">
      <c r="A13" s="27" t="n">
        <v>9</v>
      </c>
      <c r="B13" s="9" t="s">
        <v>2861</v>
      </c>
      <c r="C13" s="9" t="s">
        <v>2862</v>
      </c>
      <c r="D13" s="9" t="s">
        <v>2863</v>
      </c>
      <c r="E13" s="8" t="s">
        <v>2864</v>
      </c>
    </row>
    <row r="14" customFormat="false" ht="16.5" hidden="false" customHeight="true" outlineLevel="0" collapsed="false">
      <c r="A14" s="27" t="n">
        <v>10</v>
      </c>
      <c r="B14" s="9" t="s">
        <v>2865</v>
      </c>
      <c r="C14" s="9" t="s">
        <v>2866</v>
      </c>
      <c r="D14" s="9" t="s">
        <v>2867</v>
      </c>
      <c r="E14" s="9" t="s">
        <v>57</v>
      </c>
    </row>
    <row r="15" customFormat="false" ht="29.25" hidden="false" customHeight="true" outlineLevel="0" collapsed="false">
      <c r="A15" s="27" t="n">
        <v>11</v>
      </c>
      <c r="B15" s="9" t="s">
        <v>2868</v>
      </c>
      <c r="C15" s="9" t="s">
        <v>2869</v>
      </c>
      <c r="D15" s="9" t="s">
        <v>2870</v>
      </c>
      <c r="E15" s="9" t="s">
        <v>2871</v>
      </c>
    </row>
    <row r="16" customFormat="false" ht="29.25" hidden="false" customHeight="true" outlineLevel="0" collapsed="false">
      <c r="A16" s="27" t="n">
        <v>12</v>
      </c>
      <c r="B16" s="9" t="s">
        <v>2872</v>
      </c>
      <c r="C16" s="8" t="s">
        <v>2873</v>
      </c>
      <c r="D16" s="8" t="s">
        <v>2874</v>
      </c>
      <c r="E16" s="17" t="s">
        <v>2875</v>
      </c>
    </row>
    <row r="17" customFormat="false" ht="29.25" hidden="false" customHeight="true" outlineLevel="0" collapsed="false">
      <c r="A17" s="27" t="n">
        <v>13</v>
      </c>
      <c r="B17" s="9" t="s">
        <v>1770</v>
      </c>
      <c r="C17" s="8" t="s">
        <v>2876</v>
      </c>
      <c r="D17" s="9" t="s">
        <v>2877</v>
      </c>
      <c r="E17" s="8" t="s">
        <v>2878</v>
      </c>
    </row>
    <row r="18" customFormat="false" ht="42" hidden="false" customHeight="true" outlineLevel="0" collapsed="false">
      <c r="A18" s="27" t="n">
        <v>14</v>
      </c>
      <c r="B18" s="9" t="s">
        <v>2879</v>
      </c>
      <c r="C18" s="9" t="s">
        <v>2880</v>
      </c>
      <c r="D18" s="9" t="s">
        <v>2881</v>
      </c>
      <c r="E18" s="17" t="s">
        <v>2882</v>
      </c>
    </row>
    <row r="19" customFormat="false" ht="29.25" hidden="false" customHeight="true" outlineLevel="0" collapsed="false">
      <c r="A19" s="27" t="n">
        <v>15</v>
      </c>
      <c r="B19" s="9" t="s">
        <v>2883</v>
      </c>
      <c r="C19" s="17" t="s">
        <v>2884</v>
      </c>
      <c r="D19" s="17" t="s">
        <v>2885</v>
      </c>
      <c r="E19" s="9" t="s">
        <v>2886</v>
      </c>
    </row>
    <row r="20" customFormat="false" ht="29.25" hidden="false" customHeight="true" outlineLevel="0" collapsed="false">
      <c r="A20" s="27" t="n">
        <v>16</v>
      </c>
      <c r="B20" s="9" t="s">
        <v>2887</v>
      </c>
      <c r="C20" s="17" t="s">
        <v>2888</v>
      </c>
      <c r="D20" s="17" t="s">
        <v>2889</v>
      </c>
      <c r="E20" s="17" t="s">
        <v>2890</v>
      </c>
    </row>
    <row r="21" customFormat="false" ht="29.25" hidden="false" customHeight="true" outlineLevel="0" collapsed="false">
      <c r="A21" s="27" t="n">
        <v>17</v>
      </c>
      <c r="B21" s="9" t="s">
        <v>1564</v>
      </c>
      <c r="C21" s="8" t="s">
        <v>2891</v>
      </c>
      <c r="D21" s="17" t="s">
        <v>2892</v>
      </c>
      <c r="E21" s="9" t="s">
        <v>2893</v>
      </c>
    </row>
    <row r="22" customFormat="false" ht="29.25" hidden="false" customHeight="true" outlineLevel="0" collapsed="false">
      <c r="A22" s="27" t="n">
        <v>18</v>
      </c>
      <c r="B22" s="9" t="s">
        <v>2894</v>
      </c>
      <c r="C22" s="8" t="s">
        <v>2895</v>
      </c>
      <c r="D22" s="17" t="s">
        <v>2896</v>
      </c>
      <c r="E22" s="17" t="s">
        <v>2897</v>
      </c>
    </row>
    <row r="23" customFormat="false" ht="29.25" hidden="false" customHeight="true" outlineLevel="0" collapsed="false">
      <c r="A23" s="27" t="n">
        <v>19</v>
      </c>
      <c r="B23" s="9" t="s">
        <v>2782</v>
      </c>
      <c r="C23" s="9" t="s">
        <v>2898</v>
      </c>
      <c r="D23" s="9" t="s">
        <v>2899</v>
      </c>
      <c r="E23" s="9" t="s">
        <v>69</v>
      </c>
    </row>
    <row r="24" customFormat="false" ht="16.5" hidden="false" customHeight="true" outlineLevel="0" collapsed="false">
      <c r="A24" s="27" t="n">
        <v>20</v>
      </c>
      <c r="B24" s="9" t="s">
        <v>2900</v>
      </c>
      <c r="C24" s="8" t="s">
        <v>2901</v>
      </c>
      <c r="D24" s="8" t="s">
        <v>2902</v>
      </c>
      <c r="E24" s="9" t="s">
        <v>348</v>
      </c>
    </row>
    <row r="25" customFormat="false" ht="42" hidden="false" customHeight="true" outlineLevel="0" collapsed="false">
      <c r="A25" s="27" t="n">
        <v>21</v>
      </c>
      <c r="B25" s="9" t="s">
        <v>2903</v>
      </c>
      <c r="C25" s="8" t="s">
        <v>2904</v>
      </c>
      <c r="D25" s="17" t="s">
        <v>2905</v>
      </c>
      <c r="E25" s="9" t="s">
        <v>2906</v>
      </c>
    </row>
    <row r="26" customFormat="false" ht="42" hidden="false" customHeight="true" outlineLevel="0" collapsed="false">
      <c r="A26" s="27" t="n">
        <v>22</v>
      </c>
      <c r="B26" s="9" t="s">
        <v>2907</v>
      </c>
      <c r="C26" s="8" t="s">
        <v>2908</v>
      </c>
      <c r="D26" s="8" t="s">
        <v>2909</v>
      </c>
      <c r="E26" s="9" t="s">
        <v>57</v>
      </c>
    </row>
    <row r="27" customFormat="false" ht="29.25" hidden="false" customHeight="true" outlineLevel="0" collapsed="false">
      <c r="A27" s="27" t="n">
        <v>23</v>
      </c>
      <c r="B27" s="9" t="s">
        <v>2910</v>
      </c>
      <c r="C27" s="8" t="s">
        <v>2911</v>
      </c>
      <c r="D27" s="9" t="s">
        <v>2912</v>
      </c>
      <c r="E27" s="9" t="s">
        <v>31</v>
      </c>
    </row>
    <row r="28" customFormat="false" ht="29.25" hidden="false" customHeight="true" outlineLevel="0" collapsed="false">
      <c r="A28" s="27" t="n">
        <v>24</v>
      </c>
      <c r="B28" s="9" t="s">
        <v>2913</v>
      </c>
      <c r="C28" s="17" t="s">
        <v>2914</v>
      </c>
      <c r="D28" s="17" t="s">
        <v>2915</v>
      </c>
      <c r="E28" s="17" t="s">
        <v>282</v>
      </c>
    </row>
    <row r="29" customFormat="false" ht="16.5" hidden="false" customHeight="true" outlineLevel="0" collapsed="false">
      <c r="A29" s="27" t="n">
        <v>25</v>
      </c>
      <c r="B29" s="9" t="s">
        <v>2916</v>
      </c>
      <c r="C29" s="17" t="s">
        <v>2917</v>
      </c>
      <c r="D29" s="19" t="s">
        <v>2918</v>
      </c>
      <c r="E29" s="19" t="s">
        <v>2919</v>
      </c>
    </row>
    <row r="30" customFormat="false" ht="29.25" hidden="false" customHeight="true" outlineLevel="0" collapsed="false">
      <c r="A30" s="39" t="s">
        <v>2920</v>
      </c>
      <c r="B30" s="5"/>
      <c r="C30" s="5"/>
      <c r="D30" s="5"/>
      <c r="E30" s="5"/>
    </row>
    <row r="31" customFormat="false" ht="29.25" hidden="false" customHeight="true" outlineLevel="0" collapsed="false">
      <c r="A31" s="25" t="s">
        <v>83</v>
      </c>
      <c r="B31" s="26" t="s">
        <v>1863</v>
      </c>
      <c r="C31" s="26" t="s">
        <v>2484</v>
      </c>
      <c r="D31" s="26" t="s">
        <v>2921</v>
      </c>
      <c r="E31" s="26" t="s">
        <v>2922</v>
      </c>
    </row>
    <row r="32" customFormat="false" ht="42" hidden="false" customHeight="true" outlineLevel="0" collapsed="false">
      <c r="A32" s="27" t="n">
        <v>1</v>
      </c>
      <c r="B32" s="9" t="s">
        <v>2923</v>
      </c>
      <c r="C32" s="9" t="s">
        <v>2924</v>
      </c>
      <c r="D32" s="9" t="s">
        <v>2925</v>
      </c>
      <c r="E32" s="9" t="s">
        <v>44</v>
      </c>
    </row>
    <row r="33" customFormat="false" ht="42" hidden="false" customHeight="true" outlineLevel="0" collapsed="false">
      <c r="A33" s="27" t="n">
        <v>2</v>
      </c>
      <c r="B33" s="9" t="s">
        <v>2926</v>
      </c>
      <c r="C33" s="9" t="s">
        <v>2927</v>
      </c>
      <c r="D33" s="17" t="s">
        <v>2928</v>
      </c>
      <c r="E33" s="9" t="s">
        <v>2929</v>
      </c>
    </row>
    <row r="34" customFormat="false" ht="16.5" hidden="false" customHeight="true" outlineLevel="0" collapsed="false">
      <c r="A34" s="27" t="n">
        <v>3</v>
      </c>
      <c r="B34" s="8" t="s">
        <v>2930</v>
      </c>
      <c r="C34" s="9" t="s">
        <v>2931</v>
      </c>
      <c r="D34" s="9" t="s">
        <v>2932</v>
      </c>
      <c r="E34" s="17" t="s">
        <v>2890</v>
      </c>
    </row>
    <row r="35" customFormat="false" ht="29.25" hidden="false" customHeight="true" outlineLevel="0" collapsed="false">
      <c r="A35" s="27" t="n">
        <v>4</v>
      </c>
      <c r="B35" s="17" t="s">
        <v>2933</v>
      </c>
      <c r="C35" s="8" t="s">
        <v>2934</v>
      </c>
      <c r="D35" s="17" t="s">
        <v>2935</v>
      </c>
      <c r="E35" s="9" t="s">
        <v>59</v>
      </c>
    </row>
    <row r="36" customFormat="false" ht="16.5" hidden="false" customHeight="true" outlineLevel="0" collapsed="false">
      <c r="A36" s="27" t="n">
        <v>5</v>
      </c>
      <c r="B36" s="9" t="s">
        <v>2936</v>
      </c>
      <c r="C36" s="8" t="s">
        <v>2937</v>
      </c>
      <c r="D36" s="9" t="s">
        <v>2938</v>
      </c>
      <c r="E36" s="9" t="s">
        <v>2848</v>
      </c>
    </row>
    <row r="37" customFormat="false" ht="29.25" hidden="false" customHeight="true" outlineLevel="0" collapsed="false">
      <c r="A37" s="27" t="n">
        <v>6</v>
      </c>
      <c r="B37" s="9" t="s">
        <v>2939</v>
      </c>
      <c r="C37" s="9" t="s">
        <v>2940</v>
      </c>
      <c r="D37" s="9" t="s">
        <v>2941</v>
      </c>
      <c r="E37" s="8" t="s">
        <v>2942</v>
      </c>
    </row>
    <row r="38" customFormat="false" ht="42" hidden="false" customHeight="true" outlineLevel="0" collapsed="false">
      <c r="A38" s="27" t="n">
        <v>7</v>
      </c>
      <c r="B38" s="9" t="s">
        <v>2943</v>
      </c>
      <c r="C38" s="9" t="s">
        <v>2944</v>
      </c>
      <c r="D38" s="9" t="s">
        <v>2945</v>
      </c>
      <c r="E38" s="9" t="s">
        <v>2946</v>
      </c>
    </row>
    <row r="39" customFormat="false" ht="29.25" hidden="false" customHeight="true" outlineLevel="0" collapsed="false">
      <c r="A39" s="27" t="n">
        <v>8</v>
      </c>
      <c r="B39" s="9" t="s">
        <v>2947</v>
      </c>
      <c r="C39" s="17" t="s">
        <v>2948</v>
      </c>
      <c r="D39" s="9" t="s">
        <v>2949</v>
      </c>
      <c r="E39" s="9" t="s">
        <v>57</v>
      </c>
    </row>
    <row r="40" customFormat="false" ht="29.25" hidden="false" customHeight="true" outlineLevel="0" collapsed="false">
      <c r="A40" s="27" t="n">
        <v>9</v>
      </c>
      <c r="B40" s="9" t="s">
        <v>1872</v>
      </c>
      <c r="C40" s="8" t="s">
        <v>2950</v>
      </c>
      <c r="D40" s="8" t="s">
        <v>2951</v>
      </c>
      <c r="E40" s="9" t="s">
        <v>57</v>
      </c>
    </row>
    <row r="41" customFormat="false" ht="67.5" hidden="false" customHeight="true" outlineLevel="0" collapsed="false">
      <c r="A41" s="27" t="n">
        <v>10</v>
      </c>
      <c r="B41" s="9" t="s">
        <v>2197</v>
      </c>
      <c r="C41" s="9" t="s">
        <v>2952</v>
      </c>
      <c r="D41" s="9" t="s">
        <v>2953</v>
      </c>
      <c r="E41" s="9" t="s">
        <v>57</v>
      </c>
    </row>
    <row r="42" customFormat="false" ht="67.5" hidden="false" customHeight="true" outlineLevel="0" collapsed="false">
      <c r="A42" s="27" t="n">
        <v>11</v>
      </c>
      <c r="B42" s="9" t="s">
        <v>2954</v>
      </c>
      <c r="C42" s="9" t="s">
        <v>2955</v>
      </c>
      <c r="D42" s="17" t="s">
        <v>2956</v>
      </c>
      <c r="E42" s="9" t="s">
        <v>2957</v>
      </c>
    </row>
    <row r="43" customFormat="false" ht="54.75" hidden="false" customHeight="true" outlineLevel="0" collapsed="false">
      <c r="A43" s="27" t="n">
        <v>12</v>
      </c>
      <c r="B43" s="17" t="s">
        <v>2958</v>
      </c>
      <c r="C43" s="9" t="s">
        <v>2959</v>
      </c>
      <c r="D43" s="17" t="s">
        <v>2960</v>
      </c>
      <c r="E43" s="9" t="s">
        <v>34</v>
      </c>
    </row>
    <row r="44" customFormat="false" ht="29.25" hidden="false" customHeight="true" outlineLevel="0" collapsed="false">
      <c r="A44" s="27" t="n">
        <v>13</v>
      </c>
      <c r="B44" s="9" t="s">
        <v>2961</v>
      </c>
      <c r="C44" s="8" t="s">
        <v>2962</v>
      </c>
      <c r="D44" s="9" t="s">
        <v>2963</v>
      </c>
      <c r="E44" s="9" t="s">
        <v>41</v>
      </c>
    </row>
    <row r="45" customFormat="false" ht="54.75" hidden="false" customHeight="true" outlineLevel="0" collapsed="false">
      <c r="A45" s="27" t="n">
        <v>14</v>
      </c>
      <c r="B45" s="17" t="s">
        <v>2964</v>
      </c>
      <c r="C45" s="8" t="s">
        <v>2965</v>
      </c>
      <c r="D45" s="9" t="s">
        <v>2966</v>
      </c>
      <c r="E45" s="9" t="s">
        <v>47</v>
      </c>
    </row>
    <row r="46" customFormat="false" ht="80.25" hidden="false" customHeight="true" outlineLevel="0" collapsed="false">
      <c r="A46" s="27" t="n">
        <v>15</v>
      </c>
      <c r="B46" s="17" t="s">
        <v>2967</v>
      </c>
      <c r="C46" s="9" t="s">
        <v>2968</v>
      </c>
      <c r="D46" s="9" t="s">
        <v>2969</v>
      </c>
      <c r="E46" s="9" t="s">
        <v>49</v>
      </c>
    </row>
    <row r="47" customFormat="false" ht="54.75" hidden="false" customHeight="true" outlineLevel="0" collapsed="false">
      <c r="A47" s="27" t="n">
        <v>16</v>
      </c>
      <c r="B47" s="9" t="s">
        <v>2970</v>
      </c>
      <c r="C47" s="9" t="s">
        <v>2971</v>
      </c>
      <c r="D47" s="9" t="s">
        <v>2972</v>
      </c>
      <c r="E47" s="9" t="s">
        <v>2973</v>
      </c>
    </row>
    <row r="48" customFormat="false" ht="42" hidden="false" customHeight="true" outlineLevel="0" collapsed="false"/>
    <row r="49" customFormat="false" ht="67.5" hidden="false" customHeight="true" outlineLevel="0" collapsed="false"/>
    <row r="50" customFormat="false" ht="29.25" hidden="false" customHeight="true" outlineLevel="0" collapsed="false"/>
    <row r="51" customFormat="false" ht="80.25" hidden="false" customHeight="true" outlineLevel="0" collapsed="false"/>
    <row r="53" customFormat="false" ht="18" hidden="false" customHeight="true" outlineLevel="0" collapsed="false"/>
    <row r="54" customFormat="false" ht="19.5" hidden="false" customHeight="true" outlineLevel="0" collapsed="false"/>
    <row r="55" customFormat="false" ht="29.25" hidden="false" customHeight="true" outlineLevel="0" collapsed="false"/>
    <row r="56" customFormat="false" ht="29.25" hidden="false" customHeight="true" outlineLevel="0" collapsed="false"/>
    <row r="57" customFormat="false" ht="29.25" hidden="false" customHeight="true" outlineLevel="0" collapsed="false"/>
    <row r="58" customFormat="false" ht="29.25" hidden="false" customHeight="true" outlineLevel="0" collapsed="false"/>
    <row r="59" customFormat="false" ht="29.25" hidden="false" customHeight="true" outlineLevel="0" collapsed="false"/>
    <row r="60" customFormat="false" ht="29.25" hidden="false" customHeight="true" outlineLevel="0" collapsed="false"/>
    <row r="61" customFormat="false" ht="29.25" hidden="false" customHeight="true" outlineLevel="0" collapsed="false"/>
    <row r="62" customFormat="false" ht="29.25" hidden="false" customHeight="true" outlineLevel="0" collapsed="false"/>
    <row r="63" customFormat="false" ht="29.25" hidden="false" customHeight="true" outlineLevel="0" collapsed="false"/>
    <row r="64" customFormat="false" ht="29.25" hidden="false" customHeight="true" outlineLevel="0" collapsed="false"/>
    <row r="65" customFormat="false" ht="29.25" hidden="false" customHeight="true" outlineLevel="0" collapsed="false"/>
    <row r="66" customFormat="false" ht="16.5" hidden="false" customHeight="true" outlineLevel="0" collapsed="false"/>
    <row r="67" customFormat="false" ht="29.25" hidden="false" customHeight="true" outlineLevel="0" collapsed="false"/>
    <row r="68" customFormat="false" ht="29.25" hidden="false" customHeight="true" outlineLevel="0" collapsed="false"/>
    <row r="69" customFormat="false" ht="42" hidden="false" customHeight="true" outlineLevel="0" collapsed="false"/>
    <row r="70" customFormat="false" ht="29.25" hidden="false" customHeight="true" outlineLevel="0" collapsed="false"/>
    <row r="71" customFormat="false" ht="29.25" hidden="false" customHeight="true" outlineLevel="0" collapsed="false"/>
    <row r="72" customFormat="false" ht="42" hidden="false" customHeight="true" outlineLevel="0" collapsed="false"/>
    <row r="73" customFormat="false" ht="42" hidden="false" customHeight="true" outlineLevel="0" collapsed="false"/>
    <row r="74" customFormat="false" ht="29.25" hidden="false" customHeight="true" outlineLevel="0" collapsed="false"/>
    <row r="75" customFormat="false" ht="42" hidden="false" customHeight="true" outlineLevel="0" collapsed="false"/>
    <row r="76" customFormat="false" ht="29.2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2026-09-22T22:55:55Z</dcterms:created>
  <dc:creator>openpyxl</dc:creator>
  <dc:description/>
  <dc:language>en-US</dc:language>
  <cp:lastModifiedBy/>
  <dcterms:modified xsi:type="dcterms:W3CDTF">2026-09-25T01:02:51Z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