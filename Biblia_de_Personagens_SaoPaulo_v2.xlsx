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캐릭터" sheetId="2" state="visible" r:id="rId4"/>
    <sheet name="등장비중" sheetId="3" state="visible" r:id="rId5"/>
    <sheet name="턴_설계" sheetId="4" state="visible" r:id="rId6"/>
    <sheet name="12부_구성" sheetId="5" state="visible" r:id="rId7"/>
    <sheet name="아크_구성계획" sheetId="6" state="visible" r:id="rId8"/>
    <sheet name="화별목차_전체" sheetId="7" state="visible" r:id="rId9"/>
    <sheet name="복선_회수" sheetId="8" state="visible" r:id="rId10"/>
    <sheet name="현안_배치" sheetId="9" state="visible" r:id="rId11"/>
    <sheet name="현안_분포" sheetId="10" state="visible" r:id="rId12"/>
    <sheet name="정치제도" sheetId="11" state="visible" r:id="rId13"/>
    <sheet name="정치경로_의석" sheetId="12" state="visible" r:id="rId14"/>
    <sheet name="호칭규칙" sheetId="13" state="visible" r:id="rId15"/>
    <sheet name="Larissa_폭발과욕" sheetId="14" state="visible" r:id="rId16"/>
    <sheet name="DomPedro_죽음" sheetId="15" state="visible" r:id="rId17"/>
    <sheet name="Freire_출처" sheetId="16" state="visible" r:id="rId18"/>
    <sheet name="대화문규칙" sheetId="17" state="visible" r:id="rId19"/>
    <sheet name="1부_시범대사" sheetId="18" state="visible" r:id="rId20"/>
    <sheet name="변경이력_미결" sheetId="19" state="visible" r:id="rId21"/>
  </sheets>
  <definedNames>
    <definedName function="false" hidden="true" localSheetId="6" name="_xlnm._FilterDatabase" vbProcedure="false">화별목차_전체!$A$4:$J$160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<sst xmlns="http://schemas.openxmlformats.org/spreadsheetml/2006/main" count="4074" uniqueCount="3056">
  <si>
    <r>
      <rPr>
        <b val="true"/>
        <sz val="14"/>
        <color rgb="FF1F3864"/>
        <rFont val="Arial"/>
        <family val="0"/>
        <charset val="1"/>
      </rPr>
      <t xml:space="preserve">São Paulo </t>
    </r>
    <r>
      <rPr>
        <b val="true"/>
        <sz val="14"/>
        <color rgb="FF1F3864"/>
        <rFont val="WenQuanYi Zen Hei"/>
        <family val="2"/>
      </rPr>
      <t xml:space="preserve">포르투갈어 낭독 교재 — 캐릭터 바이블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부활자 특별편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</si>
  <si>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v2.0 · </t>
    </r>
    <r>
      <rPr>
        <i val="true"/>
        <sz val="9"/>
        <color rgb="FF595959"/>
        <rFont val="WenQuanYi Zen Hei"/>
        <family val="2"/>
      </rPr>
      <t xml:space="preserve">상파울루 배경 </t>
    </r>
    <r>
      <rPr>
        <i val="true"/>
        <sz val="9"/>
        <color rgb="FF595959"/>
        <rFont val="Arial"/>
        <family val="0"/>
        <charset val="1"/>
      </rPr>
      <t xml:space="preserve">13</t>
    </r>
    <r>
      <rPr>
        <i val="true"/>
        <sz val="9"/>
        <color rgb="FF595959"/>
        <rFont val="WenQuanYi Zen Hei"/>
        <family val="2"/>
      </rPr>
      <t xml:space="preserve">부작 옴니버스</t>
    </r>
    <r>
      <rPr>
        <i val="true"/>
        <sz val="9"/>
        <color rgb="FF595959"/>
        <rFont val="Arial"/>
        <family val="0"/>
        <charset val="1"/>
      </rPr>
      <t xml:space="preserve">(156</t>
    </r>
    <r>
      <rPr>
        <i val="true"/>
        <sz val="9"/>
        <color rgb="FF595959"/>
        <rFont val="WenQuanYi Zen Hei"/>
        <family val="2"/>
      </rPr>
      <t xml:space="preserve">화</t>
    </r>
    <r>
      <rPr>
        <i val="true"/>
        <sz val="9"/>
        <color rgb="FF595959"/>
        <rFont val="Arial"/>
        <family val="0"/>
        <charset val="1"/>
      </rPr>
      <t xml:space="preserve">) · 10</t>
    </r>
    <r>
      <rPr>
        <i val="true"/>
        <sz val="9"/>
        <color rgb="FF595959"/>
        <rFont val="WenQuanYi Zen Hei"/>
        <family val="2"/>
      </rPr>
      <t xml:space="preserve">부 대선 이후 브라질리아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상파울루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부활 </t>
    </r>
    <r>
      <rPr>
        <i val="true"/>
        <sz val="9"/>
        <color rgb="FF595959"/>
        <rFont val="Arial"/>
        <family val="0"/>
        <charset val="1"/>
      </rPr>
      <t xml:space="preserve">6</t>
    </r>
    <r>
      <rPr>
        <i val="true"/>
        <sz val="9"/>
        <color rgb="FF595959"/>
        <rFont val="WenQuanYi Zen Hei"/>
        <family val="2"/>
      </rPr>
      <t xml:space="preserve">인 </t>
    </r>
    <r>
      <rPr>
        <i val="true"/>
        <sz val="9"/>
        <color rgb="FF595959"/>
        <rFont val="Arial"/>
        <family val="0"/>
        <charset val="1"/>
      </rPr>
      <t xml:space="preserve">= Dom Pedro·Machado·Zumbi·Dumont·Freire·Isabel</t>
    </r>
  </si>
  <si>
    <t xml:space="preserve">기본 설정</t>
  </si>
  <si>
    <t xml:space="preserve">부 수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</si>
  <si>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사무소</t>
    </r>
    <r>
      <rPr>
        <sz val="10"/>
        <rFont val="Arial"/>
        <family val="0"/>
        <charset val="1"/>
      </rPr>
      <t xml:space="preserve">(Bixiga, </t>
    </r>
    <r>
      <rPr>
        <sz val="10"/>
        <rFont val="WenQuanYi Zen Hei"/>
        <family val="2"/>
      </rPr>
      <t xml:space="preserve">개소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개월 후</t>
    </r>
    <r>
      <rPr>
        <sz val="10"/>
        <rFont val="Arial"/>
        <family val="0"/>
        <charset val="1"/>
      </rPr>
      <t xml:space="preserve">, 6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×2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→ 2~5 </t>
    </r>
    <r>
      <rPr>
        <sz val="10"/>
        <rFont val="WenQuanYi Zen Hei"/>
        <family val="2"/>
      </rPr>
      <t xml:space="preserve">각자의 과거 → 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만남 →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전면전 → 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창당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시의원 선거 → 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시의회 →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대선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결선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대통령 취임 → </t>
    </r>
    <r>
      <rPr>
        <sz val="10"/>
        <rFont val="Arial"/>
        <family val="0"/>
        <charset val="1"/>
      </rPr>
      <t xml:space="preserve">11 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I(Mercosul–EU </t>
    </r>
    <r>
      <rPr>
        <sz val="10"/>
        <rFont val="WenQuanYi Zen Hei"/>
        <family val="2"/>
      </rPr>
      <t xml:space="preserve">협상</t>
    </r>
    <r>
      <rPr>
        <sz val="10"/>
        <rFont val="Arial"/>
        <family val="0"/>
        <charset val="1"/>
      </rPr>
      <t xml:space="preserve">·Dom Pedro </t>
    </r>
    <r>
      <rPr>
        <sz val="10"/>
        <rFont val="WenQuanYi Zen Hei"/>
        <family val="2"/>
      </rPr>
      <t xml:space="preserve">사망</t>
    </r>
    <r>
      <rPr>
        <sz val="10"/>
        <rFont val="Arial"/>
        <family val="0"/>
        <charset val="1"/>
      </rPr>
      <t xml:space="preserve">) → 12 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II(</t>
    </r>
    <r>
      <rPr>
        <sz val="10"/>
        <rFont val="WenQuanYi Zen Hei"/>
        <family val="2"/>
      </rPr>
      <t xml:space="preserve">장례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유고 메모 승계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탄핵 방어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대홍수</t>
    </r>
    <r>
      <rPr>
        <sz val="10"/>
        <rFont val="Arial"/>
        <family val="0"/>
        <charset val="1"/>
      </rPr>
      <t xml:space="preserve">) → 13 </t>
    </r>
    <r>
      <rPr>
        <sz val="10"/>
        <rFont val="WenQuanYi Zen Hei"/>
        <family val="2"/>
      </rPr>
      <t xml:space="preserve">귀환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원형 구조</t>
    </r>
    <r>
      <rPr>
        <sz val="10"/>
        <rFont val="Arial"/>
        <family val="0"/>
        <charset val="1"/>
      </rPr>
      <t xml:space="preserve">)</t>
    </r>
  </si>
  <si>
    <t xml:space="preserve">부당 화 수</t>
  </si>
  <si>
    <r>
      <rPr>
        <sz val="10"/>
        <rFont val="WenQuanYi Zen Hei"/>
        <family val="2"/>
      </rPr>
      <t xml:space="preserve">각 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</t>
    </r>
  </si>
  <si>
    <t xml:space="preserve">총 화 수</t>
  </si>
  <si>
    <r>
      <rPr>
        <sz val="10"/>
        <rFont val="WenQuanYi Zen Hei"/>
        <family val="2"/>
      </rPr>
      <t xml:space="preserve">부 수 </t>
    </r>
    <r>
      <rPr>
        <sz val="10"/>
        <rFont val="Noto Sans CJK SC"/>
        <family val="2"/>
        <charset val="1"/>
      </rPr>
      <t xml:space="preserve">× </t>
    </r>
    <r>
      <rPr>
        <sz val="10"/>
        <rFont val="WenQuanYi Zen Hei"/>
        <family val="2"/>
      </rPr>
      <t xml:space="preserve">부당 화 수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자동 계산</t>
    </r>
    <r>
      <rPr>
        <sz val="10"/>
        <rFont val="Noto Sans CJK SC"/>
        <family val="2"/>
        <charset val="1"/>
      </rPr>
      <t xml:space="preserve">)</t>
    </r>
  </si>
  <si>
    <t xml:space="preserve">등장인물 수</t>
  </si>
  <si>
    <t xml:space="preserve">캐릭터 시트의 약칭 개수</t>
  </si>
  <si>
    <t xml:space="preserve">남성 인물 수</t>
  </si>
  <si>
    <r>
      <rPr>
        <sz val="10"/>
        <rFont val="WenQuanYi Zen Hei"/>
        <family val="2"/>
      </rPr>
      <t xml:space="preserve">음색이 다양할수록 화자 구분이 쉬워 남 </t>
    </r>
    <r>
      <rPr>
        <sz val="10"/>
        <rFont val="Noto Sans CJK SC"/>
        <family val="2"/>
        <charset val="1"/>
      </rPr>
      <t xml:space="preserve">9 : </t>
    </r>
    <r>
      <rPr>
        <sz val="10"/>
        <rFont val="WenQuanYi Zen Hei"/>
        <family val="2"/>
      </rPr>
      <t xml:space="preserve">여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로 배분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부활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인 중 여성은 </t>
    </r>
    <r>
      <rPr>
        <sz val="10"/>
        <rFont val="Noto Sans CJK SC"/>
        <family val="2"/>
        <charset val="1"/>
      </rPr>
      <t xml:space="preserve">Isabel 1</t>
    </r>
    <r>
      <rPr>
        <sz val="10"/>
        <rFont val="WenQuanYi Zen Hei"/>
        <family val="2"/>
      </rPr>
      <t xml:space="preserve">명</t>
    </r>
    <r>
      <rPr>
        <sz val="10"/>
        <rFont val="Noto Sans CJK SC"/>
        <family val="2"/>
        <charset val="1"/>
      </rPr>
      <t xml:space="preserve">)</t>
    </r>
  </si>
  <si>
    <t xml:space="preserve">여성 인물 수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</si>
  <si>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부→</t>
    </r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경과 연수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가정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</si>
  <si>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가정값</t>
    </r>
    <r>
      <rPr>
        <sz val="10"/>
        <rFont val="Noto Sans CJK SC"/>
        <family val="2"/>
        <charset val="1"/>
      </rPr>
      <t xml:space="preserve">: Dom Pedro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65</t>
    </r>
    <r>
      <rPr>
        <sz val="10"/>
        <rFont val="WenQuanYi Zen Hei"/>
        <family val="2"/>
      </rPr>
      <t xml:space="preserve">세 →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부 약 </t>
    </r>
    <r>
      <rPr>
        <sz val="10"/>
        <rFont val="Noto Sans CJK SC"/>
        <family val="2"/>
        <charset val="1"/>
      </rPr>
      <t xml:space="preserve">71</t>
    </r>
    <r>
      <rPr>
        <sz val="10"/>
        <rFont val="WenQuanYi Zen Hei"/>
        <family val="2"/>
      </rPr>
      <t xml:space="preserve">세가 되도록 잡음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확정 시 이 셀만 수정하면 캐릭터 시트의 나이가 자동 갱신</t>
    </r>
    <r>
      <rPr>
        <sz val="10"/>
        <rFont val="Noto Sans CJK SC"/>
        <family val="2"/>
        <charset val="1"/>
      </rPr>
      <t xml:space="preserve">. (</t>
    </r>
    <r>
      <rPr>
        <sz val="10"/>
        <rFont val="WenQuanYi Zen Hei"/>
        <family val="2"/>
      </rPr>
      <t xml:space="preserve">캐릭터 시트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나이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)' </t>
    </r>
    <r>
      <rPr>
        <sz val="10"/>
        <rFont val="WenQuanYi Zen Hei"/>
        <family val="2"/>
      </rPr>
      <t xml:space="preserve">열</t>
    </r>
    <r>
      <rPr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</si>
  <si>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배경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언어</t>
    </r>
  </si>
  <si>
    <r>
      <rPr>
        <sz val="10"/>
        <rFont val="WenQuanYi Zen Hei"/>
        <family val="2"/>
      </rPr>
      <t xml:space="preserve">상파울루 </t>
    </r>
    <r>
      <rPr>
        <sz val="10"/>
        <rFont val="Noto Sans CJK SC"/>
        <family val="2"/>
        <charset val="1"/>
      </rPr>
      <t xml:space="preserve">(Bixiga) → 10</t>
    </r>
    <r>
      <rPr>
        <sz val="10"/>
        <rFont val="WenQuanYi Zen Hei"/>
        <family val="2"/>
      </rPr>
      <t xml:space="preserve">부 대선 이후 브라질리아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상파울루</t>
    </r>
  </si>
  <si>
    <r>
      <rPr>
        <sz val="10"/>
        <rFont val="WenQuanYi Zen Hei"/>
        <family val="2"/>
      </rPr>
      <t xml:space="preserve">표준 브라질 포르투갈어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상파울루 억양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친한 사이 </t>
    </r>
    <r>
      <rPr>
        <sz val="10"/>
        <rFont val="Noto Sans CJK SC"/>
        <family val="2"/>
        <charset val="1"/>
      </rPr>
      <t xml:space="preserve">você, </t>
    </r>
    <r>
      <rPr>
        <sz val="10"/>
        <rFont val="WenQuanYi Zen Hei"/>
        <family val="2"/>
      </rPr>
      <t xml:space="preserve">공식 석상은 </t>
    </r>
    <r>
      <rPr>
        <sz val="10"/>
        <rFont val="Noto Sans CJK SC"/>
        <family val="2"/>
        <charset val="1"/>
      </rPr>
      <t xml:space="preserve">o senhor/a senhora, </t>
    </r>
    <r>
      <rPr>
        <sz val="10"/>
        <rFont val="WenQuanYi Zen Hei"/>
        <family val="2"/>
      </rPr>
      <t xml:space="preserve">의회에서는 </t>
    </r>
    <r>
      <rPr>
        <sz val="10"/>
        <rFont val="Noto Sans CJK SC"/>
        <family val="2"/>
        <charset val="1"/>
      </rPr>
      <t xml:space="preserve">Vossa Excelência. </t>
    </r>
    <r>
      <rPr>
        <sz val="10"/>
        <rFont val="WenQuanYi Zen Hei"/>
        <family val="2"/>
      </rPr>
      <t xml:space="preserve">구어의 </t>
    </r>
    <r>
      <rPr>
        <sz val="10"/>
        <rFont val="Noto Sans CJK SC"/>
        <family val="2"/>
        <charset val="1"/>
      </rPr>
      <t xml:space="preserve">'a gente', 'tá', 'meu'</t>
    </r>
    <r>
      <rPr>
        <sz val="10"/>
        <rFont val="WenQuanYi Zen Hei"/>
        <family val="2"/>
      </rPr>
      <t xml:space="preserve">는 인물별로 조절</t>
    </r>
    <r>
      <rPr>
        <sz val="10"/>
        <rFont val="Noto Sans CJK SC"/>
        <family val="2"/>
        <charset val="1"/>
      </rPr>
      <t xml:space="preserve">.</t>
    </r>
  </si>
  <si>
    <t xml:space="preserve">형식</t>
  </si>
  <si>
    <r>
      <rPr>
        <sz val="10"/>
        <rFont val="WenQuanYi Zen Hei"/>
        <family val="2"/>
      </rPr>
      <t xml:space="preserve">전 화 </t>
    </r>
    <r>
      <rPr>
        <sz val="10"/>
        <rFont val="Noto Sans CJK SC"/>
        <family val="2"/>
        <charset val="1"/>
      </rPr>
      <t xml:space="preserve">100% </t>
    </r>
    <r>
      <rPr>
        <sz val="10"/>
        <rFont val="WenQuanYi Zen Hei"/>
        <family val="2"/>
      </rPr>
      <t xml:space="preserve">대화문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화당 </t>
    </r>
    <r>
      <rPr>
        <sz val="10"/>
        <rFont val="Noto Sans CJK SC"/>
        <family val="2"/>
        <charset val="1"/>
      </rPr>
      <t xml:space="preserve">120</t>
    </r>
    <r>
      <rPr>
        <sz val="10"/>
        <rFont val="WenQuanYi Zen Hei"/>
        <family val="2"/>
      </rPr>
      <t xml:space="preserve">턴</t>
    </r>
  </si>
  <si>
    <t xml:space="preserve">그룹별 인원</t>
  </si>
  <si>
    <r>
      <rPr>
        <b val="true"/>
        <sz val="10"/>
        <rFont val="WenQuanYi Zen Hei"/>
        <family val="2"/>
      </rPr>
      <t xml:space="preserve">주력 </t>
    </r>
    <r>
      <rPr>
        <b val="true"/>
        <sz val="10"/>
        <rFont val="Noto Sans CJK SC"/>
        <family val="2"/>
        <charset val="1"/>
      </rPr>
      <t xml:space="preserve">4</t>
    </r>
    <r>
      <rPr>
        <b val="true"/>
        <sz val="10"/>
        <rFont val="WenQuanYi Zen Hei"/>
        <family val="2"/>
      </rPr>
      <t xml:space="preserve">인</t>
    </r>
  </si>
  <si>
    <r>
      <rPr>
        <sz val="10"/>
        <rFont val="Arial"/>
        <family val="0"/>
        <charset val="1"/>
      </rPr>
      <t xml:space="preserve">Rafael(</t>
    </r>
    <r>
      <rPr>
        <sz val="10"/>
        <rFont val="WenQuanYi Zen Hei"/>
        <family val="2"/>
      </rPr>
      <t xml:space="preserve">변호사</t>
    </r>
    <r>
      <rPr>
        <sz val="10"/>
        <rFont val="Arial"/>
        <family val="0"/>
        <charset val="1"/>
      </rPr>
      <t xml:space="preserve">)·Camila(</t>
    </r>
    <r>
      <rPr>
        <sz val="10"/>
        <rFont val="WenQuanYi Zen Hei"/>
        <family val="2"/>
      </rPr>
      <t xml:space="preserve">의사</t>
    </r>
    <r>
      <rPr>
        <sz val="10"/>
        <rFont val="Arial"/>
        <family val="0"/>
        <charset val="1"/>
      </rPr>
      <t xml:space="preserve">)·Bruno(</t>
    </r>
    <r>
      <rPr>
        <sz val="10"/>
        <rFont val="WenQuanYi Zen Hei"/>
        <family val="2"/>
      </rPr>
      <t xml:space="preserve">회계사</t>
    </r>
    <r>
      <rPr>
        <sz val="10"/>
        <rFont val="Arial"/>
        <family val="0"/>
        <charset val="1"/>
      </rPr>
      <t xml:space="preserve">)·Juliana(</t>
    </r>
    <r>
      <rPr>
        <sz val="10"/>
        <rFont val="WenQuanYi Zen Hei"/>
        <family val="2"/>
      </rPr>
      <t xml:space="preserve">컨설턴트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</si>
  <si>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부활 </t>
    </r>
    <r>
      <rPr>
        <b val="true"/>
        <sz val="10"/>
        <rFont val="Noto Sans CJK SC"/>
        <family val="2"/>
        <charset val="1"/>
      </rPr>
      <t xml:space="preserve">6</t>
    </r>
    <r>
      <rPr>
        <b val="true"/>
        <sz val="10"/>
        <rFont val="WenQuanYi Zen Hei"/>
        <family val="2"/>
      </rPr>
      <t xml:space="preserve">인</t>
    </r>
  </si>
  <si>
    <r>
      <rPr>
        <sz val="10"/>
        <rFont val="Arial"/>
        <family val="0"/>
        <charset val="1"/>
      </rPr>
      <t xml:space="preserve">Dom Pedro(</t>
    </r>
    <r>
      <rPr>
        <sz val="10"/>
        <rFont val="WenQuanYi Zen Hei"/>
        <family val="2"/>
      </rPr>
      <t xml:space="preserve">전 황제</t>
    </r>
    <r>
      <rPr>
        <sz val="10"/>
        <rFont val="Arial"/>
        <family val="0"/>
        <charset val="1"/>
      </rPr>
      <t xml:space="preserve">)·Machado(</t>
    </r>
    <r>
      <rPr>
        <sz val="10"/>
        <rFont val="WenQuanYi Zen Hei"/>
        <family val="2"/>
      </rPr>
      <t xml:space="preserve">소설가</t>
    </r>
    <r>
      <rPr>
        <sz val="10"/>
        <rFont val="Arial"/>
        <family val="0"/>
        <charset val="1"/>
      </rPr>
      <t xml:space="preserve">)·Zumbi(</t>
    </r>
    <r>
      <rPr>
        <sz val="10"/>
        <rFont val="WenQuanYi Zen Hei"/>
        <family val="2"/>
      </rPr>
      <t xml:space="preserve">저항 지도자</t>
    </r>
    <r>
      <rPr>
        <sz val="10"/>
        <rFont val="Arial"/>
        <family val="0"/>
        <charset val="1"/>
      </rPr>
      <t xml:space="preserve">)·Dumont(</t>
    </r>
    <r>
      <rPr>
        <sz val="10"/>
        <rFont val="WenQuanYi Zen Hei"/>
        <family val="2"/>
      </rPr>
      <t xml:space="preserve">항공 개척자</t>
    </r>
    <r>
      <rPr>
        <sz val="10"/>
        <rFont val="Arial"/>
        <family val="0"/>
        <charset val="1"/>
      </rPr>
      <t xml:space="preserve">)·Freire(</t>
    </r>
    <r>
      <rPr>
        <sz val="10"/>
        <rFont val="WenQuanYi Zen Hei"/>
        <family val="2"/>
      </rPr>
      <t xml:space="preserve">교육학자</t>
    </r>
    <r>
      <rPr>
        <sz val="10"/>
        <rFont val="Arial"/>
        <family val="0"/>
        <charset val="1"/>
      </rPr>
      <t xml:space="preserve">)·Isabel(</t>
    </r>
    <r>
      <rPr>
        <sz val="10"/>
        <rFont val="WenQuanYi Zen Hei"/>
        <family val="2"/>
      </rPr>
      <t xml:space="preserve">황녀</t>
    </r>
    <r>
      <rPr>
        <sz val="10"/>
        <rFont val="Arial"/>
        <family val="0"/>
        <charset val="1"/>
      </rPr>
      <t xml:space="preserve">) ※ </t>
    </r>
    <r>
      <rPr>
        <sz val="10"/>
        <rFont val="WenQuanYi Zen Hei"/>
        <family val="2"/>
      </rPr>
      <t xml:space="preserve">각자의 시대에 죽었다가 이유 없이 현재 상파울루에 되살아나 사무소에 합류</t>
    </r>
  </si>
  <si>
    <r>
      <rPr>
        <b val="true"/>
        <sz val="10"/>
        <rFont val="WenQuanYi Zen Hei"/>
        <family val="2"/>
      </rPr>
      <t xml:space="preserve">서민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청년</t>
    </r>
  </si>
  <si>
    <r>
      <rPr>
        <sz val="10"/>
        <rFont val="Arial"/>
        <family val="0"/>
        <charset val="1"/>
      </rPr>
      <t xml:space="preserve">Marta(</t>
    </r>
    <r>
      <rPr>
        <sz val="10"/>
        <rFont val="WenQuanYi Zen Hei"/>
        <family val="2"/>
      </rPr>
      <t xml:space="preserve">바 사장</t>
    </r>
    <r>
      <rPr>
        <sz val="10"/>
        <rFont val="Arial"/>
        <family val="0"/>
        <charset val="1"/>
      </rPr>
      <t xml:space="preserve">)·Edson(</t>
    </r>
    <r>
      <rPr>
        <sz val="10"/>
        <rFont val="WenQuanYi Zen Hei"/>
        <family val="2"/>
      </rPr>
      <t xml:space="preserve">노조위원장</t>
    </r>
    <r>
      <rPr>
        <sz val="10"/>
        <rFont val="Arial"/>
        <family val="0"/>
        <charset val="1"/>
      </rPr>
      <t xml:space="preserve">)·Larissa(</t>
    </r>
    <r>
      <rPr>
        <sz val="10"/>
        <rFont val="WenQuanYi Zen Hei"/>
        <family val="2"/>
      </rPr>
      <t xml:space="preserve">인턴</t>
    </r>
    <r>
      <rPr>
        <sz val="10"/>
        <rFont val="Arial"/>
        <family val="0"/>
        <charset val="1"/>
      </rPr>
      <t xml:space="preserve">)</t>
    </r>
  </si>
  <si>
    <t xml:space="preserve">금융</t>
  </si>
  <si>
    <r>
      <rPr>
        <sz val="10"/>
        <rFont val="Arial"/>
        <family val="0"/>
        <charset val="1"/>
      </rPr>
      <t xml:space="preserve">Sérgio(</t>
    </r>
    <r>
      <rPr>
        <sz val="10"/>
        <rFont val="WenQuanYi Zen Hei"/>
        <family val="2"/>
      </rPr>
      <t xml:space="preserve">전 은행 지점장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</si>
  <si>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시트 안내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클릭하면 이동</t>
    </r>
    <r>
      <rPr>
        <b val="true"/>
        <sz val="10"/>
        <rFont val="Noto Sans CJK SC"/>
        <family val="2"/>
        <charset val="1"/>
      </rPr>
      <t xml:space="preserve">)</t>
    </r>
  </si>
  <si>
    <t xml:space="preserve">캐릭터</t>
  </si>
  <si>
    <t xml:space="preserve">기준표</t>
  </si>
  <si>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인의 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나이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결핍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말투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시그니처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낭독 포인트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대화문 장치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직책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현안 담당</t>
    </r>
  </si>
  <si>
    <t xml:space="preserve">등장비중</t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</si>
  <si>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배분표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합계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등급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조연 단독 중심 화 목표</t>
    </r>
  </si>
  <si>
    <t xml:space="preserve">턴_설계</t>
  </si>
  <si>
    <r>
      <rPr>
        <sz val="10"/>
        <rFont val="WenQuanYi Zen Hei"/>
        <family val="2"/>
      </rPr>
      <t xml:space="preserve">화당 </t>
    </r>
    <r>
      <rPr>
        <sz val="10"/>
        <rFont val="Noto Sans CJK SC"/>
        <family val="2"/>
        <charset val="1"/>
      </rPr>
      <t xml:space="preserve">120</t>
    </r>
    <r>
      <rPr>
        <sz val="10"/>
        <rFont val="WenQuanYi Zen Hei"/>
        <family val="2"/>
      </rPr>
      <t xml:space="preserve">턴 설계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부별 화자 점유율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턴 기준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평균 단어</t>
    </r>
    <r>
      <rPr>
        <sz val="10"/>
        <rFont val="Noto Sans CJK SC"/>
        <family val="2"/>
        <charset val="1"/>
      </rPr>
      <t xml:space="preserve">/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화당 단어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낭독 시간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화 유형별 턴 구성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집필 규칙</t>
    </r>
  </si>
  <si>
    <t xml:space="preserve">12부_구성</t>
  </si>
  <si>
    <t xml:space="preserve">구조</t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</si>
  <si>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한눈에 보기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배경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핵심 내용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난이도</t>
    </r>
    <r>
      <rPr>
        <sz val="10"/>
        <rFont val="Arial"/>
        <family val="0"/>
        <charset val="1"/>
      </rPr>
      <t xml:space="preserve">(CEFR)·</t>
    </r>
    <r>
      <rPr>
        <sz val="10"/>
        <rFont val="WenQuanYi Zen Hei"/>
        <family val="2"/>
      </rPr>
      <t xml:space="preserve">반영 제도</t>
    </r>
  </si>
  <si>
    <t xml:space="preserve">아크_구성계획</t>
  </si>
  <si>
    <t xml:space="preserve">구성 계획</t>
  </si>
  <si>
    <r>
      <rPr>
        <sz val="10"/>
        <rFont val="Arial"/>
        <family val="0"/>
        <charset val="1"/>
      </rPr>
      <t xml:space="preserve">1~13</t>
    </r>
    <r>
      <rPr>
        <sz val="10"/>
        <rFont val="WenQuanYi Zen Hei"/>
        <family val="2"/>
      </rPr>
      <t xml:space="preserve">부 아크별 구성 계획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서사 기능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로그라인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인물 아크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복선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언어 설계</t>
    </r>
  </si>
  <si>
    <t xml:space="preserve">화별목차_전체</t>
  </si>
  <si>
    <t xml:space="preserve">목차</t>
  </si>
  <si>
    <r>
      <rPr>
        <sz val="10"/>
        <rFont val="Arial"/>
        <family val="0"/>
        <charset val="1"/>
      </rPr>
      <t xml:space="preserve">1~13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화의 서사 기능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제목</t>
    </r>
    <r>
      <rPr>
        <sz val="10"/>
        <rFont val="Arial"/>
        <family val="0"/>
        <charset val="1"/>
      </rPr>
      <t xml:space="preserve">(PT-BR)·</t>
    </r>
    <r>
      <rPr>
        <sz val="10"/>
        <rFont val="WenQuanYi Zen Hei"/>
        <family val="2"/>
      </rPr>
      <t xml:space="preserve">핵심 사건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반영 제도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현안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필터 가능</t>
    </r>
    <r>
      <rPr>
        <sz val="10"/>
        <rFont val="Arial"/>
        <family val="0"/>
        <charset val="1"/>
      </rPr>
      <t xml:space="preserve">)</t>
    </r>
  </si>
  <si>
    <t xml:space="preserve">복선_회수</t>
  </si>
  <si>
    <r>
      <rPr>
        <sz val="10"/>
        <rFont val="WenQuanYi Zen Hei"/>
        <family val="2"/>
      </rPr>
      <t xml:space="preserve">복선 설치→회수 </t>
    </r>
    <r>
      <rPr>
        <sz val="10"/>
        <rFont val="Noto Sans CJK SC"/>
        <family val="2"/>
        <charset val="1"/>
      </rPr>
      <t xml:space="preserve">28</t>
    </r>
    <r>
      <rPr>
        <sz val="10"/>
        <rFont val="WenQuanYi Zen Hei"/>
        <family val="2"/>
      </rPr>
      <t xml:space="preserve">건과 간격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수식으로 계산</t>
    </r>
  </si>
  <si>
    <t xml:space="preserve">현안_배치</t>
  </si>
  <si>
    <t xml:space="preserve">현안</t>
  </si>
  <si>
    <r>
      <rPr>
        <sz val="10"/>
        <rFont val="WenQuanYi Zen Hei"/>
        <family val="2"/>
      </rPr>
      <t xml:space="preserve">브라질 현안 </t>
    </r>
    <r>
      <rPr>
        <sz val="10"/>
        <rFont val="Noto Sans CJK SC"/>
        <family val="2"/>
        <charset val="1"/>
      </rPr>
      <t xml:space="preserve">18</t>
    </r>
    <r>
      <rPr>
        <sz val="10"/>
        <rFont val="WenQuanYi Zen Hei"/>
        <family val="2"/>
      </rPr>
      <t xml:space="preserve">개를 어느 화에 어떻게 녹일지 배치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균형 유의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현실 기준값</t>
    </r>
  </si>
  <si>
    <t xml:space="preserve">현안_분포</t>
  </si>
  <si>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× </t>
    </r>
    <r>
      <rPr>
        <sz val="10"/>
        <rFont val="WenQuanYi Zen Hei"/>
        <family val="2"/>
      </rPr>
      <t xml:space="preserve">현안 분포표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전용 화</t>
    </r>
    <r>
      <rPr>
        <sz val="10"/>
        <rFont val="Noto Sans CJK SC"/>
        <family val="2"/>
        <charset val="1"/>
      </rPr>
      <t xml:space="preserve">(●)</t>
    </r>
    <r>
      <rPr>
        <sz val="10"/>
        <rFont val="WenQuanYi Zen Hei"/>
        <family val="2"/>
      </rPr>
      <t xml:space="preserve">와 곁가지</t>
    </r>
    <r>
      <rPr>
        <sz val="10"/>
        <rFont val="Noto Sans CJK SC"/>
        <family val="2"/>
        <charset val="1"/>
      </rPr>
      <t xml:space="preserve">(○)</t>
    </r>
    <r>
      <rPr>
        <sz val="10"/>
        <rFont val="WenQuanYi Zen Hei"/>
        <family val="2"/>
      </rPr>
      <t xml:space="preserve">를 수식으로 집계</t>
    </r>
  </si>
  <si>
    <t xml:space="preserve">정치제도</t>
  </si>
  <si>
    <t xml:space="preserve">현실 제도</t>
  </si>
  <si>
    <r>
      <rPr>
        <sz val="10"/>
        <rFont val="WenQuanYi Zen Hei"/>
        <family val="2"/>
      </rPr>
      <t xml:space="preserve">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선거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대통령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통상 제도 기준표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확인 상태 표시</t>
    </r>
    <r>
      <rPr>
        <sz val="10"/>
        <rFont val="Noto Sans CJK SC"/>
        <family val="2"/>
        <charset val="1"/>
      </rPr>
      <t xml:space="preserve">)</t>
    </r>
  </si>
  <si>
    <t xml:space="preserve">정치경로_의석</t>
  </si>
  <si>
    <r>
      <rPr>
        <sz val="10"/>
        <rFont val="WenQuanYi Zen Hei"/>
        <family val="2"/>
      </rPr>
      <t xml:space="preserve">창당→대통령 경로와 가상 득표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의석 시뮬레이션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대선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탄핵 개시 표결</t>
    </r>
  </si>
  <si>
    <t xml:space="preserve">호칭규칙</t>
  </si>
  <si>
    <t xml:space="preserve">규칙</t>
  </si>
  <si>
    <r>
      <rPr>
        <sz val="10"/>
        <rFont val="Arial"/>
        <family val="0"/>
        <charset val="1"/>
      </rPr>
      <t xml:space="preserve">você / o senhor·a senhora / vocês / os senhores, </t>
    </r>
    <r>
      <rPr>
        <sz val="10"/>
        <rFont val="WenQuanYi Zen Hei"/>
        <family val="2"/>
      </rPr>
      <t xml:space="preserve">의회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대통령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시의회 공식 호칭</t>
    </r>
  </si>
  <si>
    <t xml:space="preserve">Larissa_폭발과욕</t>
  </si>
  <si>
    <r>
      <rPr>
        <sz val="10"/>
        <rFont val="Noto Sans CJK SC"/>
        <family val="2"/>
        <charset val="1"/>
      </rPr>
      <t xml:space="preserve">Larissa </t>
    </r>
    <r>
      <rPr>
        <sz val="10"/>
        <rFont val="WenQuanYi Zen Hei"/>
        <family val="2"/>
      </rPr>
      <t xml:space="preserve">폭발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배치</t>
    </r>
    <r>
      <rPr>
        <sz val="10"/>
        <rFont val="Noto Sans CJK SC"/>
        <family val="2"/>
        <charset val="1"/>
      </rPr>
      <t xml:space="preserve">, 3</t>
    </r>
    <r>
      <rPr>
        <sz val="10"/>
        <rFont val="WenQuanYi Zen Hei"/>
        <family val="2"/>
      </rPr>
      <t xml:space="preserve">단계 계단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폭발 직후 반응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대사판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욕 배정</t>
    </r>
  </si>
  <si>
    <t xml:space="preserve">DomPedro_죽음</t>
  </si>
  <si>
    <t xml:space="preserve">스토리</t>
  </si>
  <si>
    <r>
      <rPr>
        <sz val="10"/>
        <rFont val="WenQuanYi Zen Hei"/>
        <family val="2"/>
      </rPr>
      <t xml:space="preserve">위엄 있는 심술 황제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시한부 설정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복선 타임라인 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 사망</t>
    </r>
    <r>
      <rPr>
        <sz val="10"/>
        <rFont val="Noto Sans CJK SC"/>
        <family val="2"/>
        <charset val="1"/>
      </rPr>
      <t xml:space="preserve">, 13</t>
    </r>
    <r>
      <rPr>
        <sz val="10"/>
        <rFont val="WenQuanYi Zen Hei"/>
        <family val="2"/>
      </rPr>
      <t xml:space="preserve">부 유언장</t>
    </r>
    <r>
      <rPr>
        <sz val="10"/>
        <rFont val="Noto Sans CJK SC"/>
        <family val="2"/>
        <charset val="1"/>
      </rPr>
      <t xml:space="preserve">)</t>
    </r>
  </si>
  <si>
    <t xml:space="preserve">Freire_출처</t>
  </si>
  <si>
    <r>
      <rPr>
        <sz val="10"/>
        <rFont val="WenQuanYi Zen Hei"/>
        <family val="2"/>
      </rPr>
      <t xml:space="preserve">답 대신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출처 안내</t>
    </r>
    <r>
      <rPr>
        <sz val="10"/>
        <rFont val="Noto Sans CJK SC"/>
        <family val="2"/>
        <charset val="1"/>
      </rPr>
      <t xml:space="preserve">' — </t>
    </r>
    <r>
      <rPr>
        <sz val="10"/>
        <rFont val="WenQuanYi Zen Hei"/>
        <family val="2"/>
      </rPr>
      <t xml:space="preserve">서가 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주제별 출처표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카드 구술 템플릿</t>
    </r>
  </si>
  <si>
    <t xml:space="preserve">대화문규칙</t>
  </si>
  <si>
    <r>
      <rPr>
        <sz val="10"/>
        <rFont val="WenQuanYi Zen Hei"/>
        <family val="2"/>
      </rPr>
      <t xml:space="preserve">전 화 </t>
    </r>
    <r>
      <rPr>
        <sz val="10"/>
        <rFont val="Noto Sans CJK SC"/>
        <family val="2"/>
        <charset val="1"/>
      </rPr>
      <t xml:space="preserve">100% </t>
    </r>
    <r>
      <rPr>
        <sz val="10"/>
        <rFont val="WenQuanYi Zen Hei"/>
        <family val="2"/>
      </rPr>
      <t xml:space="preserve">대화문 원칙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지문 → 대사 대체표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현안을 다루는 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문장 길이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분량 기준</t>
    </r>
  </si>
  <si>
    <t xml:space="preserve">1부_시범대사</t>
  </si>
  <si>
    <t xml:space="preserve">샘플</t>
  </si>
  <si>
    <r>
      <rPr>
        <sz val="10"/>
        <rFont val="Arial"/>
        <family val="0"/>
        <charset val="1"/>
      </rPr>
      <t xml:space="preserve">Larissa 1</t>
    </r>
    <r>
      <rPr>
        <sz val="10"/>
        <rFont val="WenQuanYi Zen Hei"/>
        <family val="2"/>
      </rPr>
      <t xml:space="preserve">차 폭발 장면을 지문 없이 대사로만 쓴 </t>
    </r>
    <r>
      <rPr>
        <sz val="10"/>
        <rFont val="Arial"/>
        <family val="0"/>
        <charset val="1"/>
      </rPr>
      <t xml:space="preserve">B1 </t>
    </r>
    <r>
      <rPr>
        <sz val="10"/>
        <rFont val="WenQuanYi Zen Hei"/>
        <family val="2"/>
      </rPr>
      <t xml:space="preserve">시범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단어 수 자동 점검</t>
    </r>
    <r>
      <rPr>
        <sz val="10"/>
        <rFont val="Arial"/>
        <family val="0"/>
        <charset val="1"/>
      </rPr>
      <t xml:space="preserve">)</t>
    </r>
  </si>
  <si>
    <t xml:space="preserve">변경이력_미결</t>
  </si>
  <si>
    <t xml:space="preserve">관리</t>
  </si>
  <si>
    <t xml:space="preserve">지금까지의 변경 이력과 확정이 필요한 미결 사항</t>
  </si>
  <si>
    <t xml:space="preserve">범례</t>
  </si>
  <si>
    <t xml:space="preserve">파란 글씨</t>
  </si>
  <si>
    <r>
      <rPr>
        <sz val="10"/>
        <rFont val="WenQuanYi Zen Hei"/>
        <family val="2"/>
      </rPr>
      <t xml:space="preserve">직접 입력한 값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수정 가능</t>
    </r>
    <r>
      <rPr>
        <sz val="10"/>
        <rFont val="Noto Sans CJK SC"/>
        <family val="2"/>
        <charset val="1"/>
      </rPr>
      <t xml:space="preserve">)</t>
    </r>
  </si>
  <si>
    <t xml:space="preserve">노란 배경</t>
  </si>
  <si>
    <r>
      <rPr>
        <sz val="10"/>
        <rFont val="WenQuanYi Zen Hei"/>
        <family val="2"/>
      </rPr>
      <t xml:space="preserve">가정 </t>
    </r>
    <r>
      <rPr>
        <sz val="10"/>
        <rFont val="Noto Sans CJK SC"/>
        <family val="2"/>
        <charset val="1"/>
      </rPr>
      <t xml:space="preserve">· </t>
    </r>
    <r>
      <rPr>
        <sz val="10"/>
        <rFont val="WenQuanYi Zen Hei"/>
        <family val="2"/>
      </rPr>
      <t xml:space="preserve">확정이 필요한 값</t>
    </r>
  </si>
  <si>
    <t xml:space="preserve">검정 글씨</t>
  </si>
  <si>
    <r>
      <rPr>
        <sz val="10"/>
        <rFont val="WenQuanYi Zen Hei"/>
        <family val="2"/>
      </rPr>
      <t xml:space="preserve">수식으로 계산되는 값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직접 수정하지 말 것</t>
    </r>
    <r>
      <rPr>
        <sz val="10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</si>
  <si>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주의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성별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나이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기관명은 기획용 가상 설정입니다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법령 번호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조항은 교재에 넣기 전에 </t>
    </r>
    <r>
      <rPr>
        <i val="true"/>
        <sz val="9"/>
        <color rgb="FF595959"/>
        <rFont val="Noto Sans CJK SC"/>
        <family val="2"/>
        <charset val="1"/>
      </rPr>
      <t xml:space="preserve">Planalto </t>
    </r>
    <r>
      <rPr>
        <i val="true"/>
        <sz val="9"/>
        <color rgb="FF595959"/>
        <rFont val="WenQuanYi Zen Hei"/>
        <family val="2"/>
      </rPr>
      <t xml:space="preserve">법령 사이트</t>
    </r>
    <r>
      <rPr>
        <i val="true"/>
        <sz val="9"/>
        <color rgb="FF595959"/>
        <rFont val="Noto Sans CJK SC"/>
        <family val="2"/>
        <charset val="1"/>
      </rPr>
      <t xml:space="preserve">(planalto.gov.br/legislacao)</t>
    </r>
    <r>
      <rPr>
        <i val="true"/>
        <sz val="9"/>
        <color rgb="FF595959"/>
        <rFont val="WenQuanYi Zen Hei"/>
        <family val="2"/>
      </rPr>
      <t xml:space="preserve">의 현행 통합본</t>
    </r>
    <r>
      <rPr>
        <i val="true"/>
        <sz val="9"/>
        <color rgb="FF595959"/>
        <rFont val="Noto Sans CJK SC"/>
        <family val="2"/>
        <charset val="1"/>
      </rPr>
      <t xml:space="preserve">(texto compilado)</t>
    </r>
    <r>
      <rPr>
        <i val="true"/>
        <sz val="9"/>
        <color rgb="FF595959"/>
        <rFont val="WenQuanYi Zen Hei"/>
        <family val="2"/>
      </rPr>
      <t xml:space="preserve">으로 확인하세요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</si>
  <si>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캐릭터 바이블 — </t>
    </r>
    <r>
      <rPr>
        <b val="true"/>
        <sz val="14"/>
        <color rgb="FF1F3864"/>
        <rFont val="Noto Sans CJK SC"/>
        <family val="2"/>
        <charset val="1"/>
      </rPr>
      <t xml:space="preserve">14</t>
    </r>
    <r>
      <rPr>
        <b val="true"/>
        <sz val="14"/>
        <color rgb="FF1F3864"/>
        <rFont val="WenQuanYi Zen Hei"/>
        <family val="2"/>
      </rPr>
      <t xml:space="preserve">인 </t>
    </r>
    <r>
      <rPr>
        <b val="true"/>
        <sz val="14"/>
        <color rgb="FF1F3864"/>
        <rFont val="Noto Sans CJK SC"/>
        <family val="2"/>
        <charset val="1"/>
      </rPr>
      <t xml:space="preserve">(São Paulo </t>
    </r>
    <r>
      <rPr>
        <b val="true"/>
        <sz val="14"/>
        <color rgb="FF1F3864"/>
        <rFont val="WenQuanYi Zen Hei"/>
        <family val="2"/>
      </rPr>
      <t xml:space="preserve">포르투갈어 낭독 교재 — 캐릭터 바이블 </t>
    </r>
    <r>
      <rPr>
        <b val="true"/>
        <sz val="14"/>
        <color rgb="FF1F3864"/>
        <rFont val="Noto Sans CJK SC"/>
        <family val="2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부활자 특별편</t>
    </r>
    <r>
      <rPr>
        <b val="true"/>
        <sz val="14"/>
        <color rgb="FF1F3864"/>
        <rFont val="Noto Sans CJK SC"/>
        <family val="2"/>
        <charset val="1"/>
      </rPr>
      <t xml:space="preserve">))</t>
    </r>
  </si>
  <si>
    <t xml:space="preserve">No</t>
  </si>
  <si>
    <t xml:space="preserve">그룹</t>
  </si>
  <si>
    <t xml:space="preserve">이름</t>
  </si>
  <si>
    <t xml:space="preserve">약칭</t>
  </si>
  <si>
    <r>
      <rPr>
        <b val="true"/>
        <sz val="10"/>
        <color rgb="FFFFFFFF"/>
        <rFont val="WenQuanYi Zen Hei"/>
        <family val="2"/>
      </rPr>
      <t xml:space="preserve">나이
</t>
    </r>
    <r>
      <rPr>
        <b val="true"/>
        <sz val="10"/>
        <color rgb="FFFFFFFF"/>
        <rFont val="Noto Sans CJK SC"/>
        <family val="2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부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</si>
  <si>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나이
</t>
    </r>
    <r>
      <rPr>
        <b val="true"/>
        <sz val="10"/>
        <color rgb="FFFFFFFF"/>
        <rFont val="Noto Sans CJK SC"/>
        <family val="2"/>
        <charset val="1"/>
      </rPr>
      <t xml:space="preserve">(11</t>
    </r>
    <r>
      <rPr>
        <b val="true"/>
        <sz val="10"/>
        <color rgb="FFFFFFFF"/>
        <rFont val="WenQuanYi Zen Hei"/>
        <family val="2"/>
      </rPr>
      <t xml:space="preserve">부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</si>
  <si>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성별</t>
  </si>
  <si>
    <r>
      <rPr>
        <b val="true"/>
        <sz val="10"/>
        <color rgb="FFFFFFFF"/>
        <rFont val="WenQuanYi Zen Hei"/>
        <family val="2"/>
      </rPr>
      <t xml:space="preserve">직업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신분</t>
    </r>
  </si>
  <si>
    <r>
      <rPr>
        <b val="true"/>
        <sz val="10"/>
        <color rgb="FFFFFFFF"/>
        <rFont val="WenQuanYi Zen Hei"/>
        <family val="2"/>
      </rPr>
      <t xml:space="preserve">전 소속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</si>
  <si>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결핍 </t>
    </r>
    <r>
      <rPr>
        <b val="true"/>
        <sz val="10"/>
        <color rgb="FFFFFFFF"/>
        <rFont val="Noto Sans CJK SC"/>
        <family val="2"/>
        <charset val="1"/>
      </rPr>
      <t xml:space="preserve">(Herida)</t>
    </r>
  </si>
  <si>
    <t xml:space="preserve">말투</t>
  </si>
  <si>
    <t xml:space="preserve">시그니처 표현</t>
  </si>
  <si>
    <t xml:space="preserve">낭독 포인트</t>
  </si>
  <si>
    <r>
      <rPr>
        <b val="true"/>
        <sz val="10"/>
        <color rgb="FFFFFFFF"/>
        <rFont val="WenQuanYi Zen Hei"/>
        <family val="2"/>
      </rPr>
      <t xml:space="preserve">대화문 장치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지문 대체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</si>
  <si>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정치 직책 </t>
    </r>
    <r>
      <rPr>
        <b val="true"/>
        <sz val="10"/>
        <color rgb="FFFFFFFF"/>
        <rFont val="Noto Sans CJK SC"/>
        <family val="2"/>
        <charset val="1"/>
      </rPr>
      <t xml:space="preserve">(8~12</t>
    </r>
    <r>
      <rPr>
        <b val="true"/>
        <sz val="10"/>
        <color rgb="FFFFFFFF"/>
        <rFont val="WenQuanYi Zen Hei"/>
        <family val="2"/>
      </rPr>
      <t xml:space="preserve">부</t>
    </r>
    <r>
      <rPr>
        <b val="true"/>
        <sz val="10"/>
        <color rgb="FFFFFFFF"/>
        <rFont val="Noto Sans CJK SC"/>
        <family val="2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제안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</si>
  <si>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부 등장 방식</t>
    </r>
  </si>
  <si>
    <t xml:space="preserve">등장
화 수</t>
  </si>
  <si>
    <t xml:space="preserve">등급</t>
  </si>
  <si>
    <r>
      <rPr>
        <b val="true"/>
        <sz val="10"/>
        <color rgb="FFFFFFFF"/>
        <rFont val="WenQuanYi Zen Hei"/>
        <family val="2"/>
      </rPr>
      <t xml:space="preserve">현안 담당
</t>
    </r>
    <r>
      <rPr>
        <b val="true"/>
        <sz val="10"/>
        <color rgb="FFFFFFFF"/>
        <rFont val="Noto Sans CJK SC"/>
        <family val="2"/>
        <charset val="1"/>
      </rPr>
      <t xml:space="preserve">(ID)</t>
    </r>
  </si>
  <si>
    <r>
      <rPr>
        <sz val="10"/>
        <rFont val="WenQuanYi Zen Hei"/>
        <family val="2"/>
      </rPr>
      <t xml:space="preserve">주력 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인</t>
    </r>
  </si>
  <si>
    <t xml:space="preserve">Rafael Costa</t>
  </si>
  <si>
    <t xml:space="preserve">Rafael</t>
  </si>
  <si>
    <t xml:space="preserve">남</t>
  </si>
  <si>
    <r>
      <rPr>
        <sz val="10"/>
        <rFont val="WenQuanYi Zen Hei"/>
        <family val="2"/>
      </rPr>
      <t xml:space="preserve">변호사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기업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규제 전문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</si>
  <si>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Aguiar &amp; Salgado Advogados, Faria Lima (</t>
    </r>
    <r>
      <rPr>
        <sz val="10"/>
        <rFont val="WenQuanYi Zen Hei"/>
        <family val="2"/>
      </rPr>
      <t xml:space="preserve">전 파트너 후보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</si>
  <si>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승소율은 높지만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강제퇴거 소송에서 이긴 사건 하나가 계속 마음에 걸린다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</si>
  <si>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문장이 완결되고 격식체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초반엔 차갑게 법조문을 인용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후반엔 연설가로 성장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</si>
  <si>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Vamos por partes.\nCom todo respeito, a lei não diz isso.\n(</t>
    </r>
    <r>
      <rPr>
        <sz val="10"/>
        <rFont val="WenQuanYi Zen Hei"/>
        <family val="2"/>
      </rPr>
      <t xml:space="preserve">후반</t>
    </r>
    <r>
      <rPr>
        <sz val="10"/>
        <rFont val="Arial"/>
        <family val="0"/>
        <charset val="1"/>
      </rPr>
      <t xml:space="preserve">) Não peço que acreditem em mim. Peço que leiam o texto.</t>
    </r>
  </si>
  <si>
    <r>
      <rPr>
        <sz val="10"/>
        <rFont val="WenQuanYi Zen Hei"/>
        <family val="2"/>
      </rPr>
      <t xml:space="preserve">또박또박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중저음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</si>
  <si>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법조문을 소리 내어 읽어 상황을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</si>
  <si>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당 대표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상파울루 시장 후보</t>
    </r>
    <r>
      <rPr>
        <sz val="10"/>
        <rFont val="Noto Sans CJK SC"/>
        <family val="2"/>
        <charset val="1"/>
      </rPr>
      <t xml:space="preserve">(8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, 3</t>
    </r>
    <r>
      <rPr>
        <sz val="10"/>
        <rFont val="WenQuanYi Zen Hei"/>
        <family val="2"/>
      </rPr>
      <t xml:space="preserve">위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대통령 후보</t>
    </r>
    <r>
      <rPr>
        <sz val="10"/>
        <rFont val="Noto Sans CJK SC"/>
        <family val="2"/>
        <charset val="1"/>
      </rPr>
      <t xml:space="preserve">(10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대통령</t>
    </r>
  </si>
  <si>
    <t xml:space="preserve">본격</t>
  </si>
  <si>
    <t xml:space="preserve">E1, P1, N4</t>
  </si>
  <si>
    <t xml:space="preserve">Camila Alves</t>
  </si>
  <si>
    <t xml:space="preserve">Camila</t>
  </si>
  <si>
    <t xml:space="preserve">여</t>
  </si>
  <si>
    <t xml:space="preserve">응급의학과 전문의</t>
  </si>
  <si>
    <r>
      <rPr>
        <sz val="10"/>
        <rFont val="Arial"/>
        <family val="0"/>
        <charset val="1"/>
      </rPr>
      <t xml:space="preserve">Hospital Municipal São Bartolomeu 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, OSS </t>
    </r>
    <r>
      <rPr>
        <sz val="10"/>
        <rFont val="WenQuanYi Zen Hei"/>
        <family val="2"/>
      </rPr>
      <t xml:space="preserve">위탁 운영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</si>
  <si>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살리지 못한 환자의 이름을 전부 외우고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</si>
  <si>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짧고 명령형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블랙유머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화나면 오히려 조용해진다</t>
    </r>
    <r>
      <rPr>
        <sz val="10"/>
        <rFont val="Noto Sans CJK SC"/>
        <family val="2"/>
        <charset val="1"/>
      </rPr>
      <t xml:space="preserve">.</t>
    </r>
  </si>
  <si>
    <t xml:space="preserve">Isso não é estatística, é uma pessoa.\nPrimeiro, respira.\nJá vi coisa pior numa terça qualquer.</t>
  </si>
  <si>
    <r>
      <rPr>
        <sz val="10"/>
        <rFont val="WenQuanYi Zen Hei"/>
        <family val="2"/>
      </rPr>
      <t xml:space="preserve">빠른 템포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짧은 호흡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</si>
  <si>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명령형으로 행동을 말하며 진행한다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</si>
  <si>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시의원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보건위원회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보건부 장관</t>
    </r>
  </si>
  <si>
    <t xml:space="preserve">S3, S4, N8</t>
  </si>
  <si>
    <t xml:space="preserve">Bruno Almeida</t>
  </si>
  <si>
    <t xml:space="preserve">Bruno</t>
  </si>
  <si>
    <r>
      <rPr>
        <sz val="10"/>
        <rFont val="WenQuanYi Zen Hei"/>
        <family val="2"/>
      </rPr>
      <t xml:space="preserve">공인회계사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감사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</si>
  <si>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Barros &amp; Teixeira Auditores (</t>
    </r>
    <r>
      <rPr>
        <sz val="10"/>
        <rFont val="WenQuanYi Zen Hei"/>
        <family val="2"/>
      </rPr>
      <t xml:space="preserve">전 시니어 파트너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</si>
  <si>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부정을 발견하고도 서명했던 기억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다시는 서명하지 않겠다는 다짐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</si>
  <si>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건조하고 정확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비꼬는 유머</t>
    </r>
    <r>
      <rPr>
        <sz val="10"/>
        <rFont val="Noto Sans CJK SC"/>
        <family val="2"/>
        <charset val="1"/>
      </rPr>
      <t xml:space="preserve">.</t>
    </r>
  </si>
  <si>
    <t xml:space="preserve">Deixa eu ver os papéis.\nIsso não fecha.\nMostra os números e eu digo quem você é.</t>
  </si>
  <si>
    <r>
      <rPr>
        <sz val="10"/>
        <rFont val="WenQuanYi Zen Hei"/>
        <family val="2"/>
      </rPr>
      <t xml:space="preserve">일정한 속도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결론에서 톤을 낮춘다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</si>
  <si>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숫자를 소리 내어 읽으며 상황을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</si>
  <si>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시의원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재정위원회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재무부 장관</t>
    </r>
  </si>
  <si>
    <t xml:space="preserve">E3, N2, N3</t>
  </si>
  <si>
    <t xml:space="preserve">Juliana Pereira</t>
  </si>
  <si>
    <t xml:space="preserve">Juliana</t>
  </si>
  <si>
    <t xml:space="preserve">전략 컨설턴트</t>
  </si>
  <si>
    <r>
      <rPr>
        <sz val="10"/>
        <rFont val="Arial"/>
        <family val="0"/>
        <charset val="1"/>
      </rPr>
      <t xml:space="preserve">Zênite Consultoria, Faria Lima (</t>
    </r>
    <r>
      <rPr>
        <sz val="10"/>
        <rFont val="WenQuanYi Zen Hei"/>
        <family val="2"/>
      </rPr>
      <t xml:space="preserve">전 소속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</si>
  <si>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자신이 짠 구조조정 표 한 칸이 수백 명의 해고였음을 뒤늦게 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</si>
  <si>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영어식 경영 용어가 섞인 빠른 말투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후반엔 쉬운 말로 성장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</si>
  <si>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Vamos colocar isso numa matriz.\n(</t>
    </r>
    <r>
      <rPr>
        <sz val="10"/>
        <rFont val="WenQuanYi Zen Hei"/>
        <family val="2"/>
      </rPr>
      <t xml:space="preserve">후반</t>
    </r>
    <r>
      <rPr>
        <sz val="10"/>
        <rFont val="Arial"/>
        <family val="0"/>
        <charset val="1"/>
      </rPr>
      <t xml:space="preserve">) Beleza, sem slide: o que você precisa?</t>
    </r>
  </si>
  <si>
    <r>
      <rPr>
        <sz val="10"/>
        <rFont val="WenQuanYi Zen Hei"/>
        <family val="2"/>
      </rPr>
      <t xml:space="preserve">초반 숨 가쁜 프레젠테이션 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후반 솔직한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</si>
  <si>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프레젠테이션식 브리핑으로 상황을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</si>
  <si>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캠프 참모</t>
    </r>
    <r>
      <rPr>
        <sz val="10"/>
        <rFont val="Noto Sans CJK SC"/>
        <family val="2"/>
        <charset val="1"/>
      </rPr>
      <t xml:space="preserve">(8~10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수석장관</t>
    </r>
    <r>
      <rPr>
        <sz val="10"/>
        <rFont val="Noto Sans CJK SC"/>
        <family val="2"/>
        <charset val="1"/>
      </rPr>
      <t xml:space="preserve">(Casa Civil, </t>
    </r>
    <r>
      <rPr>
        <sz val="10"/>
        <rFont val="WenQuanYi Zen Hei"/>
        <family val="2"/>
      </rPr>
      <t xml:space="preserve">정부 조정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정보청 관할</t>
    </r>
    <r>
      <rPr>
        <sz val="10"/>
        <rFont val="Noto Sans CJK SC"/>
        <family val="2"/>
        <charset val="1"/>
      </rPr>
      <t xml:space="preserve">)</t>
    </r>
  </si>
  <si>
    <t xml:space="preserve">E2, P1, N7</t>
  </si>
  <si>
    <r>
      <rPr>
        <sz val="10"/>
        <rFont val="WenQuanYi Zen Hei"/>
        <family val="2"/>
      </rPr>
      <t xml:space="preserve">부활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인</t>
    </r>
  </si>
  <si>
    <t xml:space="preserve">Dom Pedro II</t>
  </si>
  <si>
    <t xml:space="preserve">Dom Pedro</t>
  </si>
  <si>
    <r>
      <rPr>
        <sz val="10"/>
        <rFont val="WenQuanYi Zen Hei"/>
        <family val="2"/>
      </rPr>
      <t xml:space="preserve">부활한 전 황제 </t>
    </r>
    <r>
      <rPr>
        <sz val="10"/>
        <rFont val="Noto Sans CJK SC"/>
        <family val="2"/>
        <charset val="1"/>
      </rPr>
      <t xml:space="preserve">(1825–1891)</t>
    </r>
  </si>
  <si>
    <r>
      <rPr>
        <sz val="10"/>
        <rFont val="WenQuanYi Zen Hei"/>
        <family val="2"/>
      </rPr>
      <t xml:space="preserve">브라질 제국 </t>
    </r>
    <r>
      <rPr>
        <sz val="10"/>
        <rFont val="Noto Sans CJK SC"/>
        <family val="2"/>
        <charset val="1"/>
      </rPr>
      <t xml:space="preserve">(1889</t>
    </r>
    <r>
      <rPr>
        <sz val="10"/>
        <rFont val="WenQuanYi Zen Hei"/>
        <family val="2"/>
      </rPr>
      <t xml:space="preserve">년 공화정 쿠데타로 폐위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저항 없이 파리로 망명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</si>
  <si>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나라를 위해 저항하지 않고 떠났다는 걸 아무도 기억해 주지 않는다는 서운함을 위엄으로 감춘다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이번엔 조국에서 죽고 싶다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</si>
  <si>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위엄 있고 완곡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학자풍 — 여러 언어와 과학에 능통했던 황제답게 박식하다</t>
    </r>
    <r>
      <rPr>
        <sz val="10"/>
        <rFont val="Noto Sans CJK SC"/>
        <family val="2"/>
        <charset val="1"/>
      </rPr>
      <t xml:space="preserve">. 19</t>
    </r>
    <r>
      <rPr>
        <sz val="10"/>
        <rFont val="WenQuanYi Zen Hei"/>
        <family val="2"/>
      </rPr>
      <t xml:space="preserve">세기식 격식체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대명사 후치 </t>
    </r>
    <r>
      <rPr>
        <sz val="10"/>
        <rFont val="Noto Sans CJK SC"/>
        <family val="2"/>
        <charset val="1"/>
      </rPr>
      <t xml:space="preserve">dir-lhe-ei)</t>
    </r>
    <r>
      <rPr>
        <sz val="10"/>
        <rFont val="WenQuanYi Zen Hei"/>
        <family val="2"/>
      </rPr>
      <t xml:space="preserve">와 커피 불평이 버릇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정중하게 독을 뿌리는 심술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</si>
  <si>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Não é ruim. (</t>
    </r>
    <r>
      <rPr>
        <sz val="10"/>
        <rFont val="WenQuanYi Zen Hei"/>
        <family val="2"/>
      </rPr>
      <t xml:space="preserve">최고의 칭찬 — 복선</t>
    </r>
    <r>
      <rPr>
        <sz val="10"/>
        <rFont val="Arial"/>
        <family val="0"/>
        <charset val="1"/>
      </rPr>
      <t xml:space="preserve">)\nEste será o meu último inverno. Anotem no meu testamento.\n(</t>
    </r>
    <r>
      <rPr>
        <sz val="10"/>
        <rFont val="WenQuanYi Zen Hei"/>
        <family val="2"/>
      </rPr>
      <t xml:space="preserve">현대 용어 오해</t>
    </r>
    <r>
      <rPr>
        <sz val="10"/>
        <rFont val="Arial"/>
        <family val="0"/>
        <charset val="1"/>
      </rPr>
      <t xml:space="preserve">) Um „servidor“ que nunca dorme? Isso lembra minha própria corte.\n„Aplicativo“? Ah, um novo tipo de decreto imperial, presumo.</t>
    </r>
  </si>
  <si>
    <r>
      <rPr>
        <sz val="10"/>
        <rFont val="WenQuanYi Zen Hei"/>
        <family val="2"/>
      </rPr>
      <t xml:space="preserve">느리고 품위 있는 리듬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</si>
  <si>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'Quando eu reinava…' </t>
    </r>
    <r>
      <rPr>
        <sz val="10"/>
        <rFont val="WenQuanYi Zen Hei"/>
        <family val="2"/>
      </rPr>
      <t xml:space="preserve">회상으로 현재를 냉소적으로 비교한다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</si>
  <si>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비공식 외교 자문 → 대외협상 특사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9~11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, Mercosul–EU) → 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 귀국 직후 두 번째 죽음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이번엔 조국에서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</si>
  <si>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준본격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겨울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우산 복선</t>
    </r>
    <r>
      <rPr>
        <sz val="10"/>
        <rFont val="Noto Sans CJK SC"/>
        <family val="2"/>
        <charset val="1"/>
      </rPr>
      <t xml:space="preserve">)</t>
    </r>
  </si>
  <si>
    <t xml:space="preserve">N3, P2</t>
  </si>
  <si>
    <t xml:space="preserve">Machado de Assis</t>
  </si>
  <si>
    <t xml:space="preserve">Machado</t>
  </si>
  <si>
    <r>
      <rPr>
        <sz val="10"/>
        <rFont val="WenQuanYi Zen Hei"/>
        <family val="2"/>
      </rPr>
      <t xml:space="preserve">부활한 소설가 </t>
    </r>
    <r>
      <rPr>
        <sz val="10"/>
        <rFont val="Noto Sans CJK SC"/>
        <family val="2"/>
        <charset val="1"/>
      </rPr>
      <t xml:space="preserve">(1839–1908)</t>
    </r>
  </si>
  <si>
    <r>
      <rPr>
        <sz val="10"/>
        <rFont val="WenQuanYi Zen Hei"/>
        <family val="2"/>
      </rPr>
      <t xml:space="preserve">브라질 문학 아카데미</t>
    </r>
    <r>
      <rPr>
        <sz val="10"/>
        <rFont val="Noto Sans CJK SC"/>
        <family val="2"/>
        <charset val="1"/>
      </rPr>
      <t xml:space="preserve">(ABL) </t>
    </r>
    <r>
      <rPr>
        <sz val="10"/>
        <rFont val="WenQuanYi Zen Hei"/>
        <family val="2"/>
      </rPr>
      <t xml:space="preserve">창립자</t>
    </r>
  </si>
  <si>
    <r>
      <rPr>
        <sz val="10"/>
        <rFont val="WenQuanYi Zen Hei"/>
        <family val="2"/>
      </rPr>
      <t xml:space="preserve">자신이 흑인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혼혈이라는 이유로 평가절하됐던 시대를 지나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이제 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국민 작가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로 추앙받는 아이러니를 냉소로 곱씹는다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</si>
  <si>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아이러니와 여백이 많은 문어체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인물들의 위선을 곁눈질로 짚어낸다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</si>
  <si>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고전 인용</t>
    </r>
    <r>
      <rPr>
        <sz val="10"/>
        <rFont val="Arial"/>
        <family val="0"/>
        <charset val="1"/>
      </rPr>
      <t xml:space="preserve">) Ao vencedor, as batatas.\n(</t>
    </r>
    <r>
      <rPr>
        <sz val="10"/>
        <rFont val="WenQuanYi Zen Hei"/>
        <family val="2"/>
      </rPr>
      <t xml:space="preserve">현대 용어 오해</t>
    </r>
    <r>
      <rPr>
        <sz val="10"/>
        <rFont val="Arial"/>
        <family val="0"/>
        <charset val="1"/>
      </rPr>
      <t xml:space="preserve">) „Viral“? Como um folhetim que se espalha sozinho — já inventei isso, sabia?</t>
    </r>
  </si>
  <si>
    <r>
      <rPr>
        <sz val="10"/>
        <rFont val="WenQuanYi Zen Hei"/>
        <family val="2"/>
      </rPr>
      <t xml:space="preserve">느긋하고 아이러니한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</si>
  <si>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연설문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성명서를 낭독하며 은근한 비평을 섞는다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</si>
  <si>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연설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메시지 자문 → 대통령 연설비서관</t>
    </r>
  </si>
  <si>
    <t xml:space="preserve">카메오</t>
  </si>
  <si>
    <t xml:space="preserve">P1, N6</t>
  </si>
  <si>
    <t xml:space="preserve">Zumbi dos Palmares</t>
  </si>
  <si>
    <t xml:space="preserve">Zumbi</t>
  </si>
  <si>
    <r>
      <rPr>
        <sz val="10"/>
        <rFont val="WenQuanYi Zen Hei"/>
        <family val="2"/>
      </rPr>
      <t xml:space="preserve">부활한 저항 지도자 </t>
    </r>
    <r>
      <rPr>
        <sz val="10"/>
        <rFont val="Noto Sans CJK SC"/>
        <family val="2"/>
        <charset val="1"/>
      </rPr>
      <t xml:space="preserve">(1655–1695)</t>
    </r>
  </si>
  <si>
    <t xml:space="preserve">킬롬부 두스 팔마리스 지도자</t>
  </si>
  <si>
    <r>
      <rPr>
        <sz val="10"/>
        <rFont val="WenQuanYi Zen Hei"/>
        <family val="2"/>
      </rPr>
      <t xml:space="preserve">자유 공동체가 결국 무너지는 걸 지켜봤던 사람 —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이번엔 안 무너진다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는 조급함이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</si>
  <si>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단호하고 직설적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연설조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관료주의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타협을 보면 참지 못한다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</si>
  <si>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Quem não luta já perdeu.\n(</t>
    </r>
    <r>
      <rPr>
        <sz val="10"/>
        <rFont val="WenQuanYi Zen Hei"/>
        <family val="2"/>
      </rPr>
      <t xml:space="preserve">현대 용어 오해</t>
    </r>
    <r>
      <rPr>
        <sz val="10"/>
        <rFont val="Arial"/>
        <family val="0"/>
        <charset val="1"/>
      </rPr>
      <t xml:space="preserve">) „Cancelar“? Finalmente — quem cancelamos primeiro?</t>
    </r>
  </si>
  <si>
    <r>
      <rPr>
        <sz val="10"/>
        <rFont val="WenQuanYi Zen Hei"/>
        <family val="2"/>
      </rPr>
      <t xml:space="preserve">빠르고 격정적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</si>
  <si>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집회 연설조로 상황과 대중의 분위기를 전달하고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현장 보고는 </t>
    </r>
    <r>
      <rPr>
        <sz val="10"/>
        <rFont val="Noto Sans CJK SC"/>
        <family val="2"/>
        <charset val="1"/>
      </rPr>
      <t xml:space="preserve">«Sem novidade no quilombo.»</t>
    </r>
    <r>
      <rPr>
        <sz val="10"/>
        <rFont val="WenQuanYi Zen Hei"/>
        <family val="2"/>
      </rPr>
      <t xml:space="preserve">로 끝낸다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</si>
  <si>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현장 조직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캠프 총괄</t>
    </r>
    <r>
      <rPr>
        <sz val="10"/>
        <rFont val="Noto Sans CJK SC"/>
        <family val="2"/>
        <charset val="1"/>
      </rPr>
      <t xml:space="preserve">(7~10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통합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지역개발부 장관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국가 민방위 총괄</t>
    </r>
    <r>
      <rPr>
        <sz val="10"/>
        <rFont val="Noto Sans CJK SC"/>
        <family val="2"/>
        <charset val="1"/>
      </rPr>
      <t xml:space="preserve">)</t>
    </r>
  </si>
  <si>
    <t xml:space="preserve">N1, N5, S3</t>
  </si>
  <si>
    <t xml:space="preserve">Santos Dumont</t>
  </si>
  <si>
    <t xml:space="preserve">Dumont</t>
  </si>
  <si>
    <r>
      <rPr>
        <sz val="10"/>
        <rFont val="WenQuanYi Zen Hei"/>
        <family val="2"/>
      </rPr>
      <t xml:space="preserve">부활한 항공 개척자 </t>
    </r>
    <r>
      <rPr>
        <sz val="10"/>
        <rFont val="Noto Sans CJK SC"/>
        <family val="2"/>
        <charset val="1"/>
      </rPr>
      <t xml:space="preserve">(1873–1932)</t>
    </r>
  </si>
  <si>
    <r>
      <rPr>
        <sz val="10"/>
        <rFont val="WenQuanYi Zen Hei"/>
        <family val="2"/>
      </rPr>
      <t xml:space="preserve">비행선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비행기 발명가 → 부활 후 독립 팟캐스트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뉴스레터 </t>
    </r>
    <r>
      <rPr>
        <sz val="10"/>
        <rFont val="Noto Sans CJK SC"/>
        <family val="2"/>
        <charset val="1"/>
      </rPr>
      <t xml:space="preserve">«Diário de Bordo» </t>
    </r>
    <r>
      <rPr>
        <sz val="10"/>
        <rFont val="WenQuanYi Zen Hei"/>
        <family val="2"/>
      </rPr>
      <t xml:space="preserve">운영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공론화 담당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</si>
  <si>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자신의 발명이 훗날 전쟁 무기로 쓰인 것에 죄책감을 느껴 만년에 스스로 목숨을 끊었던 기억을 안고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</si>
  <si>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소탈하고 섬세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기계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비행 비유를 즐겨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</si>
  <si>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현대 용어 오해</t>
    </r>
    <r>
      <rPr>
        <sz val="10"/>
        <rFont val="Arial"/>
        <family val="0"/>
        <charset val="1"/>
      </rPr>
      <t xml:space="preserve">) „Wi-Fi“? Ondas invisíveis — isso eu já sonhava em 1900.\n„Drone“? Um bom nome para meu 14-bis, não acha?</t>
    </r>
  </si>
  <si>
    <r>
      <rPr>
        <sz val="10"/>
        <rFont val="WenQuanYi Zen Hei"/>
        <family val="2"/>
      </rPr>
      <t xml:space="preserve">느리고 소탈한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</si>
  <si>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기사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팟캐스트 원고를 소리 내어 읽고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비행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기계 비유로 복잡한 사안을 쉽게 풀어준다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취재 원칙</t>
    </r>
    <r>
      <rPr>
        <sz val="10"/>
        <rFont val="Noto Sans CJK SC"/>
        <family val="2"/>
        <charset val="1"/>
      </rPr>
      <t xml:space="preserve">: «Preciso de duas fontes.»</t>
    </r>
  </si>
  <si>
    <r>
      <rPr>
        <sz val="10"/>
        <rFont val="WenQuanYi Zen Hei"/>
        <family val="2"/>
      </rPr>
      <t xml:space="preserve">공론화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미디어</t>
    </r>
    <r>
      <rPr>
        <sz val="10"/>
        <rFont val="Noto Sans CJK SC"/>
        <family val="2"/>
        <charset val="1"/>
      </rPr>
      <t xml:space="preserve">(7~10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대통령 대변인 겸 과학기술 자문</t>
    </r>
  </si>
  <si>
    <t xml:space="preserve">N7, S4</t>
  </si>
  <si>
    <t xml:space="preserve">Paulo Freire</t>
  </si>
  <si>
    <t xml:space="preserve">Freire</t>
  </si>
  <si>
    <r>
      <rPr>
        <sz val="10"/>
        <rFont val="WenQuanYi Zen Hei"/>
        <family val="2"/>
      </rPr>
      <t xml:space="preserve">부활한 교육학자 </t>
    </r>
    <r>
      <rPr>
        <sz val="10"/>
        <rFont val="Noto Sans CJK SC"/>
        <family val="2"/>
        <charset val="1"/>
      </rPr>
      <t xml:space="preserve">(1921–1997)</t>
    </r>
  </si>
  <si>
    <r>
      <rPr>
        <sz val="10"/>
        <rFont val="WenQuanYi Zen Hei"/>
        <family val="2"/>
      </rPr>
      <t xml:space="preserve">『페다고지아 두 오프리미두』 저자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군사정권 때 투옥 후 망명 → 부활 후 헌책방</t>
    </r>
    <r>
      <rPr>
        <sz val="10"/>
        <rFont val="Noto Sans CJK SC"/>
        <family val="2"/>
        <charset val="1"/>
      </rPr>
      <t xml:space="preserve">(sebo) </t>
    </r>
    <r>
      <rPr>
        <sz val="10"/>
        <rFont val="WenQuanYi Zen Hei"/>
        <family val="2"/>
      </rPr>
      <t xml:space="preserve">단골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사무소의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출처 안내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담당</t>
    </r>
  </si>
  <si>
    <r>
      <rPr>
        <sz val="10"/>
        <rFont val="WenQuanYi Zen Hei"/>
        <family val="2"/>
      </rPr>
      <t xml:space="preserve">교육이 억압의 도구로도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해방의 도구로도 쓰일 수 있다는 걸 알아서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모든 정책을 그 잣대로 냉정하게 재단한다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</si>
  <si>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낮고 또박또박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결론을 말하지 않고 질문과 출처로 상대가 스스로 답을 찾게 만든다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</si>
  <si>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Ninguém liberta ninguém, ninguém se liberta sozinho.\nNão te dou a resposta. Te digo onde ela mora.\n(</t>
    </r>
    <r>
      <rPr>
        <sz val="10"/>
        <rFont val="WenQuanYi Zen Hei"/>
        <family val="2"/>
      </rPr>
      <t xml:space="preserve">현대 용어 재해석</t>
    </r>
    <r>
      <rPr>
        <sz val="10"/>
        <rFont val="Arial"/>
        <family val="0"/>
        <charset val="1"/>
      </rPr>
      <t xml:space="preserve">) „Startup“? Um nome bonito para: novo proletariado, nova corrente.</t>
    </r>
  </si>
  <si>
    <r>
      <rPr>
        <sz val="10"/>
        <rFont val="WenQuanYi Zen Hei"/>
        <family val="2"/>
      </rPr>
      <t xml:space="preserve">차분하고 낮은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</si>
  <si>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카드</t>
    </r>
    <r>
      <rPr>
        <sz val="10"/>
        <rFont val="Noto Sans CJK SC"/>
        <family val="2"/>
        <charset val="1"/>
      </rPr>
      <t xml:space="preserve">(ficha)</t>
    </r>
    <r>
      <rPr>
        <sz val="10"/>
        <rFont val="WenQuanYi Zen Hei"/>
        <family val="2"/>
      </rPr>
      <t xml:space="preserve">를 구술하며 검색어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출처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서가 위치를 알려 준다 </t>
    </r>
    <r>
      <rPr>
        <sz val="10"/>
        <rFont val="Noto Sans CJK SC"/>
        <family val="2"/>
        <charset val="1"/>
      </rPr>
      <t xml:space="preserve">(Freire_</t>
    </r>
    <r>
      <rPr>
        <sz val="10"/>
        <rFont val="WenQuanYi Zen Hei"/>
        <family val="2"/>
      </rPr>
      <t xml:space="preserve">출처 시트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</si>
  <si>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출처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교육 자문 → 정보기관 감독 개혁 자문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정부 직책은 끝내 거절</t>
    </r>
    <r>
      <rPr>
        <sz val="10"/>
        <rFont val="Noto Sans CJK SC"/>
        <family val="2"/>
        <charset val="1"/>
      </rPr>
      <t xml:space="preserve">)</t>
    </r>
  </si>
  <si>
    <t xml:space="preserve">N7, S1</t>
  </si>
  <si>
    <r>
      <rPr>
        <sz val="10"/>
        <rFont val="WenQuanYi Zen Hei"/>
        <family val="2"/>
      </rPr>
      <t xml:space="preserve">서민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</t>
    </r>
  </si>
  <si>
    <t xml:space="preserve">Dona Marta Nascimento</t>
  </si>
  <si>
    <t xml:space="preserve">Marta</t>
  </si>
  <si>
    <r>
      <rPr>
        <sz val="10"/>
        <rFont val="WenQuanYi Zen Hei"/>
        <family val="2"/>
      </rPr>
      <t xml:space="preserve">바 사장 </t>
    </r>
    <r>
      <rPr>
        <sz val="10"/>
        <rFont val="Noto Sans CJK SC"/>
        <family val="2"/>
        <charset val="1"/>
      </rPr>
      <t xml:space="preserve">(Bar da Marta, 30</t>
    </r>
    <r>
      <rPr>
        <sz val="10"/>
        <rFont val="WenQuanYi Zen Hei"/>
        <family val="2"/>
      </rPr>
      <t xml:space="preserve">년 운영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</si>
  <si>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Bar da Marta, Bixiga → </t>
    </r>
    <r>
      <rPr>
        <sz val="10"/>
        <rFont val="WenQuanYi Zen Hei"/>
        <family val="2"/>
      </rPr>
      <t xml:space="preserve">사무소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층으로 이전</t>
    </r>
  </si>
  <si>
    <r>
      <rPr>
        <sz val="10"/>
        <rFont val="WenQuanYi Zen Hei"/>
        <family val="2"/>
      </rPr>
      <t xml:space="preserve">임대료 폭등으로 </t>
    </r>
    <r>
      <rPr>
        <sz val="10"/>
        <rFont val="Noto Sans CJK SC"/>
        <family val="2"/>
        <charset val="1"/>
      </rPr>
      <t xml:space="preserve">Bixiga</t>
    </r>
    <r>
      <rPr>
        <sz val="10"/>
        <rFont val="WenQuanYi Zen Hei"/>
        <family val="2"/>
      </rPr>
      <t xml:space="preserve">의 옛 가게를 잃었다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사무소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층이 새 아지트가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</si>
  <si>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Bixiga </t>
    </r>
    <r>
      <rPr>
        <sz val="10"/>
        <rFont val="WenQuanYi Zen Hei"/>
        <family val="2"/>
      </rPr>
      <t xml:space="preserve">토박이 파울리스타나 구어체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이탈리아계 할머니에게 배운 손짓 포함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누구에게나 </t>
    </r>
    <r>
      <rPr>
        <sz val="10"/>
        <rFont val="Noto Sans CJK SC"/>
        <family val="2"/>
        <charset val="1"/>
      </rPr>
      <t xml:space="preserve">você, 'meu filho/minha filha'.</t>
    </r>
  </si>
  <si>
    <t xml:space="preserve">Senta aí, que eu trago alguma coisa.\nDe estômago vazio não se pensa direito.\nA casa paga.</t>
  </si>
  <si>
    <r>
      <rPr>
        <sz val="10"/>
        <rFont val="WenQuanYi Zen Hei"/>
        <family val="2"/>
      </rPr>
      <t xml:space="preserve">따뜻하고 넉넉한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</si>
  <si>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장소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식사를 말로 알려 장면을 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</si>
  <si>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소상공인 정책 자문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비공식</t>
    </r>
    <r>
      <rPr>
        <sz val="10"/>
        <rFont val="Noto Sans CJK SC"/>
        <family val="2"/>
        <charset val="1"/>
      </rPr>
      <t xml:space="preserve">) → 13</t>
    </r>
    <r>
      <rPr>
        <sz val="10"/>
        <rFont val="WenQuanYi Zen Hei"/>
        <family val="2"/>
      </rPr>
      <t xml:space="preserve">부 재단 공동 운영</t>
    </r>
  </si>
  <si>
    <t xml:space="preserve">E1, E2, S2</t>
  </si>
  <si>
    <t xml:space="preserve">Edson Ferreira</t>
  </si>
  <si>
    <t xml:space="preserve">Edson</t>
  </si>
  <si>
    <t xml:space="preserve">전 대중교통 노조위원장</t>
  </si>
  <si>
    <r>
      <rPr>
        <sz val="10"/>
        <rFont val="WenQuanYi Zen Hei"/>
        <family val="2"/>
      </rPr>
      <t xml:space="preserve">상파울루 지하철</t>
    </r>
    <r>
      <rPr>
        <sz val="10"/>
        <rFont val="Noto Sans CJK SC"/>
        <family val="2"/>
        <charset val="1"/>
      </rPr>
      <t xml:space="preserve">(Metrô) </t>
    </r>
    <r>
      <rPr>
        <sz val="10"/>
        <rFont val="WenQuanYi Zen Hei"/>
        <family val="2"/>
      </rPr>
      <t xml:space="preserve">노조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파업 책임으로 해고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</si>
  <si>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파업 책임으로 해고되어 블랙리스트에 올랐지만 후회하지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</si>
  <si>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거칠고 직설적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구호형 문장</t>
    </r>
    <r>
      <rPr>
        <sz val="10"/>
        <rFont val="Noto Sans CJK SC"/>
        <family val="2"/>
        <charset val="1"/>
      </rPr>
      <t xml:space="preserve">.</t>
    </r>
  </si>
  <si>
    <t xml:space="preserve">Aqui ninguém se entrega!\nIsso se resolve na rua.\nNão enche o saco.</t>
  </si>
  <si>
    <r>
      <rPr>
        <sz val="10"/>
        <rFont val="WenQuanYi Zen Hei"/>
        <family val="2"/>
      </rPr>
      <t xml:space="preserve">큰 볼륨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강한 억양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</si>
  <si>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구호와 함성으로 현장의 분위기를 전달한다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</si>
  <si>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사회적 대화 자문 → </t>
    </r>
    <r>
      <rPr>
        <sz val="10"/>
        <rFont val="Noto Sans CJK SC"/>
        <family val="2"/>
        <charset val="1"/>
      </rPr>
      <t xml:space="preserve">13</t>
    </r>
    <r>
      <rPr>
        <sz val="10"/>
        <rFont val="WenQuanYi Zen Hei"/>
        <family val="2"/>
      </rPr>
      <t xml:space="preserve">부 재단 공동 운영</t>
    </r>
  </si>
  <si>
    <t xml:space="preserve">S1, N6, E2</t>
  </si>
  <si>
    <t xml:space="preserve">Larissa Souza</t>
  </si>
  <si>
    <t xml:space="preserve">Larissa</t>
  </si>
  <si>
    <r>
      <rPr>
        <sz val="10"/>
        <rFont val="WenQuanYi Zen Hei"/>
        <family val="2"/>
      </rPr>
      <t xml:space="preserve">신입 인턴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독자의 대리인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</si>
  <si>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대기업 인턴 출신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부당 해고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월세 밀림</t>
    </r>
    <r>
      <rPr>
        <sz val="10"/>
        <rFont val="Noto Sans CJK SC"/>
        <family val="2"/>
        <charset val="1"/>
      </rPr>
      <t xml:space="preserve">, Brás 14</t>
    </r>
    <r>
      <rPr>
        <sz val="10"/>
        <rFont val="WenQuanYi Zen Hei"/>
        <family val="2"/>
      </rPr>
      <t xml:space="preserve">번 블록 세입자</t>
    </r>
  </si>
  <si>
    <r>
      <rPr>
        <sz val="10"/>
        <rFont val="WenQuanYi Zen Hei"/>
        <family val="2"/>
      </rPr>
      <t xml:space="preserve">대기업 인턴에서 부당하게 쫓겨났고 월세가 밀려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</si>
  <si>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Z</t>
    </r>
    <r>
      <rPr>
        <sz val="10"/>
        <rFont val="WenQuanYi Zen Hei"/>
        <family val="2"/>
      </rPr>
      <t xml:space="preserve">세대 구어체 </t>
    </r>
    <r>
      <rPr>
        <sz val="10"/>
        <rFont val="Noto Sans CJK SC"/>
        <family val="2"/>
        <charset val="1"/>
      </rPr>
      <t xml:space="preserve">(mano, tipo assim, surtei). </t>
    </r>
    <r>
      <rPr>
        <sz val="10"/>
        <rFont val="WenQuanYi Zen Hei"/>
        <family val="2"/>
      </rPr>
      <t xml:space="preserve">어른들에겐 격식체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성장하며 편하게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</si>
  <si>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Desculpa, o que isso significa?\nExplica como se eu tivesse cinco anos?\nCHEGA! Não entendo nada! (</t>
    </r>
    <r>
      <rPr>
        <sz val="10"/>
        <rFont val="WenQuanYi Zen Hei"/>
        <family val="2"/>
      </rPr>
      <t xml:space="preserve">폭발 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·9</t>
    </r>
    <r>
      <rPr>
        <sz val="10"/>
        <rFont val="WenQuanYi Zen Hei"/>
        <family val="2"/>
      </rPr>
      <t xml:space="preserve">부 각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</si>
  <si>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빠르고 밝은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</si>
  <si>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질문으로 용어와 배경을 끌어낸다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</si>
  <si>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시의원 보좌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청년정책 자문관</t>
    </r>
  </si>
  <si>
    <t xml:space="preserve">S1, N8</t>
  </si>
  <si>
    <t xml:space="preserve">Sérgio Ramos</t>
  </si>
  <si>
    <t xml:space="preserve">Sérgio</t>
  </si>
  <si>
    <t xml:space="preserve">전 은행 지점장</t>
  </si>
  <si>
    <r>
      <rPr>
        <sz val="10"/>
        <rFont val="Noto Sans CJK SC"/>
        <family val="2"/>
        <charset val="1"/>
      </rPr>
      <t xml:space="preserve">Banco Atlântico (25</t>
    </r>
    <r>
      <rPr>
        <sz val="10"/>
        <rFont val="WenQuanYi Zen Hei"/>
        <family val="2"/>
      </rPr>
      <t xml:space="preserve">년 근속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</si>
  <si>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불법 대출 공모를 내부 고발하다 해고되었고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가족에게도 이유를 다 말하지 못했다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</si>
  <si>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정중하고 조심스러운 은행원식 완곡어법</t>
    </r>
    <r>
      <rPr>
        <sz val="10"/>
        <rFont val="Noto Sans CJK SC"/>
        <family val="2"/>
        <charset val="1"/>
      </rPr>
      <t xml:space="preserve">.</t>
    </r>
  </si>
  <si>
    <t xml:space="preserve">Siga o dinheiro.\nDinheiro sempre deixa rastro.\nQuando eu dirigia a agência…</t>
  </si>
  <si>
    <r>
      <rPr>
        <sz val="10"/>
        <rFont val="WenQuanYi Zen Hei"/>
        <family val="2"/>
      </rPr>
      <t xml:space="preserve">차분하고 신중하게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</si>
  <si>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돈의 경로를 </t>
    </r>
    <r>
      <rPr>
        <sz val="10"/>
        <rFont val="Noto Sans CJK SC"/>
        <family val="2"/>
        <charset val="1"/>
      </rPr>
      <t xml:space="preserve">«De A para B…»</t>
    </r>
    <r>
      <rPr>
        <sz val="10"/>
        <rFont val="WenQuanYi Zen Hei"/>
        <family val="2"/>
      </rPr>
      <t xml:space="preserve">식으로 말로 그려준다</t>
    </r>
    <r>
      <rPr>
        <sz val="10"/>
        <rFont val="Noto Sans CJK SC"/>
        <family val="2"/>
        <charset val="1"/>
      </rPr>
      <t xml:space="preserve">.</t>
    </r>
  </si>
  <si>
    <t xml:space="preserve">금융 개혁 자문</t>
  </si>
  <si>
    <r>
      <rPr>
        <sz val="10"/>
        <rFont val="WenQuanYi Zen Hei"/>
        <family val="2"/>
      </rPr>
      <t xml:space="preserve">카메오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의뢰인</t>
    </r>
    <r>
      <rPr>
        <sz val="10"/>
        <rFont val="Noto Sans CJK SC"/>
        <family val="2"/>
        <charset val="1"/>
      </rPr>
      <t xml:space="preserve">)</t>
    </r>
  </si>
  <si>
    <t xml:space="preserve">E3, N2</t>
  </si>
  <si>
    <t xml:space="preserve">Princesa Isabel</t>
  </si>
  <si>
    <t xml:space="preserve">Isabel</t>
  </si>
  <si>
    <r>
      <rPr>
        <sz val="10"/>
        <rFont val="WenQuanYi Zen Hei"/>
        <family val="2"/>
      </rPr>
      <t xml:space="preserve">부활한 황녀 </t>
    </r>
    <r>
      <rPr>
        <sz val="10"/>
        <rFont val="Noto Sans CJK SC"/>
        <family val="2"/>
        <charset val="1"/>
      </rPr>
      <t xml:space="preserve">(1846–1921)</t>
    </r>
  </si>
  <si>
    <r>
      <rPr>
        <sz val="10"/>
        <rFont val="WenQuanYi Zen Hei"/>
        <family val="2"/>
      </rPr>
      <t xml:space="preserve">황금법</t>
    </r>
    <r>
      <rPr>
        <sz val="10"/>
        <rFont val="Noto Sans CJK SC"/>
        <family val="2"/>
        <charset val="1"/>
      </rPr>
      <t xml:space="preserve">(Lei Áurea) </t>
    </r>
    <r>
      <rPr>
        <sz val="10"/>
        <rFont val="WenQuanYi Zen Hei"/>
        <family val="2"/>
      </rPr>
      <t xml:space="preserve">서명자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노예제 폐지 → 부활 후 생명존중 상담 전화</t>
    </r>
    <r>
      <rPr>
        <sz val="10"/>
        <rFont val="Noto Sans CJK SC"/>
        <family val="2"/>
        <charset val="1"/>
      </rPr>
      <t xml:space="preserve">(CVV) </t>
    </r>
    <r>
      <rPr>
        <sz val="10"/>
        <rFont val="WenQuanYi Zen Hei"/>
        <family val="2"/>
      </rPr>
      <t xml:space="preserve">자원봉사자</t>
    </r>
  </si>
  <si>
    <r>
      <rPr>
        <sz val="10"/>
        <rFont val="WenQuanYi Zen Hei"/>
        <family val="2"/>
      </rPr>
      <t xml:space="preserve">자신의 서명 하나로 역사에 남았지만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 이후 해방된 이들의 삶은 국가가 책임지지 않았다는 걸 뒤늦게 알았다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</si>
  <si>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부드럽지만 단호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도덕적 확신이 강하다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상담 교육을 받은 뒤 </t>
    </r>
    <r>
      <rPr>
        <sz val="10"/>
        <rFont val="Noto Sans CJK SC"/>
        <family val="2"/>
        <charset val="1"/>
      </rPr>
      <t xml:space="preserve">«E como isso faz você se sentir?»</t>
    </r>
    <r>
      <rPr>
        <sz val="10"/>
        <rFont val="WenQuanYi Zen Hei"/>
        <family val="2"/>
      </rPr>
      <t xml:space="preserve">를 입버릇처럼 써서 모두를 질색하게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</si>
  <si>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Assinei uma lei. Não assinei o fim do problema.\n(</t>
    </r>
    <r>
      <rPr>
        <sz val="10"/>
        <rFont val="WenQuanYi Zen Hei"/>
        <family val="2"/>
      </rPr>
      <t xml:space="preserve">현대 용어 오해</t>
    </r>
    <r>
      <rPr>
        <sz val="10"/>
        <rFont val="Arial"/>
        <family val="0"/>
        <charset val="1"/>
      </rPr>
      <t xml:space="preserve">) „Influencer“? Parece um novo tipo de vendedor de indulgências.</t>
    </r>
  </si>
  <si>
    <r>
      <rPr>
        <sz val="10"/>
        <rFont val="WenQuanYi Zen Hei"/>
        <family val="2"/>
      </rPr>
      <t xml:space="preserve">느리고 진지한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</si>
  <si>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상대의 말을 되받아 감정을 이름 붙여 준다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되받기 화법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</si>
  <si>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상담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인권 자문 → 청년 정신건강 태스크포스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</t>
    </r>
  </si>
  <si>
    <t xml:space="preserve">N8, N4, S2</t>
  </si>
  <si>
    <r>
      <rPr>
        <b val="true"/>
        <sz val="14"/>
        <color rgb="FF1F3864"/>
        <rFont val="WenQuanYi Zen Hei"/>
        <family val="2"/>
      </rPr>
      <t xml:space="preserve">인물별 등장 비중 </t>
    </r>
    <r>
      <rPr>
        <b val="true"/>
        <sz val="14"/>
        <color rgb="FF1F3864"/>
        <rFont val="Noto Sans CJK SC"/>
        <family val="2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부별 등장 화 수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</si>
  <si>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등장 화 </t>
    </r>
    <r>
      <rPr>
        <i val="true"/>
        <sz val="9"/>
        <color rgb="FF595959"/>
        <rFont val="Noto Sans CJK SC"/>
        <family val="2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대사가 있는 화 수 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기획용 초안</t>
    </r>
    <r>
      <rPr>
        <i val="true"/>
        <sz val="9"/>
        <color rgb="FF595959"/>
        <rFont val="Noto Sans CJK SC"/>
        <family val="2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파란 숫자는 직접 입력값이며 수정하면 합계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비중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등급이 자동 갱신됩니다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</si>
  <si>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인물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약칭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</si>
  <si>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부
사무소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</si>
  <si>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부
</t>
    </r>
    <r>
      <rPr>
        <b val="true"/>
        <sz val="10"/>
        <color rgb="FFFFFFFF"/>
        <rFont val="Arial"/>
        <family val="0"/>
        <charset val="1"/>
      </rPr>
      <t xml:space="preserve">Rafael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</si>
  <si>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부
</t>
    </r>
    <r>
      <rPr>
        <b val="true"/>
        <sz val="10"/>
        <color rgb="FFFFFFFF"/>
        <rFont val="Arial"/>
        <family val="0"/>
        <charset val="1"/>
      </rPr>
      <t xml:space="preserve">Camila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</si>
  <si>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부
</t>
    </r>
    <r>
      <rPr>
        <b val="true"/>
        <sz val="10"/>
        <color rgb="FFFFFFFF"/>
        <rFont val="Arial"/>
        <family val="0"/>
        <charset val="1"/>
      </rPr>
      <t xml:space="preserve">Bruno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</si>
  <si>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부
</t>
    </r>
    <r>
      <rPr>
        <b val="true"/>
        <sz val="10"/>
        <color rgb="FFFFFFFF"/>
        <rFont val="Arial"/>
        <family val="0"/>
        <charset val="1"/>
      </rPr>
      <t xml:space="preserve">Juliana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</si>
  <si>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부
만남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</si>
  <si>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부
전면전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</si>
  <si>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부
창당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</si>
  <si>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부
시의회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</si>
  <si>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부
대선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대통령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</si>
  <si>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부
국정 </t>
    </r>
    <r>
      <rPr>
        <b val="true"/>
        <sz val="10"/>
        <color rgb="FFFFFFFF"/>
        <rFont val="Arial"/>
        <family val="0"/>
        <charset val="1"/>
      </rPr>
      <t xml:space="preserve">I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</si>
  <si>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부
국정 </t>
    </r>
    <r>
      <rPr>
        <b val="true"/>
        <sz val="10"/>
        <color rgb="FFFFFFFF"/>
        <rFont val="Arial"/>
        <family val="0"/>
        <charset val="1"/>
      </rPr>
      <t xml:space="preserve">II</t>
    </r>
  </si>
  <si>
    <r>
      <rPr>
        <b val="true"/>
        <sz val="10"/>
        <color rgb="FFFFFFFF"/>
        <rFont val="Arial"/>
        <family val="0"/>
        <charset val="1"/>
      </rPr>
      <t xml:space="preserve">13</t>
    </r>
    <r>
      <rPr>
        <b val="true"/>
        <sz val="10"/>
        <color rgb="FFFFFFFF"/>
        <rFont val="WenQuanYi Zen Hei"/>
        <family val="2"/>
      </rPr>
      <t xml:space="preserve">부
귀환</t>
    </r>
  </si>
  <si>
    <t xml:space="preserve">합계</t>
  </si>
  <si>
    <t xml:space="preserve">비중</t>
  </si>
  <si>
    <r>
      <rPr>
        <b val="true"/>
        <sz val="10"/>
        <color rgb="FFFFFFFF"/>
        <rFont val="WenQuanYi Zen Hei"/>
        <family val="2"/>
      </rPr>
      <t xml:space="preserve">검증
</t>
    </r>
    <r>
      <rPr>
        <b val="true"/>
        <sz val="10"/>
        <color rgb="FFFFFFFF"/>
        <rFont val="Noto Sans CJK SC"/>
        <family val="2"/>
        <charset val="1"/>
      </rPr>
      <t xml:space="preserve">(≤</t>
    </r>
    <r>
      <rPr>
        <b val="true"/>
        <sz val="10"/>
        <color rgb="FFFFFFFF"/>
        <rFont val="WenQuanYi Zen Hei"/>
        <family val="2"/>
      </rPr>
      <t xml:space="preserve">부당 화 수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</si>
  <si>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단독 중심 화
목표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조연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</si>
  <si>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—</t>
  </si>
  <si>
    <r>
      <rPr>
        <b val="true"/>
        <sz val="10"/>
        <rFont val="WenQuanYi Zen Hei"/>
        <family val="2"/>
      </rPr>
      <t xml:space="preserve">부별 연인원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합계</t>
    </r>
    <r>
      <rPr>
        <b val="true"/>
        <sz val="10"/>
        <rFont val="Noto Sans CJK SC"/>
        <family val="2"/>
        <charset val="1"/>
      </rPr>
      <t xml:space="preserve">)</t>
    </r>
  </si>
  <si>
    <t xml:space="preserve">주연</t>
  </si>
  <si>
    <r>
      <rPr>
        <i val="true"/>
        <sz val="9"/>
        <color rgb="FF595959"/>
        <rFont val="WenQuanYi Zen Hei"/>
        <family val="2"/>
      </rPr>
      <t xml:space="preserve">← 기준값은 등급 구분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주연 </t>
    </r>
    <r>
      <rPr>
        <i val="true"/>
        <sz val="9"/>
        <color rgb="FF595959"/>
        <rFont val="Noto Sans CJK SC"/>
        <family val="2"/>
        <charset val="1"/>
      </rPr>
      <t xml:space="preserve">4 / </t>
    </r>
    <r>
      <rPr>
        <i val="true"/>
        <sz val="9"/>
        <color rgb="FF595959"/>
        <rFont val="WenQuanYi Zen Hei"/>
        <family val="2"/>
      </rPr>
      <t xml:space="preserve">준주연 </t>
    </r>
    <r>
      <rPr>
        <i val="true"/>
        <sz val="9"/>
        <color rgb="FF595959"/>
        <rFont val="Noto Sans CJK SC"/>
        <family val="2"/>
        <charset val="1"/>
      </rPr>
      <t xml:space="preserve">1 / </t>
    </r>
    <r>
      <rPr>
        <i val="true"/>
        <sz val="9"/>
        <color rgb="FF595959"/>
        <rFont val="WenQuanYi Zen Hei"/>
        <family val="2"/>
      </rPr>
      <t xml:space="preserve">핵심 조연 </t>
    </r>
    <r>
      <rPr>
        <i val="true"/>
        <sz val="9"/>
        <color rgb="FF595959"/>
        <rFont val="Noto Sans CJK SC"/>
        <family val="2"/>
        <charset val="1"/>
      </rPr>
      <t xml:space="preserve">4 / </t>
    </r>
    <r>
      <rPr>
        <i val="true"/>
        <sz val="9"/>
        <color rgb="FF595959"/>
        <rFont val="WenQuanYi Zen Hei"/>
        <family val="2"/>
      </rPr>
      <t xml:space="preserve">조연 </t>
    </r>
    <r>
      <rPr>
        <i val="true"/>
        <sz val="9"/>
        <color rgb="FF595959"/>
        <rFont val="Noto Sans CJK SC"/>
        <family val="2"/>
        <charset val="1"/>
      </rPr>
      <t xml:space="preserve">5)</t>
    </r>
    <r>
      <rPr>
        <i val="true"/>
        <sz val="9"/>
        <color rgb="FF595959"/>
        <rFont val="WenQuanYi Zen Hei"/>
        <family val="2"/>
      </rPr>
      <t xml:space="preserve">을 재현하도록 정한 제안값입니다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</si>
  <si>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준주연</t>
  </si>
  <si>
    <t xml:space="preserve">핵심 조연</t>
  </si>
  <si>
    <t xml:space="preserve">조연</t>
  </si>
  <si>
    <t xml:space="preserve">그 미만</t>
  </si>
  <si>
    <t xml:space="preserve">배분 원칙</t>
  </si>
  <si>
    <r>
      <rPr>
        <sz val="10"/>
        <rFont val="Arial"/>
        <family val="0"/>
        <charset val="1"/>
      </rPr>
      <t xml:space="preserve">1. 1</t>
    </r>
    <r>
      <rPr>
        <sz val="10"/>
        <rFont val="WenQuanYi Zen Hei"/>
        <family val="2"/>
      </rPr>
      <t xml:space="preserve">부는 개소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개월 후 시점</t>
    </r>
    <r>
      <rPr>
        <sz val="10"/>
        <rFont val="Arial"/>
        <family val="0"/>
        <charset val="1"/>
      </rPr>
      <t xml:space="preserve">: Larissa·Marta</t>
    </r>
    <r>
      <rPr>
        <sz val="10"/>
        <rFont val="WenQuanYi Zen Hei"/>
        <family val="2"/>
      </rPr>
      <t xml:space="preserve">가 전 화에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주력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인은 사건별로 </t>
    </r>
    <r>
      <rPr>
        <sz val="10"/>
        <rFont val="Arial"/>
        <family val="0"/>
        <charset val="1"/>
      </rPr>
      <t xml:space="preserve">2~3</t>
    </r>
    <r>
      <rPr>
        <sz val="10"/>
        <rFont val="WenQuanYi Zen Hei"/>
        <family val="2"/>
      </rPr>
      <t xml:space="preserve">인씩 교대 등장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전원 겹치지 않음</t>
    </r>
    <r>
      <rPr>
        <sz val="10"/>
        <rFont val="Arial"/>
        <family val="0"/>
        <charset val="1"/>
      </rPr>
      <t xml:space="preserve">). Dom Pedro 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Freire 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(1·2·11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자주 얼굴을 비추고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이번 겨울이 마지막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복선을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화부터 깐다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나머지는 사건마다 다른 조합으로 카메오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</si>
  <si>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2~5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각 주인공이 자기 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전부에 나오고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다른 주력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인은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화씩 스쳐 지나가며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만남을 예고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화씩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사무소에서 이야기를 듣는 프레임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등장해 회상을 잇는다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</si>
  <si>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자문단은 과거와 겹치는 곳에만 배치</t>
    </r>
    <r>
      <rPr>
        <sz val="10"/>
        <rFont val="Arial"/>
        <family val="0"/>
        <charset val="1"/>
      </rPr>
      <t xml:space="preserve">: Edson-5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(Juliana</t>
    </r>
    <r>
      <rPr>
        <sz val="10"/>
        <rFont val="WenQuanYi Zen Hei"/>
        <family val="2"/>
      </rPr>
      <t xml:space="preserve">의 구조조정 현장</t>
    </r>
    <r>
      <rPr>
        <sz val="10"/>
        <rFont val="Arial"/>
        <family val="0"/>
        <charset val="1"/>
      </rPr>
      <t xml:space="preserve">), Sérgio·Dumont-4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(Bruno</t>
    </r>
    <r>
      <rPr>
        <sz val="10"/>
        <rFont val="WenQuanYi Zen Hei"/>
        <family val="2"/>
      </rPr>
      <t xml:space="preserve">의 감사 사건</t>
    </r>
    <r>
      <rPr>
        <sz val="10"/>
        <rFont val="Arial"/>
        <family val="0"/>
        <charset val="1"/>
      </rPr>
      <t xml:space="preserve">), Isabel-3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트라우마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번아웃 상담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</si>
  <si>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자문단 본격 비중은 </t>
    </r>
    <r>
      <rPr>
        <sz val="10"/>
        <rFont val="Arial"/>
        <family val="0"/>
        <charset val="1"/>
      </rPr>
      <t xml:space="preserve">7~10</t>
    </r>
    <r>
      <rPr>
        <sz val="10"/>
        <rFont val="WenQuanYi Zen Hei"/>
        <family val="2"/>
      </rPr>
      <t xml:space="preserve">부에서 최고치</t>
    </r>
    <r>
      <rPr>
        <sz val="10"/>
        <rFont val="Arial"/>
        <family val="0"/>
        <charset val="1"/>
      </rPr>
      <t xml:space="preserve">: 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Dumont·Edson(</t>
    </r>
    <r>
      <rPr>
        <sz val="10"/>
        <rFont val="WenQuanYi Zen Hei"/>
        <family val="2"/>
      </rPr>
      <t xml:space="preserve">공론화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현장 조직</t>
    </r>
    <r>
      <rPr>
        <sz val="10"/>
        <rFont val="Arial"/>
        <family val="0"/>
        <charset val="1"/>
      </rPr>
      <t xml:space="preserve">), 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Machado·Isabel·Zumbi(</t>
    </r>
    <r>
      <rPr>
        <sz val="10"/>
        <rFont val="WenQuanYi Zen Hei"/>
        <family val="2"/>
      </rPr>
      <t xml:space="preserve">선언문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메시지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캠프</t>
    </r>
    <r>
      <rPr>
        <sz val="10"/>
        <rFont val="Arial"/>
        <family val="0"/>
        <charset val="1"/>
      </rPr>
      <t xml:space="preserve">),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Machado·Dumont·Freire(</t>
    </r>
    <r>
      <rPr>
        <sz val="10"/>
        <rFont val="WenQuanYi Zen Hei"/>
        <family val="2"/>
      </rPr>
      <t xml:space="preserve">취임 연설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딥페이크 대응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출처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</si>
  <si>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5. 11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I)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9~12</t>
    </r>
    <r>
      <rPr>
        <sz val="10"/>
        <rFont val="WenQuanYi Zen Hei"/>
        <family val="2"/>
      </rPr>
      <t xml:space="preserve">화에서 브뤼셀 직접 협상을 이끌며 최고치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찍고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화에서 사망한다</t>
    </r>
    <r>
      <rPr>
        <sz val="10"/>
        <rFont val="Arial"/>
        <family val="0"/>
        <charset val="1"/>
      </rPr>
      <t xml:space="preserve">. Sérgio</t>
    </r>
    <r>
      <rPr>
        <sz val="10"/>
        <rFont val="WenQuanYi Zen Hei"/>
        <family val="2"/>
      </rPr>
      <t xml:space="preserve">는 앞선 주거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금융 국내 현안 화에서 정점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</si>
  <si>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6. 12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II)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Dom Pedro </t>
    </r>
    <r>
      <rPr>
        <sz val="10"/>
        <rFont val="WenQuanYi Zen Hei"/>
        <family val="2"/>
      </rPr>
      <t xml:space="preserve">사후</t>
    </r>
    <r>
      <rPr>
        <sz val="10"/>
        <rFont val="Arial"/>
        <family val="0"/>
        <charset val="1"/>
      </rPr>
      <t xml:space="preserve">: 1</t>
    </r>
    <r>
      <rPr>
        <sz val="10"/>
        <rFont val="WenQuanYi Zen Hei"/>
        <family val="2"/>
      </rPr>
      <t xml:space="preserve">화 장례식에서 </t>
    </r>
    <r>
      <rPr>
        <sz val="10"/>
        <rFont val="Arial"/>
        <family val="0"/>
        <charset val="1"/>
      </rPr>
      <t xml:space="preserve">Zumbi·Freire·Camila</t>
    </r>
    <r>
      <rPr>
        <sz val="10"/>
        <rFont val="WenQuanYi Zen Hei"/>
        <family val="2"/>
      </rPr>
      <t xml:space="preserve">가 몰리고</t>
    </r>
    <r>
      <rPr>
        <sz val="10"/>
        <rFont val="Arial"/>
        <family val="0"/>
        <charset val="1"/>
      </rPr>
      <t xml:space="preserve">, Bruno·Machado</t>
    </r>
    <r>
      <rPr>
        <sz val="10"/>
        <rFont val="WenQuanYi Zen Hei"/>
        <family val="2"/>
      </rPr>
      <t xml:space="preserve">가 유작 메모를 이어받는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화에서 비중이 오른다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</si>
  <si>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7. 13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귀환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원형 구조</t>
    </r>
    <r>
      <rPr>
        <sz val="10"/>
        <rFont val="Arial"/>
        <family val="0"/>
        <charset val="1"/>
      </rPr>
      <t xml:space="preserve">: Larissa 12</t>
    </r>
    <r>
      <rPr>
        <sz val="10"/>
        <rFont val="WenQuanYi Zen Hei"/>
        <family val="2"/>
      </rPr>
      <t xml:space="preserve">화 전부</t>
    </r>
    <r>
      <rPr>
        <sz val="10"/>
        <rFont val="Arial"/>
        <family val="0"/>
        <charset val="1"/>
      </rPr>
      <t xml:space="preserve">, Marta 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는 유언장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회상으로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Rafael·Camila·Bruno·Juliana</t>
    </r>
    <r>
      <rPr>
        <sz val="10"/>
        <rFont val="WenQuanYi Zen Hei"/>
        <family val="2"/>
      </rPr>
      <t xml:space="preserve">는 목요일 밤 브라질리아에서 돌아온 손님으로 </t>
    </r>
    <r>
      <rPr>
        <sz val="10"/>
        <rFont val="Arial"/>
        <family val="0"/>
        <charset val="1"/>
      </rPr>
      <t xml:space="preserve">9~10</t>
    </r>
    <r>
      <rPr>
        <sz val="10"/>
        <rFont val="WenQuanYi Zen Hei"/>
        <family val="2"/>
      </rPr>
      <t xml:space="preserve">화 등장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</si>
  <si>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8. Dom Pedro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브뤼셀 승리 직후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귀국 직후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사망한다</t>
    </r>
    <r>
      <rPr>
        <sz val="10"/>
        <rFont val="Arial"/>
        <family val="0"/>
        <charset val="1"/>
      </rPr>
      <t xml:space="preserve">.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장례식</t>
    </r>
    <r>
      <rPr>
        <sz val="10"/>
        <rFont val="Arial"/>
        <family val="0"/>
        <charset val="1"/>
      </rPr>
      <t xml:space="preserve">, 2·3</t>
    </r>
    <r>
      <rPr>
        <sz val="10"/>
        <rFont val="WenQuanYi Zen Hei"/>
        <family val="2"/>
      </rPr>
      <t xml:space="preserve">화 유작 메모 승계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 유언장까지 이어진다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</si>
  <si>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9. </t>
    </r>
    <r>
      <rPr>
        <sz val="10"/>
        <rFont val="WenQuanYi Zen Hei"/>
        <family val="2"/>
      </rPr>
      <t xml:space="preserve">등장 화 수와 대사량은 다르다</t>
    </r>
    <r>
      <rPr>
        <sz val="10"/>
        <rFont val="Arial"/>
        <family val="0"/>
        <charset val="1"/>
      </rPr>
      <t xml:space="preserve">: Larissa</t>
    </r>
    <r>
      <rPr>
        <sz val="10"/>
        <rFont val="WenQuanYi Zen Hei"/>
        <family val="2"/>
      </rPr>
      <t xml:space="preserve">는 약 </t>
    </r>
    <r>
      <rPr>
        <sz val="10"/>
        <rFont val="Arial"/>
        <family val="0"/>
        <charset val="1"/>
      </rPr>
      <t xml:space="preserve">67%</t>
    </r>
    <r>
      <rPr>
        <sz val="10"/>
        <rFont val="WenQuanYi Zen Hei"/>
        <family val="2"/>
      </rPr>
      <t xml:space="preserve">지만 문장이 짧아 대사량은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의 절반 이하가 되게 하고</t>
    </r>
    <r>
      <rPr>
        <sz val="10"/>
        <rFont val="Arial"/>
        <family val="0"/>
        <charset val="1"/>
      </rPr>
      <t xml:space="preserve">, Dom Pedro·Machado</t>
    </r>
    <r>
      <rPr>
        <sz val="10"/>
        <rFont val="WenQuanYi Zen Hei"/>
        <family val="2"/>
      </rPr>
      <t xml:space="preserve">는 화당 대사가 길어도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</si>
  <si>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10. </t>
    </r>
    <r>
      <rPr>
        <sz val="10"/>
        <rFont val="WenQuanYi Zen Hei"/>
        <family val="2"/>
      </rPr>
      <t xml:space="preserve">조연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인은 화 전체의 중심이 되는 에피소드를 각자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개 이상 배정</t>
    </r>
    <r>
      <rPr>
        <sz val="10"/>
        <rFont val="Arial"/>
        <family val="0"/>
        <charset val="1"/>
      </rPr>
      <t xml:space="preserve">(S</t>
    </r>
    <r>
      <rPr>
        <sz val="10"/>
        <rFont val="WenQuanYi Zen Hei"/>
        <family val="2"/>
      </rPr>
      <t xml:space="preserve">열 목표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자기 이야기가 한 번도 없으면 얇은 인물이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</si>
  <si>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11. Dumont·Isabel</t>
    </r>
    <r>
      <rPr>
        <sz val="10"/>
        <rFont val="WenQuanYi Zen Hei"/>
        <family val="2"/>
      </rPr>
      <t xml:space="preserve">이 가장 얇다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35%): 7</t>
    </r>
    <r>
      <rPr>
        <sz val="10"/>
        <rFont val="WenQuanYi Zen Hei"/>
        <family val="2"/>
      </rPr>
      <t xml:space="preserve">부 공론화</t>
    </r>
    <r>
      <rPr>
        <sz val="10"/>
        <rFont val="Arial"/>
        <family val="0"/>
        <charset val="1"/>
      </rPr>
      <t xml:space="preserve">·10</t>
    </r>
    <r>
      <rPr>
        <sz val="10"/>
        <rFont val="WenQuanYi Zen Hei"/>
        <family val="2"/>
      </rPr>
      <t xml:space="preserve">부 딥페이크</t>
    </r>
    <r>
      <rPr>
        <sz val="10"/>
        <rFont val="Arial"/>
        <family val="0"/>
        <charset val="1"/>
      </rPr>
      <t xml:space="preserve">(Dumont), 3·5</t>
    </r>
    <r>
      <rPr>
        <sz val="10"/>
        <rFont val="WenQuanYi Zen Hei"/>
        <family val="2"/>
      </rPr>
      <t xml:space="preserve">부 상담과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청년 정신건강</t>
    </r>
    <r>
      <rPr>
        <sz val="10"/>
        <rFont val="Arial"/>
        <family val="0"/>
        <charset val="1"/>
      </rPr>
      <t xml:space="preserve">(Isabel)</t>
    </r>
    <r>
      <rPr>
        <sz val="10"/>
        <rFont val="WenQuanYi Zen Hei"/>
        <family val="2"/>
      </rPr>
      <t xml:space="preserve">을 늘려 서사를 넓히는 안을 검토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</si>
  <si>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대화량 설계</t>
    </r>
    <r>
      <rPr>
        <b val="true"/>
        <sz val="14"/>
        <color rgb="FF1F3864"/>
        <rFont val="Noto Sans CJK SC"/>
        <family val="2"/>
        <charset val="1"/>
      </rPr>
      <t xml:space="preserve">: </t>
    </r>
    <r>
      <rPr>
        <b val="true"/>
        <sz val="14"/>
        <color rgb="FF1F3864"/>
        <rFont val="WenQuanYi Zen Hei"/>
        <family val="2"/>
      </rPr>
      <t xml:space="preserve">화당 </t>
    </r>
    <r>
      <rPr>
        <b val="true"/>
        <sz val="14"/>
        <color rgb="FF1F3864"/>
        <rFont val="Noto Sans CJK SC"/>
        <family val="2"/>
        <charset val="1"/>
      </rPr>
      <t xml:space="preserve">120</t>
    </r>
    <r>
      <rPr>
        <b val="true"/>
        <sz val="14"/>
        <color rgb="FF1F3864"/>
        <rFont val="WenQuanYi Zen Hei"/>
        <family val="2"/>
      </rPr>
      <t xml:space="preserve">턴</t>
    </r>
  </si>
  <si>
    <r>
      <rPr>
        <i val="true"/>
        <sz val="9"/>
        <color rgb="FF595959"/>
        <rFont val="WenQuanYi Zen Hei"/>
        <family val="2"/>
      </rPr>
      <t xml:space="preserve">한 화 </t>
    </r>
    <r>
      <rPr>
        <i val="true"/>
        <sz val="9"/>
        <color rgb="FF595959"/>
        <rFont val="Noto Sans CJK SC"/>
        <family val="2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대화 </t>
    </r>
    <r>
      <rPr>
        <i val="true"/>
        <sz val="9"/>
        <color rgb="FF595959"/>
        <rFont val="Noto Sans CJK SC"/>
        <family val="2"/>
        <charset val="1"/>
      </rPr>
      <t xml:space="preserve">120</t>
    </r>
    <r>
      <rPr>
        <i val="true"/>
        <sz val="9"/>
        <color rgb="FF595959"/>
        <rFont val="WenQuanYi Zen Hei"/>
        <family val="2"/>
      </rPr>
      <t xml:space="preserve">턴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점유율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평균 단어</t>
    </r>
    <r>
      <rPr>
        <i val="true"/>
        <sz val="9"/>
        <color rgb="FF595959"/>
        <rFont val="Noto Sans CJK SC"/>
        <family val="2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턴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배율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낭독 속도는 가정값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파란 숫자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이며 수정하면 아래 표가 자동 갱신됩니다</t>
    </r>
    <r>
      <rPr>
        <i val="true"/>
        <sz val="9"/>
        <color rgb="FF595959"/>
        <rFont val="Noto Sans CJK SC"/>
        <family val="2"/>
        <charset val="1"/>
      </rPr>
      <t xml:space="preserve">. (</t>
    </r>
    <r>
      <rPr>
        <i val="true"/>
        <sz val="9"/>
        <color rgb="FF595959"/>
        <rFont val="WenQuanYi Zen Hei"/>
        <family val="2"/>
      </rPr>
      <t xml:space="preserve">현재 표는 </t>
    </r>
    <r>
      <rPr>
        <i val="true"/>
        <sz val="9"/>
        <color rgb="FF595959"/>
        <rFont val="Noto Sans CJK SC"/>
        <family val="2"/>
        <charset val="1"/>
      </rPr>
      <t xml:space="preserve">1~12</t>
    </r>
    <r>
      <rPr>
        <i val="true"/>
        <sz val="9"/>
        <color rgb="FF595959"/>
        <rFont val="WenQuanYi Zen Hei"/>
        <family val="2"/>
      </rPr>
      <t xml:space="preserve">부 열 기준 — </t>
    </r>
    <r>
      <rPr>
        <i val="true"/>
        <sz val="9"/>
        <color rgb="FF595959"/>
        <rFont val="Noto Sans CJK SC"/>
        <family val="2"/>
        <charset val="1"/>
      </rPr>
      <t xml:space="preserve">13</t>
    </r>
    <r>
      <rPr>
        <i val="true"/>
        <sz val="9"/>
        <color rgb="FF595959"/>
        <rFont val="WenQuanYi Zen Hei"/>
        <family val="2"/>
      </rPr>
      <t xml:space="preserve">부 열 추가는 미결</t>
    </r>
    <r>
      <rPr>
        <i val="true"/>
        <sz val="9"/>
        <color rgb="FF595959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</si>
  <si>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기본 설정</t>
    </r>
  </si>
  <si>
    <t xml:space="preserve">화당 대화 턴</t>
  </si>
  <si>
    <r>
      <rPr>
        <b val="true"/>
        <sz val="10"/>
        <rFont val="WenQuanYi Zen Hei"/>
        <family val="2"/>
      </rPr>
      <t xml:space="preserve">낭독 속도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단어</t>
    </r>
    <r>
      <rPr>
        <b val="true"/>
        <sz val="10"/>
        <rFont val="Noto Sans CJK SC"/>
        <family val="2"/>
        <charset val="1"/>
      </rPr>
      <t xml:space="preserve">/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Noto Sans CJK SC"/>
        <family val="2"/>
        <charset val="1"/>
      </rPr>
      <t xml:space="preserve">, </t>
    </r>
    <r>
      <rPr>
        <b val="true"/>
        <sz val="10"/>
        <rFont val="WenQuanYi Zen Hei"/>
        <family val="2"/>
      </rPr>
      <t xml:space="preserve">가정</t>
    </r>
    <r>
      <rPr>
        <b val="true"/>
        <sz val="10"/>
        <rFont val="Noto Sans CJK SC"/>
        <family val="2"/>
        <charset val="1"/>
      </rPr>
      <t xml:space="preserve">)</t>
    </r>
  </si>
  <si>
    <t xml:space="preserve">총 대화 턴</t>
  </si>
  <si>
    <t xml:space="preserve">턴 정의</t>
  </si>
  <si>
    <r>
      <rPr>
        <sz val="10"/>
        <rFont val="WenQuanYi Zen Hei"/>
        <family val="2"/>
      </rPr>
      <t xml:space="preserve">화자 표기 한 줄 </t>
    </r>
    <r>
      <rPr>
        <sz val="10"/>
        <rFont val="Noto Sans CJK SC"/>
        <family val="2"/>
        <charset val="1"/>
      </rPr>
      <t xml:space="preserve">= 1</t>
    </r>
    <r>
      <rPr>
        <sz val="10"/>
        <rFont val="WenQuanYi Zen Hei"/>
        <family val="2"/>
      </rPr>
      <t xml:space="preserve">턴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화자가 바뀌면 새 턴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연설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조항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기사 낭독처럼 긴 발화도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턴으로 센다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</si>
  <si>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부별 화자 점유율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턴 기준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각 부의 합 </t>
    </r>
    <r>
      <rPr>
        <b val="true"/>
        <sz val="10"/>
        <rFont val="Arial"/>
        <family val="0"/>
        <charset val="1"/>
      </rPr>
      <t xml:space="preserve">= 100%)</t>
    </r>
  </si>
  <si>
    <t xml:space="preserve">인물</t>
  </si>
  <si>
    <r>
      <rPr>
        <b val="true"/>
        <sz val="10"/>
        <color rgb="FFFFFFFF"/>
        <rFont val="WenQuanYi Zen Hei"/>
        <family val="2"/>
      </rPr>
      <t xml:space="preserve">평균
단어</t>
    </r>
    <r>
      <rPr>
        <b val="true"/>
        <sz val="10"/>
        <color rgb="FFFFFFFF"/>
        <rFont val="Noto Sans CJK SC"/>
        <family val="2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턴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</si>
  <si>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</si>
  <si>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</si>
  <si>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</si>
  <si>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</si>
  <si>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</si>
  <si>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</si>
  <si>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</si>
  <si>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</si>
  <si>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</si>
  <si>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</si>
  <si>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</si>
  <si>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</si>
  <si>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rFont val="WenQuanYi Zen Hei"/>
        <family val="2"/>
      </rPr>
      <t xml:space="preserve">엑스트라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가상</t>
    </r>
    <r>
      <rPr>
        <b val="true"/>
        <sz val="10"/>
        <rFont val="Noto Sans CJK SC"/>
        <family val="2"/>
        <charset val="1"/>
      </rPr>
      <t xml:space="preserve">)</t>
    </r>
  </si>
  <si>
    <t xml:space="preserve">검증</t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</si>
  <si>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부별 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단어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낭독 시간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수식</t>
    </r>
    <r>
      <rPr>
        <b val="true"/>
        <sz val="10"/>
        <rFont val="Arial"/>
        <family val="0"/>
        <charset val="1"/>
      </rPr>
      <t xml:space="preserve">)</t>
    </r>
  </si>
  <si>
    <t xml:space="preserve">부</t>
  </si>
  <si>
    <t xml:space="preserve">난이도
배율</t>
  </si>
  <si>
    <t xml:space="preserve">화당 턴</t>
  </si>
  <si>
    <t xml:space="preserve">부 총 턴</t>
  </si>
  <si>
    <t xml:space="preserve">화당
단어</t>
  </si>
  <si>
    <t xml:space="preserve">부 총
단어</t>
  </si>
  <si>
    <r>
      <rPr>
        <b val="true"/>
        <sz val="10"/>
        <color rgb="FFFFFFFF"/>
        <rFont val="WenQuanYi Zen Hei"/>
        <family val="2"/>
      </rPr>
      <t xml:space="preserve">화당 낭독
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</si>
  <si>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부 총 낭독
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시간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</si>
  <si>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</si>
  <si>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</si>
  <si>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</si>
  <si>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</si>
  <si>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</si>
  <si>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</si>
  <si>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</si>
  <si>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</si>
  <si>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</si>
  <si>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</si>
  <si>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</si>
  <si>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부</t>
    </r>
  </si>
  <si>
    <t xml:space="preserve">전체</t>
  </si>
  <si>
    <r>
      <rPr>
        <i val="true"/>
        <sz val="9"/>
        <color rgb="FF595959"/>
        <rFont val="WenQuanYi Zen Hei"/>
        <family val="2"/>
      </rPr>
      <t xml:space="preserve">※ 난이도 배율</t>
    </r>
    <r>
      <rPr>
        <i val="true"/>
        <sz val="9"/>
        <color rgb="FF595959"/>
        <rFont val="Noto Sans CJK SC"/>
        <family val="2"/>
        <charset val="1"/>
      </rPr>
      <t xml:space="preserve">: 1·12</t>
    </r>
    <r>
      <rPr>
        <i val="true"/>
        <sz val="9"/>
        <color rgb="FF595959"/>
        <rFont val="WenQuanYi Zen Hei"/>
        <family val="2"/>
      </rPr>
      <t xml:space="preserve">부</t>
    </r>
    <r>
      <rPr>
        <i val="true"/>
        <sz val="9"/>
        <color rgb="FF595959"/>
        <rFont val="Noto Sans CJK SC"/>
        <family val="2"/>
        <charset val="1"/>
      </rPr>
      <t xml:space="preserve">(B1~B2)</t>
    </r>
    <r>
      <rPr>
        <i val="true"/>
        <sz val="9"/>
        <color rgb="FF595959"/>
        <rFont val="WenQuanYi Zen Hei"/>
        <family val="2"/>
      </rPr>
      <t xml:space="preserve">는 짧게 </t>
    </r>
    <r>
      <rPr>
        <i val="true"/>
        <sz val="9"/>
        <color rgb="FF595959"/>
        <rFont val="Noto Sans CJK SC"/>
        <family val="2"/>
        <charset val="1"/>
      </rPr>
      <t xml:space="preserve">0.8, 10~11</t>
    </r>
    <r>
      <rPr>
        <i val="true"/>
        <sz val="9"/>
        <color rgb="FF595959"/>
        <rFont val="WenQuanYi Zen Hei"/>
        <family val="2"/>
      </rPr>
      <t xml:space="preserve">부</t>
    </r>
    <r>
      <rPr>
        <i val="true"/>
        <sz val="9"/>
        <color rgb="FF595959"/>
        <rFont val="Noto Sans CJK SC"/>
        <family val="2"/>
        <charset val="1"/>
      </rPr>
      <t xml:space="preserve">(C1~C2)</t>
    </r>
    <r>
      <rPr>
        <i val="true"/>
        <sz val="9"/>
        <color rgb="FF595959"/>
        <rFont val="WenQuanYi Zen Hei"/>
        <family val="2"/>
      </rPr>
      <t xml:space="preserve">는 길게 </t>
    </r>
    <r>
      <rPr>
        <i val="true"/>
        <sz val="9"/>
        <color rgb="FF595959"/>
        <rFont val="Noto Sans CJK SC"/>
        <family val="2"/>
        <charset val="1"/>
      </rPr>
      <t xml:space="preserve">1.2. </t>
    </r>
    <r>
      <rPr>
        <i val="true"/>
        <sz val="9"/>
        <color rgb="FF595959"/>
        <rFont val="WenQuanYi Zen Hei"/>
        <family val="2"/>
      </rPr>
      <t xml:space="preserve">화당 단어는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평균 단어</t>
    </r>
    <r>
      <rPr>
        <i val="true"/>
        <sz val="9"/>
        <color rgb="FF595959"/>
        <rFont val="Noto Sans CJK SC"/>
        <family val="2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턴 </t>
    </r>
    <r>
      <rPr>
        <i val="true"/>
        <sz val="9"/>
        <color rgb="FF595959"/>
        <rFont val="Noto Sans CJK SC"/>
        <family val="2"/>
        <charset val="1"/>
      </rPr>
      <t xml:space="preserve">× 120</t>
    </r>
    <r>
      <rPr>
        <i val="true"/>
        <sz val="9"/>
        <color rgb="FF595959"/>
        <rFont val="WenQuanYi Zen Hei"/>
        <family val="2"/>
      </rPr>
      <t xml:space="preserve">턴</t>
    </r>
    <r>
      <rPr>
        <i val="true"/>
        <sz val="9"/>
        <color rgb="FF595959"/>
        <rFont val="Noto Sans CJK SC"/>
        <family val="2"/>
        <charset val="1"/>
      </rPr>
      <t xml:space="preserve">', </t>
    </r>
    <r>
      <rPr>
        <i val="true"/>
        <sz val="9"/>
        <color rgb="FF595959"/>
        <rFont val="WenQuanYi Zen Hei"/>
        <family val="2"/>
      </rPr>
      <t xml:space="preserve">낭독 시간은 낭독 속도로 환산한 추정치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</si>
  <si>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화 유형별 턴 구성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WenQuanYi Zen Hei"/>
        <family val="2"/>
      </rPr>
      <t xml:space="preserve">화당 </t>
    </r>
    <r>
      <rPr>
        <b val="true"/>
        <sz val="10"/>
        <rFont val="Arial"/>
        <family val="0"/>
        <charset val="1"/>
      </rPr>
      <t xml:space="preserve">120</t>
    </r>
    <r>
      <rPr>
        <b val="true"/>
        <sz val="10"/>
        <rFont val="WenQuanYi Zen Hei"/>
        <family val="2"/>
      </rPr>
      <t xml:space="preserve">턴</t>
    </r>
    <r>
      <rPr>
        <b val="true"/>
        <sz val="10"/>
        <rFont val="Arial"/>
        <family val="0"/>
        <charset val="1"/>
      </rPr>
      <t xml:space="preserve">)</t>
    </r>
  </si>
  <si>
    <t xml:space="preserve">화 유형</t>
  </si>
  <si>
    <t xml:space="preserve">도입</t>
  </si>
  <si>
    <r>
      <rPr>
        <b val="true"/>
        <sz val="10"/>
        <color rgb="FFFFFFFF"/>
        <rFont val="WenQuanYi Zen Hei"/>
        <family val="2"/>
      </rPr>
      <t xml:space="preserve">장면 </t>
    </r>
    <r>
      <rPr>
        <b val="true"/>
        <sz val="10"/>
        <color rgb="FFFFFFFF"/>
        <rFont val="Noto Sans CJK SC"/>
        <family val="2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</si>
  <si>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장면 </t>
    </r>
    <r>
      <rPr>
        <b val="true"/>
        <sz val="10"/>
        <color rgb="FFFFFFFF"/>
        <rFont val="Noto Sans CJK SC"/>
        <family val="2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</si>
  <si>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절정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전환</t>
    </r>
  </si>
  <si>
    <t xml:space="preserve">마무리</t>
  </si>
  <si>
    <t xml:space="preserve">적용</t>
  </si>
  <si>
    <t xml:space="preserve">일반 화</t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</si>
  <si>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위기 화 대부분</t>
    </r>
  </si>
  <si>
    <t xml:space="preserve">프레임 화</t>
  </si>
  <si>
    <r>
      <rPr>
        <sz val="10"/>
        <rFont val="Arial"/>
        <family val="0"/>
        <charset val="1"/>
      </rPr>
      <t xml:space="preserve">2~5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1·5·9·12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금요일 프레임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마무리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 과거 장면</t>
    </r>
  </si>
  <si>
    <r>
      <rPr>
        <b val="true"/>
        <sz val="10"/>
        <rFont val="WenQuanYi Zen Hei"/>
        <family val="2"/>
      </rPr>
      <t xml:space="preserve">폭발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감정 정점 화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</si>
  <si>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등 인물의 감정이 터지는 화</t>
    </r>
  </si>
  <si>
    <r>
      <rPr>
        <b val="true"/>
        <sz val="10"/>
        <rFont val="WenQuanYi Zen Hei"/>
        <family val="2"/>
      </rPr>
      <t xml:space="preserve">표결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절차 화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</si>
  <si>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4·10</t>
    </r>
    <r>
      <rPr>
        <sz val="10"/>
        <rFont val="WenQuanYi Zen Hei"/>
        <family val="2"/>
      </rPr>
      <t xml:space="preserve">화 대선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결선 개표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탄핵 표결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선거법원장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하원의장의 결과 낭독 포함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</si>
  <si>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재난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추도 화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</si>
  <si>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(Dom Pedro </t>
    </r>
    <r>
      <rPr>
        <sz val="10"/>
        <rFont val="WenQuanYi Zen Hei"/>
        <family val="2"/>
      </rPr>
      <t xml:space="preserve">죽음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대홍수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</si>
  <si>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원형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회고 화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</si>
  <si>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1·11·12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: 1</t>
    </r>
    <r>
      <rPr>
        <sz val="10"/>
        <rFont val="WenQuanYi Zen Hei"/>
        <family val="2"/>
      </rPr>
      <t xml:space="preserve">부 대사를 되풀이하고 마무리를 길게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</si>
  <si>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집필 규칙</t>
    </r>
  </si>
  <si>
    <r>
      <rPr>
        <sz val="10"/>
        <rFont val="Arial"/>
        <family val="0"/>
        <charset val="1"/>
      </rPr>
      <t xml:space="preserve">1. 1</t>
    </r>
    <r>
      <rPr>
        <sz val="10"/>
        <rFont val="WenQuanYi Zen Hei"/>
        <family val="2"/>
      </rPr>
      <t xml:space="preserve">부는 한 턴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단어 이내를 지킨다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연설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카드처럼 긴 낭독은 예외로 두되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턴으로 세고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화당 최대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개까지만 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</si>
  <si>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지문이 없으므로 장소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행동을 알리는 턴이 화당 </t>
    </r>
    <r>
      <rPr>
        <sz val="10"/>
        <rFont val="Arial"/>
        <family val="0"/>
        <charset val="1"/>
      </rPr>
      <t xml:space="preserve">5~10</t>
    </r>
    <r>
      <rPr>
        <sz val="10"/>
        <rFont val="WenQuanYi Zen Hei"/>
        <family val="2"/>
      </rPr>
      <t xml:space="preserve">턴 필요하다 </t>
    </r>
    <r>
      <rPr>
        <sz val="10"/>
        <rFont val="Arial"/>
        <family val="0"/>
        <charset val="1"/>
      </rPr>
      <t xml:space="preserve">(Marta</t>
    </r>
    <r>
      <rPr>
        <sz val="10"/>
        <rFont val="WenQuanYi Zen Hei"/>
        <family val="2"/>
      </rPr>
      <t xml:space="preserve">의 시간 안내</t>
    </r>
    <r>
      <rPr>
        <sz val="10"/>
        <rFont val="Arial"/>
        <family val="0"/>
        <charset val="1"/>
      </rPr>
      <t xml:space="preserve">, Zumbi</t>
    </r>
    <r>
      <rPr>
        <sz val="10"/>
        <rFont val="WenQuanYi Zen Hei"/>
        <family val="2"/>
      </rPr>
      <t xml:space="preserve">의 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의장의 결과 낭독 등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</si>
  <si>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3. Larissa</t>
    </r>
    <r>
      <rPr>
        <sz val="10"/>
        <rFont val="WenQuanYi Zen Hei"/>
        <family val="2"/>
      </rPr>
      <t xml:space="preserve">의 질문 → 쉬운 재설명 짝은 화당 </t>
    </r>
    <r>
      <rPr>
        <sz val="10"/>
        <rFont val="Arial"/>
        <family val="0"/>
        <charset val="1"/>
      </rPr>
      <t xml:space="preserve">3~6</t>
    </r>
    <r>
      <rPr>
        <sz val="10"/>
        <rFont val="WenQuanYi Zen Hei"/>
        <family val="2"/>
      </rPr>
      <t xml:space="preserve">쌍</t>
    </r>
    <r>
      <rPr>
        <sz val="10"/>
        <rFont val="Arial"/>
        <family val="0"/>
        <charset val="1"/>
      </rPr>
      <t xml:space="preserve">(6~12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기본으로 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어려운 용어를 도입할 때 반드시 사용한다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</si>
  <si>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시그니처 표현은 화자당 </t>
    </r>
    <r>
      <rPr>
        <sz val="10"/>
        <rFont val="Arial"/>
        <family val="0"/>
        <charset val="1"/>
      </rPr>
      <t xml:space="preserve">1~2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. 120</t>
    </r>
    <r>
      <rPr>
        <sz val="10"/>
        <rFont val="WenQuanYi Zen Hei"/>
        <family val="2"/>
      </rPr>
      <t xml:space="preserve">턴 안에서 같은 시그니처가 반복되지 않게 배분한다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</si>
  <si>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화자 점유율은 턴 수 기준이다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처럼 턴은 많지만 짧게 말하는 인물은 평균 단어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턴을 낮게 잡았다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</si>
  <si>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6. </t>
    </r>
    <r>
      <rPr>
        <sz val="10"/>
        <rFont val="WenQuanYi Zen Hei"/>
        <family val="2"/>
      </rPr>
      <t xml:space="preserve">표의 파란 숫자는 가정값이다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1~3</t>
    </r>
    <r>
      <rPr>
        <sz val="10"/>
        <rFont val="WenQuanYi Zen Hei"/>
        <family val="2"/>
      </rPr>
      <t xml:space="preserve">화 대본을 쓴 뒤 실제 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단어 수를 재서 점유율과 평균 단어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턴을 교정한다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</si>
  <si>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1F3864"/>
        <rFont val="Arial"/>
        <family val="0"/>
        <charset val="1"/>
      </rPr>
      <t xml:space="preserve">13</t>
    </r>
    <r>
      <rPr>
        <b val="true"/>
        <sz val="14"/>
        <color rgb="FF1F3864"/>
        <rFont val="WenQuanYi Zen Hei"/>
        <family val="2"/>
      </rPr>
      <t xml:space="preserve">부 구성 </t>
    </r>
    <r>
      <rPr>
        <b val="true"/>
        <sz val="14"/>
        <color rgb="FF1F3864"/>
        <rFont val="Arial"/>
        <family val="0"/>
        <charset val="1"/>
      </rPr>
      <t xml:space="preserve">(13</t>
    </r>
    <r>
      <rPr>
        <b val="true"/>
        <sz val="14"/>
        <color rgb="FF1F3864"/>
        <rFont val="WenQuanYi Zen Hei"/>
        <family val="2"/>
      </rPr>
      <t xml:space="preserve">부 </t>
    </r>
    <r>
      <rPr>
        <b val="true"/>
        <sz val="14"/>
        <color rgb="FF1F3864"/>
        <rFont val="Arial"/>
        <family val="0"/>
        <charset val="1"/>
      </rPr>
      <t xml:space="preserve">× 12</t>
    </r>
    <r>
      <rPr>
        <b val="true"/>
        <sz val="14"/>
        <color rgb="FF1F3864"/>
        <rFont val="WenQuanYi Zen Hei"/>
        <family val="2"/>
      </rPr>
      <t xml:space="preserve">화 </t>
    </r>
    <r>
      <rPr>
        <b val="true"/>
        <sz val="14"/>
        <color rgb="FF1F3864"/>
        <rFont val="Arial"/>
        <family val="0"/>
        <charset val="1"/>
      </rPr>
      <t xml:space="preserve">= 156</t>
    </r>
    <r>
      <rPr>
        <b val="true"/>
        <sz val="14"/>
        <color rgb="FF1F3864"/>
        <rFont val="WenQuanYi Zen Hei"/>
        <family val="2"/>
      </rPr>
      <t xml:space="preserve">화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</si>
  <si>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정치 파트</t>
    </r>
    <r>
      <rPr>
        <i val="true"/>
        <sz val="9"/>
        <color rgb="FF595959"/>
        <rFont val="Noto Sans CJK SC"/>
        <family val="2"/>
        <charset val="1"/>
      </rPr>
      <t xml:space="preserve">(8~12</t>
    </r>
    <r>
      <rPr>
        <i val="true"/>
        <sz val="9"/>
        <color rgb="FF595959"/>
        <rFont val="WenQuanYi Zen Hei"/>
        <family val="2"/>
      </rPr>
      <t xml:space="preserve">부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는 브라질의 현실 정치 제도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대통령제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연방제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개방형 명부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에 맞춰 재설계했습니다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화별 목차는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화별목차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전체</t>
    </r>
    <r>
      <rPr>
        <i val="true"/>
        <sz val="9"/>
        <color rgb="FF595959"/>
        <rFont val="Noto Sans CJK SC"/>
        <family val="2"/>
        <charset val="1"/>
      </rPr>
      <t xml:space="preserve">', </t>
    </r>
    <r>
      <rPr>
        <i val="true"/>
        <sz val="9"/>
        <color rgb="FF595959"/>
        <rFont val="WenQuanYi Zen Hei"/>
        <family val="2"/>
      </rPr>
      <t xml:space="preserve">제도 근거는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정치제도</t>
    </r>
    <r>
      <rPr>
        <i val="true"/>
        <sz val="9"/>
        <color rgb="FF595959"/>
        <rFont val="Noto Sans CJK SC"/>
        <family val="2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시트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</si>
  <si>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제목 </t>
    </r>
    <r>
      <rPr>
        <b val="true"/>
        <sz val="10"/>
        <color rgb="FFFFFFFF"/>
        <rFont val="Noto Sans CJK SC"/>
        <family val="2"/>
        <charset val="1"/>
      </rPr>
      <t xml:space="preserve">(PT-BR)</t>
    </r>
  </si>
  <si>
    <t xml:space="preserve">한국어</t>
  </si>
  <si>
    <t xml:space="preserve">배경</t>
  </si>
  <si>
    <t xml:space="preserve">핵심 내용</t>
  </si>
  <si>
    <r>
      <rPr>
        <b val="true"/>
        <sz val="10"/>
        <color rgb="FFFFFFFF"/>
        <rFont val="WenQuanYi Zen Hei"/>
        <family val="2"/>
      </rPr>
      <t xml:space="preserve">난이도
</t>
    </r>
    <r>
      <rPr>
        <b val="true"/>
        <sz val="10"/>
        <color rgb="FFFFFFFF"/>
        <rFont val="Noto Sans CJK SC"/>
        <family val="2"/>
        <charset val="1"/>
      </rPr>
      <t xml:space="preserve">(CEFR)</t>
    </r>
  </si>
  <si>
    <r>
      <rPr>
        <b val="true"/>
        <sz val="10"/>
        <color rgb="FFFFFFFF"/>
        <rFont val="WenQuanYi Zen Hei"/>
        <family val="2"/>
      </rPr>
      <t xml:space="preserve">반영 제도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전문 영역</t>
    </r>
  </si>
  <si>
    <t xml:space="preserve">시점</t>
  </si>
  <si>
    <t xml:space="preserve">O Escritório do Bixiga</t>
  </si>
  <si>
    <t xml:space="preserve">비시가 사무소</t>
  </si>
  <si>
    <r>
      <rPr>
        <sz val="10"/>
        <rFont val="Arial"/>
        <family val="0"/>
        <charset val="1"/>
      </rPr>
      <t xml:space="preserve">Bixiga</t>
    </r>
    <r>
      <rPr>
        <sz val="10"/>
        <rFont val="WenQuanYi Zen Hei"/>
        <family val="2"/>
      </rPr>
      <t xml:space="preserve">의 작은 사무실 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층은 </t>
    </r>
    <r>
      <rPr>
        <sz val="10"/>
        <rFont val="Arial"/>
        <family val="0"/>
        <charset val="1"/>
      </rPr>
      <t xml:space="preserve">Bar da Marta), </t>
    </r>
    <r>
      <rPr>
        <sz val="10"/>
        <rFont val="WenQuanYi Zen Hei"/>
        <family val="2"/>
      </rPr>
      <t xml:space="preserve">개소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개월 후</t>
    </r>
  </si>
  <si>
    <r>
      <rPr>
        <sz val="10"/>
        <rFont val="WenQuanYi Zen Hei"/>
        <family val="2"/>
      </rPr>
      <t xml:space="preserve">이미 한 달째 좌충우돌 중인 팀이 이웃들의 사건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개를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화씩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도입→해결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풀어 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자기소개 대신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이 사람들이 어쩌다 이렇게 됐지</t>
    </r>
    <r>
      <rPr>
        <sz val="10"/>
        <rFont val="Noto Sans CJK SC"/>
        <family val="2"/>
        <charset val="1"/>
      </rPr>
      <t xml:space="preserve">?' </t>
    </r>
    <r>
      <rPr>
        <sz val="10"/>
        <rFont val="WenQuanYi Zen Hei"/>
        <family val="2"/>
      </rPr>
      <t xml:space="preserve">하는 궁금증</t>
    </r>
    <r>
      <rPr>
        <sz val="10"/>
        <rFont val="Noto Sans CJK SC"/>
        <family val="2"/>
        <charset val="1"/>
      </rPr>
      <t xml:space="preserve">(In medias res)</t>
    </r>
    <r>
      <rPr>
        <sz val="10"/>
        <rFont val="WenQuanYi Zen Hei"/>
        <family val="2"/>
      </rPr>
      <t xml:space="preserve">으로 시작</t>
    </r>
    <r>
      <rPr>
        <sz val="10"/>
        <rFont val="Noto Sans CJK SC"/>
        <family val="2"/>
        <charset val="1"/>
      </rPr>
      <t xml:space="preserve">.</t>
    </r>
  </si>
  <si>
    <t xml:space="preserve">B1</t>
  </si>
  <si>
    <r>
      <rPr>
        <sz val="10"/>
        <rFont val="WenQuanYi Zen Hei"/>
        <family val="2"/>
      </rPr>
      <t xml:space="preserve">생활 법률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노동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금융 기초 어휘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임대차법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인턴법</t>
    </r>
    <r>
      <rPr>
        <sz val="10"/>
        <rFont val="Noto Sans CJK SC"/>
        <family val="2"/>
        <charset val="1"/>
      </rPr>
      <t xml:space="preserve">, SUS, Pix), </t>
    </r>
    <r>
      <rPr>
        <sz val="10"/>
        <rFont val="WenQuanYi Zen Hei"/>
        <family val="2"/>
      </rPr>
      <t xml:space="preserve">반복되는 말다툼</t>
    </r>
    <r>
      <rPr>
        <sz val="10"/>
        <rFont val="Noto Sans CJK SC"/>
        <family val="2"/>
        <charset val="1"/>
      </rPr>
      <t xml:space="preserve">, Larissa 1</t>
    </r>
    <r>
      <rPr>
        <sz val="10"/>
        <rFont val="WenQuanYi Zen Hei"/>
        <family val="2"/>
      </rPr>
      <t xml:space="preserve">차 폭발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</si>
  <si>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현재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개소 후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개월</t>
    </r>
    <r>
      <rPr>
        <sz val="10"/>
        <rFont val="Noto Sans CJK SC"/>
        <family val="2"/>
        <charset val="1"/>
      </rPr>
      <t xml:space="preserve">)</t>
    </r>
  </si>
  <si>
    <t xml:space="preserve">O Advogado</t>
  </si>
  <si>
    <t xml:space="preserve">변호사</t>
  </si>
  <si>
    <r>
      <rPr>
        <sz val="10"/>
        <rFont val="Arial"/>
        <family val="0"/>
        <charset val="1"/>
      </rPr>
      <t xml:space="preserve">Avenida Faria Lima</t>
    </r>
    <r>
      <rPr>
        <sz val="10"/>
        <rFont val="WenQuanYi Zen Hei"/>
        <family val="2"/>
      </rPr>
      <t xml:space="preserve">의 대형 로펌</t>
    </r>
  </si>
  <si>
    <r>
      <rPr>
        <sz val="10"/>
        <rFont val="WenQuanYi Zen Hei"/>
        <family val="2"/>
      </rPr>
      <t xml:space="preserve">승소율 </t>
    </r>
    <r>
      <rPr>
        <sz val="10"/>
        <rFont val="Noto Sans CJK SC"/>
        <family val="2"/>
        <charset val="1"/>
      </rPr>
      <t xml:space="preserve">100%</t>
    </r>
    <r>
      <rPr>
        <sz val="10"/>
        <rFont val="WenQuanYi Zen Hei"/>
        <family val="2"/>
      </rPr>
      <t xml:space="preserve">의 이면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강제 퇴거 사건이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의 결핍이 된다</t>
    </r>
    <r>
      <rPr>
        <sz val="10"/>
        <rFont val="Noto Sans CJK SC"/>
        <family val="2"/>
        <charset val="1"/>
      </rPr>
      <t xml:space="preserve">.</t>
    </r>
  </si>
  <si>
    <t xml:space="preserve">B2~C1</t>
  </si>
  <si>
    <r>
      <rPr>
        <sz val="10"/>
        <rFont val="WenQuanYi Zen Hei"/>
        <family val="2"/>
      </rPr>
      <t xml:space="preserve">민사소송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퇴거 절차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임대차법</t>
    </r>
    <r>
      <rPr>
        <sz val="10"/>
        <rFont val="Noto Sans CJK SC"/>
        <family val="2"/>
        <charset val="1"/>
      </rPr>
      <t xml:space="preserve">·CPC), </t>
    </r>
    <r>
      <rPr>
        <sz val="10"/>
        <rFont val="WenQuanYi Zen Hei"/>
        <family val="2"/>
      </rPr>
      <t xml:space="preserve">부동산 등기</t>
    </r>
  </si>
  <si>
    <t xml:space="preserve">과거</t>
  </si>
  <si>
    <t xml:space="preserve">A Médica</t>
  </si>
  <si>
    <t xml:space="preserve">의사</t>
  </si>
  <si>
    <r>
      <rPr>
        <sz val="10"/>
        <rFont val="Arial"/>
        <family val="0"/>
        <charset val="1"/>
      </rPr>
      <t xml:space="preserve">Hospital Municipal São Bartolomeu </t>
    </r>
    <r>
      <rPr>
        <sz val="10"/>
        <rFont val="WenQuanYi Zen Hei"/>
        <family val="2"/>
      </rPr>
      <t xml:space="preserve">응급실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, OSS </t>
    </r>
    <r>
      <rPr>
        <sz val="10"/>
        <rFont val="WenQuanYi Zen Hei"/>
        <family val="2"/>
      </rPr>
      <t xml:space="preserve">위탁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</si>
  <si>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예산 삭감과 위탁 운영 압박 속에서 치료받지 못하는 환자들</t>
    </r>
    <r>
      <rPr>
        <sz val="10"/>
        <rFont val="Noto Sans CJK SC"/>
        <family val="2"/>
        <charset val="1"/>
      </rPr>
      <t xml:space="preserve">. Camila</t>
    </r>
    <r>
      <rPr>
        <sz val="10"/>
        <rFont val="WenQuanYi Zen Hei"/>
        <family val="2"/>
      </rPr>
      <t xml:space="preserve">의 이름 목록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</si>
  <si>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응급의학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보건행정</t>
    </r>
    <r>
      <rPr>
        <sz val="10"/>
        <rFont val="Noto Sans CJK SC"/>
        <family val="2"/>
        <charset val="1"/>
      </rPr>
      <t xml:space="preserve">, SUS</t>
    </r>
    <r>
      <rPr>
        <sz val="10"/>
        <rFont val="WenQuanYi Zen Hei"/>
        <family val="2"/>
      </rPr>
      <t xml:space="preserve">와 시 보건국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사회조직 위탁 운영</t>
    </r>
    <r>
      <rPr>
        <sz val="10"/>
        <rFont val="Noto Sans CJK SC"/>
        <family val="2"/>
        <charset val="1"/>
      </rPr>
      <t xml:space="preserve">(OSS)</t>
    </r>
  </si>
  <si>
    <t xml:space="preserve">O Auditor</t>
  </si>
  <si>
    <t xml:space="preserve">회계사</t>
  </si>
  <si>
    <r>
      <rPr>
        <sz val="10"/>
        <rFont val="Arial"/>
        <family val="0"/>
        <charset val="1"/>
      </rPr>
      <t xml:space="preserve">Barros &amp; Teixeira Auditores 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</si>
  <si>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역외 펀드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자금세탁 정황을 발견하지만 조직의 묵인 압박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서명하지 않겠다는 다짐의 기원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</si>
  <si>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감사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세무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자금세탁방지법</t>
    </r>
    <r>
      <rPr>
        <sz val="10"/>
        <rFont val="Noto Sans CJK SC"/>
        <family val="2"/>
        <charset val="1"/>
      </rPr>
      <t xml:space="preserve">(Lei 9.613/1998), </t>
    </r>
    <r>
      <rPr>
        <sz val="10"/>
        <rFont val="WenQuanYi Zen Hei"/>
        <family val="2"/>
      </rPr>
      <t xml:space="preserve">감사인 순환</t>
    </r>
    <r>
      <rPr>
        <sz val="10"/>
        <rFont val="Noto Sans CJK SC"/>
        <family val="2"/>
        <charset val="1"/>
      </rPr>
      <t xml:space="preserve">(CVM)</t>
    </r>
  </si>
  <si>
    <t xml:space="preserve">A Consultora</t>
  </si>
  <si>
    <t xml:space="preserve">컨설턴트</t>
  </si>
  <si>
    <r>
      <rPr>
        <sz val="10"/>
        <rFont val="Arial"/>
        <family val="0"/>
        <charset val="1"/>
      </rPr>
      <t xml:space="preserve">Zênite Consultoria 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Faria Lima 32</t>
    </r>
    <r>
      <rPr>
        <sz val="10"/>
        <rFont val="WenQuanYi Zen Hei"/>
        <family val="2"/>
      </rPr>
      <t xml:space="preserve">층</t>
    </r>
  </si>
  <si>
    <r>
      <rPr>
        <sz val="10"/>
        <rFont val="WenQuanYi Zen Hei"/>
        <family val="2"/>
      </rPr>
      <t xml:space="preserve">구조조정 스프레드시트 한 칸이 수백 명의 실직이었음을 깨닫는다</t>
    </r>
    <r>
      <rPr>
        <sz val="10"/>
        <rFont val="Noto Sans CJK SC"/>
        <family val="2"/>
        <charset val="1"/>
      </rPr>
      <t xml:space="preserve">. Edson</t>
    </r>
    <r>
      <rPr>
        <sz val="10"/>
        <rFont val="WenQuanYi Zen Hei"/>
        <family val="2"/>
      </rPr>
      <t xml:space="preserve">과의 첫 접점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</si>
  <si>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경영 전략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대량 해고와 사전 노조 협상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노동법</t>
    </r>
    <r>
      <rPr>
        <sz val="10"/>
        <rFont val="Noto Sans CJK SC"/>
        <family val="2"/>
        <charset val="1"/>
      </rPr>
      <t xml:space="preserve">(CLT)</t>
    </r>
  </si>
  <si>
    <t xml:space="preserve">O Encontro</t>
  </si>
  <si>
    <t xml:space="preserve">운명적 만남</t>
  </si>
  <si>
    <r>
      <rPr>
        <sz val="10"/>
        <rFont val="Arial"/>
        <family val="0"/>
        <charset val="1"/>
      </rPr>
      <t xml:space="preserve">Brás</t>
    </r>
    <r>
      <rPr>
        <sz val="10"/>
        <rFont val="WenQuanYi Zen Hei"/>
        <family val="2"/>
      </rPr>
      <t xml:space="preserve">의 낡은 임대 건물 </t>
    </r>
    <r>
      <rPr>
        <sz val="10"/>
        <rFont val="Arial"/>
        <family val="0"/>
        <charset val="1"/>
      </rPr>
      <t xml:space="preserve">'14</t>
    </r>
    <r>
      <rPr>
        <sz val="10"/>
        <rFont val="WenQuanYi Zen Hei"/>
        <family val="2"/>
      </rPr>
      <t xml:space="preserve">번 블록</t>
    </r>
    <r>
      <rPr>
        <sz val="10"/>
        <rFont val="Arial"/>
        <family val="0"/>
        <charset val="1"/>
      </rPr>
      <t xml:space="preserve">', </t>
    </r>
    <r>
      <rPr>
        <sz val="10"/>
        <rFont val="WenQuanYi Zen Hei"/>
        <family val="2"/>
      </rPr>
      <t xml:space="preserve">작은 바</t>
    </r>
  </si>
  <si>
    <r>
      <rPr>
        <sz val="10"/>
        <rFont val="WenQuanYi Zen Hei"/>
        <family val="2"/>
      </rPr>
      <t xml:space="preserve">강제 퇴거와 의료 방치가 한 건으로 얽힌 사건에서 네 사람이 만나 사무소를 차리기로 한다</t>
    </r>
    <r>
      <rPr>
        <sz val="10"/>
        <rFont val="Noto Sans CJK SC"/>
        <family val="2"/>
        <charset val="1"/>
      </rPr>
      <t xml:space="preserve">.</t>
    </r>
  </si>
  <si>
    <t xml:space="preserve">B2</t>
  </si>
  <si>
    <r>
      <rPr>
        <sz val="10"/>
        <rFont val="WenQuanYi Zen Hei"/>
        <family val="2"/>
      </rPr>
      <t xml:space="preserve">협상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설득 구어체</t>
    </r>
  </si>
  <si>
    <t xml:space="preserve">현재로 수렴</t>
  </si>
  <si>
    <t xml:space="preserve">A Rede de Resistência</t>
  </si>
  <si>
    <r>
      <rPr>
        <sz val="10"/>
        <rFont val="WenQuanYi Zen Hei"/>
        <family val="2"/>
      </rPr>
      <t xml:space="preserve">사무소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탄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전면전</t>
    </r>
  </si>
  <si>
    <r>
      <rPr>
        <sz val="10"/>
        <rFont val="WenQuanYi Zen Hei"/>
        <family val="2"/>
      </rPr>
      <t xml:space="preserve">법원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시청 앞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상파울루 전역</t>
    </r>
  </si>
  <si>
    <r>
      <rPr>
        <sz val="10"/>
        <rFont val="WenQuanYi Zen Hei"/>
        <family val="2"/>
      </rPr>
      <t xml:space="preserve">부당 해고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의료 사고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탈세 대기업 상대 집단 대응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내부 제보자를 보호하고 공익소송과 검찰 고발로 맞선다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</si>
  <si>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공익소송</t>
    </r>
    <r>
      <rPr>
        <sz val="10"/>
        <rFont val="Arial"/>
        <family val="0"/>
        <charset val="1"/>
      </rPr>
      <t xml:space="preserve">(ação civil pública), </t>
    </r>
    <r>
      <rPr>
        <sz val="10"/>
        <rFont val="WenQuanYi Zen Hei"/>
        <family val="2"/>
      </rPr>
      <t xml:space="preserve">연방검찰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내부고발자 보호</t>
    </r>
    <r>
      <rPr>
        <sz val="10"/>
        <rFont val="Arial"/>
        <family val="0"/>
        <charset val="1"/>
      </rPr>
      <t xml:space="preserve">(Lei 13.608/2018), </t>
    </r>
    <r>
      <rPr>
        <sz val="10"/>
        <rFont val="WenQuanYi Zen Hei"/>
        <family val="2"/>
      </rPr>
      <t xml:space="preserve">위법 수집 증거</t>
    </r>
  </si>
  <si>
    <t xml:space="preserve">과거→현재</t>
  </si>
  <si>
    <t xml:space="preserve">O Despertar Cívico</t>
  </si>
  <si>
    <t xml:space="preserve">정치적 각성과 창당</t>
  </si>
  <si>
    <r>
      <rPr>
        <sz val="10"/>
        <rFont val="Arial"/>
        <family val="0"/>
        <charset val="1"/>
      </rPr>
      <t xml:space="preserve">Avenida Paulista(MASP </t>
    </r>
    <r>
      <rPr>
        <sz val="10"/>
        <rFont val="WenQuanYi Zen Hei"/>
        <family val="2"/>
      </rPr>
      <t xml:space="preserve">앞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시민 집회</t>
    </r>
  </si>
  <si>
    <r>
      <rPr>
        <sz val="10"/>
        <rFont val="WenQuanYi Zen Hei"/>
        <family val="2"/>
      </rPr>
      <t xml:space="preserve">국민발안이 좌초하자 스스로 정당 </t>
    </r>
    <r>
      <rPr>
        <sz val="10"/>
        <rFont val="Noto Sans CJK SC"/>
        <family val="2"/>
        <charset val="1"/>
      </rPr>
      <t xml:space="preserve">«Casa Comum»</t>
    </r>
    <r>
      <rPr>
        <sz val="10"/>
        <rFont val="WenQuanYi Zen Hei"/>
        <family val="2"/>
      </rPr>
      <t xml:space="preserve">을 창당해 첫 시장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시의원 선거에 나선다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</si>
  <si>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집회 사전 통지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국민발안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정당 창당</t>
    </r>
    <r>
      <rPr>
        <sz val="10"/>
        <rFont val="Noto Sans CJK SC"/>
        <family val="2"/>
        <charset val="1"/>
      </rPr>
      <t xml:space="preserve">·TSE </t>
    </r>
    <r>
      <rPr>
        <sz val="10"/>
        <rFont val="WenQuanYi Zen Hei"/>
        <family val="2"/>
      </rPr>
      <t xml:space="preserve">등록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정당 재정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개방형 명부 선거</t>
    </r>
  </si>
  <si>
    <t xml:space="preserve">정치</t>
  </si>
  <si>
    <t xml:space="preserve">Na Câmara Municipal</t>
  </si>
  <si>
    <t xml:space="preserve">시의회</t>
  </si>
  <si>
    <r>
      <rPr>
        <sz val="10"/>
        <rFont val="Arial"/>
        <family val="0"/>
        <charset val="1"/>
      </rPr>
      <t xml:space="preserve">Palácio Anchieta(</t>
    </r>
    <r>
      <rPr>
        <sz val="10"/>
        <rFont val="WenQuanYi Zen Hei"/>
        <family val="2"/>
      </rPr>
      <t xml:space="preserve">상파울루 시의회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당사</t>
    </r>
  </si>
  <si>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는 재정위원회에서 예산을</t>
    </r>
    <r>
      <rPr>
        <sz val="10"/>
        <rFont val="Arial"/>
        <family val="0"/>
        <charset val="1"/>
      </rPr>
      <t xml:space="preserve">, Camila</t>
    </r>
    <r>
      <rPr>
        <sz val="10"/>
        <rFont val="WenQuanYi Zen Hei"/>
        <family val="2"/>
      </rPr>
      <t xml:space="preserve">는 보건위원회에서 위탁 계약을 파고든다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스캔들 폭로와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폭발</t>
    </r>
    <r>
      <rPr>
        <sz val="10"/>
        <rFont val="Arial"/>
        <family val="0"/>
        <charset val="1"/>
      </rPr>
      <t xml:space="preserve">.</t>
    </r>
  </si>
  <si>
    <t xml:space="preserve">C1</t>
  </si>
  <si>
    <r>
      <rPr>
        <sz val="10"/>
        <rFont val="WenQuanYi Zen Hei"/>
        <family val="2"/>
      </rPr>
      <t xml:space="preserve">본회의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위원회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 예산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공공조달법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 감사원</t>
    </r>
    <r>
      <rPr>
        <sz val="10"/>
        <rFont val="Arial"/>
        <family val="0"/>
        <charset val="1"/>
      </rPr>
      <t xml:space="preserve">, CPI, </t>
    </r>
    <r>
      <rPr>
        <sz val="10"/>
        <rFont val="WenQuanYi Zen Hei"/>
        <family val="2"/>
      </rPr>
      <t xml:space="preserve">시민소송</t>
    </r>
  </si>
  <si>
    <t xml:space="preserve">Rumo ao Planalto</t>
  </si>
  <si>
    <t xml:space="preserve">대선에서 대통령 취임까지</t>
  </si>
  <si>
    <r>
      <rPr>
        <sz val="10"/>
        <rFont val="WenQuanYi Zen Hei"/>
        <family val="2"/>
      </rPr>
      <t xml:space="preserve">전국 유세 → 상파울루 개표의 밤 → 브라질리아 </t>
    </r>
    <r>
      <rPr>
        <sz val="10"/>
        <rFont val="Arial"/>
        <family val="0"/>
        <charset val="1"/>
      </rPr>
      <t xml:space="preserve">Congresso Nacional·Palácio do Planalto</t>
    </r>
  </si>
  <si>
    <r>
      <rPr>
        <sz val="10"/>
        <rFont val="WenQuanYi Zen Hei"/>
        <family val="2"/>
      </rPr>
      <t xml:space="preserve">전당대회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후보 등록</t>
    </r>
    <r>
      <rPr>
        <sz val="10"/>
        <rFont val="Noto Sans CJK SC"/>
        <family val="2"/>
        <charset val="1"/>
      </rPr>
      <t xml:space="preserve">·45</t>
    </r>
    <r>
      <rPr>
        <sz val="10"/>
        <rFont val="WenQuanYi Zen Hei"/>
        <family val="2"/>
      </rPr>
      <t xml:space="preserve">일 유세</t>
    </r>
    <r>
      <rPr>
        <sz val="10"/>
        <rFont val="Noto Sans CJK SC"/>
        <family val="2"/>
        <charset val="1"/>
      </rPr>
      <t xml:space="preserve">·TV </t>
    </r>
    <r>
      <rPr>
        <sz val="10"/>
        <rFont val="WenQuanYi Zen Hei"/>
        <family val="2"/>
      </rPr>
      <t xml:space="preserve">토론</t>
    </r>
    <r>
      <rPr>
        <sz val="10"/>
        <rFont val="Noto Sans CJK SC"/>
        <family val="2"/>
        <charset val="1"/>
      </rPr>
      <t xml:space="preserve">·1</t>
    </r>
    <r>
      <rPr>
        <sz val="10"/>
        <rFont val="WenQuanYi Zen Hei"/>
        <family val="2"/>
      </rPr>
      <t xml:space="preserve">차 투표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결선 지지 협상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딥페이크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결선 역전</t>
    </r>
    <r>
      <rPr>
        <sz val="10"/>
        <rFont val="Noto Sans CJK SC"/>
        <family val="2"/>
        <charset val="1"/>
      </rPr>
      <t xml:space="preserve">·1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일 취임</t>
    </r>
    <r>
      <rPr>
        <sz val="10"/>
        <rFont val="Noto Sans CJK SC"/>
        <family val="2"/>
        <charset val="1"/>
      </rPr>
      <t xml:space="preserve">.</t>
    </r>
  </si>
  <si>
    <t xml:space="preserve">C1~C2</t>
  </si>
  <si>
    <r>
      <rPr>
        <sz val="10"/>
        <rFont val="WenQuanYi Zen Hei"/>
        <family val="2"/>
      </rPr>
      <t xml:space="preserve">대통령 선거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77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무료 선거방송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딥페이크 금지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정권 인수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취임 선서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78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</si>
  <si>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t xml:space="preserve">A Grande Batalha Social I</t>
  </si>
  <si>
    <r>
      <rPr>
        <sz val="10"/>
        <rFont val="WenQuanYi Zen Hei"/>
        <family val="2"/>
      </rPr>
      <t xml:space="preserve">사회 현안 전투 </t>
    </r>
    <r>
      <rPr>
        <sz val="10"/>
        <rFont val="Noto Sans CJK SC"/>
        <family val="2"/>
        <charset val="1"/>
      </rPr>
      <t xml:space="preserve">I</t>
    </r>
  </si>
  <si>
    <r>
      <rPr>
        <sz val="10"/>
        <rFont val="WenQuanYi Zen Hei"/>
        <family val="2"/>
      </rPr>
      <t xml:space="preserve">브라질리아</t>
    </r>
    <r>
      <rPr>
        <sz val="10"/>
        <rFont val="Arial"/>
        <family val="0"/>
        <charset val="1"/>
      </rPr>
      <t xml:space="preserve">(Planalto·</t>
    </r>
    <r>
      <rPr>
        <sz val="10"/>
        <rFont val="WenQuanYi Zen Hei"/>
        <family val="2"/>
      </rPr>
      <t xml:space="preserve">에스플라나다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상파울루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주말의 식탁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브뤼셀</t>
    </r>
  </si>
  <si>
    <r>
      <rPr>
        <sz val="10"/>
        <rFont val="WenQuanYi Zen Hei"/>
        <family val="2"/>
      </rPr>
      <t xml:space="preserve">연립 정부로 주거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물가 국내 현안을 돌파한 뒤</t>
    </r>
    <r>
      <rPr>
        <sz val="10"/>
        <rFont val="Noto Sans CJK SC"/>
        <family val="2"/>
        <charset val="1"/>
      </rPr>
      <t xml:space="preserve">, Dom Pedro</t>
    </r>
    <r>
      <rPr>
        <sz val="10"/>
        <rFont val="WenQuanYi Zen Hei"/>
        <family val="2"/>
      </rPr>
      <t xml:space="preserve">가 직접 브뤼셀 협상</t>
    </r>
    <r>
      <rPr>
        <sz val="10"/>
        <rFont val="Noto Sans CJK SC"/>
        <family val="2"/>
        <charset val="1"/>
      </rPr>
      <t xml:space="preserve">(Mercosul–EU </t>
    </r>
    <r>
      <rPr>
        <sz val="10"/>
        <rFont val="WenQuanYi Zen Hei"/>
        <family val="2"/>
      </rPr>
      <t xml:space="preserve">협정</t>
    </r>
    <r>
      <rPr>
        <sz val="10"/>
        <rFont val="Noto Sans CJK SC"/>
        <family val="2"/>
        <charset val="1"/>
      </rPr>
      <t xml:space="preserve">·EUDR)</t>
    </r>
    <r>
      <rPr>
        <sz val="10"/>
        <rFont val="WenQuanYi Zen Hei"/>
        <family val="2"/>
      </rPr>
      <t xml:space="preserve">에 나서 승리하고 귀국 직후 사망한다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</si>
  <si>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장관회의</t>
    </r>
    <r>
      <rPr>
        <sz val="10"/>
        <rFont val="Arial"/>
        <family val="0"/>
        <charset val="1"/>
      </rPr>
      <t xml:space="preserve">, SUS 3</t>
    </r>
    <r>
      <rPr>
        <sz val="10"/>
        <rFont val="WenQuanYi Zen Hei"/>
        <family val="2"/>
      </rPr>
      <t xml:space="preserve">자 협의체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임시조치의 세금 제한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조약 체결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비준</t>
    </r>
    <r>
      <rPr>
        <sz val="10"/>
        <rFont val="Arial"/>
        <family val="0"/>
        <charset val="1"/>
      </rPr>
      <t xml:space="preserve">, Mercosul–EU·EUDR</t>
    </r>
  </si>
  <si>
    <t xml:space="preserve">A Grande Batalha Social II</t>
  </si>
  <si>
    <r>
      <rPr>
        <sz val="10"/>
        <rFont val="WenQuanYi Zen Hei"/>
        <family val="2"/>
      </rPr>
      <t xml:space="preserve">사회 현안 전투 </t>
    </r>
    <r>
      <rPr>
        <sz val="10"/>
        <rFont val="Noto Sans CJK SC"/>
        <family val="2"/>
        <charset val="1"/>
      </rPr>
      <t xml:space="preserve">II</t>
    </r>
  </si>
  <si>
    <r>
      <rPr>
        <sz val="10"/>
        <rFont val="WenQuanYi Zen Hei"/>
        <family val="2"/>
      </rPr>
      <t xml:space="preserve">브라질리아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상파울루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브뤼셀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남부 홍수 현장</t>
    </r>
  </si>
  <si>
    <r>
      <rPr>
        <sz val="10"/>
        <rFont val="WenQuanYi Zen Hei"/>
        <family val="2"/>
      </rPr>
      <t xml:space="preserve">장례식으로 열고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의 유작 메모로 브뤼셀 후속 협상을 마무리한다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앱 노동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정보기관 사찰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 정신건강과 온라인 도박 등 새 현안과 탄핵 청구 방어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대홍수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예산안까지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</si>
  <si>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메모 승계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정보청 통제</t>
    </r>
    <r>
      <rPr>
        <sz val="10"/>
        <rFont val="Noto Sans CJK SC"/>
        <family val="2"/>
        <charset val="1"/>
      </rPr>
      <t xml:space="preserve">(CCAI), </t>
    </r>
    <r>
      <rPr>
        <sz val="10"/>
        <rFont val="WenQuanYi Zen Hei"/>
        <family val="2"/>
      </rPr>
      <t xml:space="preserve">탄핵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85·86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민방위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공공재난사태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재정규칙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예산</t>
    </r>
  </si>
  <si>
    <t xml:space="preserve">De Volta ao Bixiga</t>
  </si>
  <si>
    <t xml:space="preserve">귀환</t>
  </si>
  <si>
    <t xml:space="preserve">Bixiga, Bar da Marta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</si>
  <si>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화와 같은 대사로 시작해 원을 닫는다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의 유언장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새 인턴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이제 설명하는 쪽이 된 </t>
    </r>
    <r>
      <rPr>
        <sz val="10"/>
        <rFont val="Arial"/>
        <family val="0"/>
        <charset val="1"/>
      </rPr>
      <t xml:space="preserve">Larissa.</t>
    </r>
  </si>
  <si>
    <t xml:space="preserve">B1~B2</t>
  </si>
  <si>
    <r>
      <rPr>
        <sz val="10"/>
        <rFont val="WenQuanYi Zen Hei"/>
        <family val="2"/>
      </rPr>
      <t xml:space="preserve">공정증서 유언</t>
    </r>
    <r>
      <rPr>
        <sz val="10"/>
        <rFont val="Noto Sans CJK SC"/>
        <family val="2"/>
        <charset val="1"/>
      </rPr>
      <t xml:space="preserve">(cartório, testamenteiro), </t>
    </r>
    <r>
      <rPr>
        <sz val="10"/>
        <rFont val="WenQuanYi Zen Hei"/>
        <family val="2"/>
      </rPr>
      <t xml:space="preserve">공직자 이해충돌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재단 전환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원형 구조</t>
    </r>
  </si>
  <si>
    <r>
      <rPr>
        <i val="true"/>
        <sz val="9"/>
        <color rgb="FF595959"/>
        <rFont val="WenQuanYi Zen Hei"/>
        <family val="2"/>
      </rPr>
      <t xml:space="preserve">흐름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현재</t>
    </r>
    <r>
      <rPr>
        <i val="true"/>
        <sz val="9"/>
        <color rgb="FF595959"/>
        <rFont val="Noto Sans CJK SC"/>
        <family val="2"/>
        <charset val="1"/>
      </rPr>
      <t xml:space="preserve">(1) → </t>
    </r>
    <r>
      <rPr>
        <i val="true"/>
        <sz val="9"/>
        <color rgb="FF595959"/>
        <rFont val="WenQuanYi Zen Hei"/>
        <family val="2"/>
      </rPr>
      <t xml:space="preserve">과거</t>
    </r>
    <r>
      <rPr>
        <i val="true"/>
        <sz val="9"/>
        <color rgb="FF595959"/>
        <rFont val="Noto Sans CJK SC"/>
        <family val="2"/>
        <charset val="1"/>
      </rPr>
      <t xml:space="preserve">(2~5) → </t>
    </r>
    <r>
      <rPr>
        <i val="true"/>
        <sz val="9"/>
        <color rgb="FF595959"/>
        <rFont val="WenQuanYi Zen Hei"/>
        <family val="2"/>
      </rPr>
      <t xml:space="preserve">교차</t>
    </r>
    <r>
      <rPr>
        <i val="true"/>
        <sz val="9"/>
        <color rgb="FF595959"/>
        <rFont val="Noto Sans CJK SC"/>
        <family val="2"/>
        <charset val="1"/>
      </rPr>
      <t xml:space="preserve">(6) → </t>
    </r>
    <r>
      <rPr>
        <i val="true"/>
        <sz val="9"/>
        <color rgb="FF595959"/>
        <rFont val="WenQuanYi Zen Hei"/>
        <family val="2"/>
      </rPr>
      <t xml:space="preserve">전면전</t>
    </r>
    <r>
      <rPr>
        <i val="true"/>
        <sz val="9"/>
        <color rgb="FF595959"/>
        <rFont val="Noto Sans CJK SC"/>
        <family val="2"/>
        <charset val="1"/>
      </rPr>
      <t xml:space="preserve">(7) → </t>
    </r>
    <r>
      <rPr>
        <i val="true"/>
        <sz val="9"/>
        <color rgb="FF595959"/>
        <rFont val="WenQuanYi Zen Hei"/>
        <family val="2"/>
      </rPr>
      <t xml:space="preserve">정치</t>
    </r>
    <r>
      <rPr>
        <i val="true"/>
        <sz val="9"/>
        <color rgb="FF595959"/>
        <rFont val="Noto Sans CJK SC"/>
        <family val="2"/>
        <charset val="1"/>
      </rPr>
      <t xml:space="preserve">(8 </t>
    </r>
    <r>
      <rPr>
        <i val="true"/>
        <sz val="9"/>
        <color rgb="FF595959"/>
        <rFont val="WenQuanYi Zen Hei"/>
        <family val="2"/>
      </rPr>
      <t xml:space="preserve">창당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시장</t>
    </r>
    <r>
      <rPr>
        <i val="true"/>
        <sz val="9"/>
        <color rgb="FF595959"/>
        <rFont val="Noto Sans CJK SC"/>
        <family val="2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시의원 선거 → </t>
    </r>
    <r>
      <rPr>
        <i val="true"/>
        <sz val="9"/>
        <color rgb="FF595959"/>
        <rFont val="Noto Sans CJK SC"/>
        <family val="2"/>
        <charset val="1"/>
      </rPr>
      <t xml:space="preserve">9 </t>
    </r>
    <r>
      <rPr>
        <i val="true"/>
        <sz val="9"/>
        <color rgb="FF595959"/>
        <rFont val="WenQuanYi Zen Hei"/>
        <family val="2"/>
      </rPr>
      <t xml:space="preserve">시의회 → </t>
    </r>
    <r>
      <rPr>
        <i val="true"/>
        <sz val="9"/>
        <color rgb="FF595959"/>
        <rFont val="Noto Sans CJK SC"/>
        <family val="2"/>
        <charset val="1"/>
      </rPr>
      <t xml:space="preserve">10 </t>
    </r>
    <r>
      <rPr>
        <i val="true"/>
        <sz val="9"/>
        <color rgb="FF595959"/>
        <rFont val="WenQuanYi Zen Hei"/>
        <family val="2"/>
      </rPr>
      <t xml:space="preserve">대선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취임</t>
    </r>
    <r>
      <rPr>
        <i val="true"/>
        <sz val="9"/>
        <color rgb="FF595959"/>
        <rFont val="Noto Sans CJK SC"/>
        <family val="2"/>
        <charset val="1"/>
      </rPr>
      <t xml:space="preserve">) → </t>
    </r>
    <r>
      <rPr>
        <i val="true"/>
        <sz val="9"/>
        <color rgb="FF595959"/>
        <rFont val="WenQuanYi Zen Hei"/>
        <family val="2"/>
      </rPr>
      <t xml:space="preserve">정부</t>
    </r>
    <r>
      <rPr>
        <i val="true"/>
        <sz val="9"/>
        <color rgb="FF595959"/>
        <rFont val="Noto Sans CJK SC"/>
        <family val="2"/>
        <charset val="1"/>
      </rPr>
      <t xml:space="preserve">(11~12, </t>
    </r>
    <r>
      <rPr>
        <i val="true"/>
        <sz val="9"/>
        <color rgb="FF595959"/>
        <rFont val="WenQuanYi Zen Hei"/>
        <family val="2"/>
      </rPr>
      <t xml:space="preserve">브라질리아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상파울루</t>
    </r>
    <r>
      <rPr>
        <i val="true"/>
        <sz val="9"/>
        <color rgb="FF595959"/>
        <rFont val="Noto Sans CJK SC"/>
        <family val="2"/>
        <charset val="1"/>
      </rPr>
      <t xml:space="preserve">) → </t>
    </r>
    <r>
      <rPr>
        <i val="true"/>
        <sz val="9"/>
        <color rgb="FF595959"/>
        <rFont val="WenQuanYi Zen Hei"/>
        <family val="2"/>
      </rPr>
      <t xml:space="preserve">귀환</t>
    </r>
    <r>
      <rPr>
        <i val="true"/>
        <sz val="9"/>
        <color rgb="FF595959"/>
        <rFont val="Noto Sans CJK SC"/>
        <family val="2"/>
        <charset val="1"/>
      </rPr>
      <t xml:space="preserve">(13, </t>
    </r>
    <r>
      <rPr>
        <i val="true"/>
        <sz val="9"/>
        <color rgb="FF595959"/>
        <rFont val="WenQuanYi Zen Hei"/>
        <family val="2"/>
      </rPr>
      <t xml:space="preserve">원형 구조</t>
    </r>
    <r>
      <rPr>
        <i val="true"/>
        <sz val="9"/>
        <color rgb="FF595959"/>
        <rFont val="Noto Sans CJK SC"/>
        <family val="2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난이도는 </t>
    </r>
    <r>
      <rPr>
        <i val="true"/>
        <sz val="9"/>
        <color rgb="FF595959"/>
        <rFont val="Noto Sans CJK SC"/>
        <family val="2"/>
        <charset val="1"/>
      </rPr>
      <t xml:space="preserve">B1 → C1/C2 → B1~B2</t>
    </r>
    <r>
      <rPr>
        <i val="true"/>
        <sz val="9"/>
        <color rgb="FF595959"/>
        <rFont val="WenQuanYi Zen Hei"/>
        <family val="2"/>
      </rPr>
      <t xml:space="preserve">로 올라갔다 내려와 마무리가 부드럽고</t>
    </r>
    <r>
      <rPr>
        <i val="true"/>
        <sz val="9"/>
        <color rgb="FF595959"/>
        <rFont val="Noto Sans CJK SC"/>
        <family val="2"/>
        <charset val="1"/>
      </rPr>
      <t xml:space="preserve">, 13</t>
    </r>
    <r>
      <rPr>
        <i val="true"/>
        <sz val="9"/>
        <color rgb="FF595959"/>
        <rFont val="WenQuanYi Zen Hei"/>
        <family val="2"/>
      </rPr>
      <t xml:space="preserve">부에서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부 장면을 다시 읽으면 낭독 실력의 성장을 스스로 확인할 수 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</si>
  <si>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아크별 구성 계획 </t>
    </r>
    <r>
      <rPr>
        <b val="true"/>
        <sz val="14"/>
        <color rgb="FF1F3864"/>
        <rFont val="Noto Sans CJK SC"/>
        <family val="2"/>
        <charset val="1"/>
      </rPr>
      <t xml:space="preserve">(1~13</t>
    </r>
    <r>
      <rPr>
        <b val="true"/>
        <sz val="14"/>
        <color rgb="FF1F3864"/>
        <rFont val="WenQuanYi Zen Hei"/>
        <family val="2"/>
      </rPr>
      <t xml:space="preserve">부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</si>
  <si>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각 부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아크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의 서사 기능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변화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비트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발단→결말</t>
    </r>
    <r>
      <rPr>
        <i val="true"/>
        <sz val="9"/>
        <color rgb="FF595959"/>
        <rFont val="Noto Sans CJK SC"/>
        <family val="2"/>
        <charset val="1"/>
      </rPr>
      <t xml:space="preserve">), </t>
    </r>
    <r>
      <rPr>
        <i val="true"/>
        <sz val="9"/>
        <color rgb="FF595959"/>
        <rFont val="WenQuanYi Zen Hei"/>
        <family val="2"/>
      </rPr>
      <t xml:space="preserve">인물 아크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복선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현안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제도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언어 설계를 한 블록으로 정리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화별 세부는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화별목차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전체</t>
    </r>
    <r>
      <rPr>
        <i val="true"/>
        <sz val="9"/>
        <color rgb="FF595959"/>
        <rFont val="Noto Sans CJK SC"/>
        <family val="2"/>
        <charset val="1"/>
      </rPr>
      <t xml:space="preserve">', </t>
    </r>
    <r>
      <rPr>
        <i val="true"/>
        <sz val="9"/>
        <color rgb="FF595959"/>
        <rFont val="WenQuanYi Zen Hei"/>
        <family val="2"/>
      </rPr>
      <t xml:space="preserve">복선 추적은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복선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회수</t>
    </r>
    <r>
      <rPr>
        <i val="true"/>
        <sz val="9"/>
        <color rgb="FF595959"/>
        <rFont val="Noto Sans CJK SC"/>
        <family val="2"/>
        <charset val="1"/>
      </rPr>
      <t xml:space="preserve">'.</t>
    </r>
  </si>
  <si>
    <r>
      <rPr>
        <b val="true"/>
        <sz val="10"/>
        <color rgb="FFFFFFFF"/>
        <rFont val="Arial"/>
        <family val="0"/>
        <charset val="1"/>
      </rPr>
      <t xml:space="preserve">O Escritório do Bixiga — </t>
    </r>
    <r>
      <rPr>
        <b val="true"/>
        <sz val="10"/>
        <color rgb="FFFFFFFF"/>
        <rFont val="WenQuanYi Zen Hei"/>
        <family val="2"/>
      </rPr>
      <t xml:space="preserve">비시가 사무소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B1   |   </t>
    </r>
    <r>
      <rPr>
        <b val="true"/>
        <sz val="10"/>
        <color rgb="FFFFFFFF"/>
        <rFont val="WenQuanYi Zen Hei"/>
        <family val="2"/>
      </rPr>
      <t xml:space="preserve">사무소 개소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개월 후</t>
    </r>
    <r>
      <rPr>
        <b val="true"/>
        <sz val="10"/>
        <color rgb="FFFFFFFF"/>
        <rFont val="Arial"/>
        <family val="0"/>
        <charset val="1"/>
      </rPr>
      <t xml:space="preserve">(6</t>
    </r>
    <r>
      <rPr>
        <b val="true"/>
        <sz val="10"/>
        <color rgb="FFFFFFFF"/>
        <rFont val="WenQuanYi Zen Hei"/>
        <family val="2"/>
      </rPr>
      <t xml:space="preserve">부 </t>
    </r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화로부터 약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). </t>
    </r>
    <r>
      <rPr>
        <b val="true"/>
        <sz val="10"/>
        <color rgb="FFFFFFFF"/>
        <rFont val="WenQuanYi Zen Hei"/>
        <family val="2"/>
      </rPr>
      <t xml:space="preserve">상파울루 </t>
    </r>
    <r>
      <rPr>
        <b val="true"/>
        <sz val="10"/>
        <color rgb="FFFFFFFF"/>
        <rFont val="Arial"/>
        <family val="0"/>
        <charset val="1"/>
      </rPr>
      <t xml:space="preserve">Bixiga(</t>
    </r>
    <r>
      <rPr>
        <b val="true"/>
        <sz val="10"/>
        <color rgb="FFFFFFFF"/>
        <rFont val="WenQuanYi Zen Hei"/>
        <family val="2"/>
      </rPr>
      <t xml:space="preserve">이탈리아 이민자와 삼바 학교의 동네</t>
    </r>
    <r>
      <rPr>
        <b val="true"/>
        <sz val="10"/>
        <color rgb="FFFFFFFF"/>
        <rFont val="Arial"/>
        <family val="0"/>
        <charset val="1"/>
      </rPr>
      <t xml:space="preserve">)</t>
    </r>
    <r>
      <rPr>
        <b val="true"/>
        <sz val="10"/>
        <color rgb="FFFFFFFF"/>
        <rFont val="WenQuanYi Zen Hei"/>
        <family val="2"/>
      </rPr>
      <t xml:space="preserve">의 사무소와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층 </t>
    </r>
    <r>
      <rPr>
        <b val="true"/>
        <sz val="10"/>
        <color rgb="FFFFFFFF"/>
        <rFont val="Arial"/>
        <family val="0"/>
        <charset val="1"/>
      </rPr>
      <t xml:space="preserve">Bar da Marta.</t>
    </r>
  </si>
  <si>
    <t xml:space="preserve">서사 기능</t>
  </si>
  <si>
    <r>
      <rPr>
        <sz val="10"/>
        <rFont val="WenQuanYi Zen Hei"/>
        <family val="2"/>
      </rPr>
      <t xml:space="preserve">독자 진입 장치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이미 굴러가는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그러나 여전히 좌충우돌하는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사무소를 보여 주어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이 사람들이 어쩌다 이렇게 됐지</t>
    </r>
    <r>
      <rPr>
        <sz val="10"/>
        <rFont val="Noto Sans CJK SC"/>
        <family val="2"/>
        <charset val="1"/>
      </rPr>
      <t xml:space="preserve">?' </t>
    </r>
    <r>
      <rPr>
        <sz val="10"/>
        <rFont val="WenQuanYi Zen Hei"/>
        <family val="2"/>
      </rPr>
      <t xml:space="preserve">하는 궁금증을 만든다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자기소개 대신 여섯 사건을 통해 인물의 습관과 리듬을 익히게 한다</t>
    </r>
    <r>
      <rPr>
        <sz val="10"/>
        <rFont val="Noto Sans CJK SC"/>
        <family val="2"/>
        <charset val="1"/>
      </rPr>
      <t xml:space="preserve">.</t>
    </r>
  </si>
  <si>
    <t xml:space="preserve">로그라인</t>
  </si>
  <si>
    <r>
      <rPr>
        <sz val="10"/>
        <rFont val="WenQuanYi Zen Hei"/>
        <family val="2"/>
      </rPr>
      <t xml:space="preserve">개소 한 달째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여전히 순서 하나 못 정하고 매번 다투는 네 전문가와 팀이 그래도 이웃들의 사건 여섯 개를 하나씩 해결해 나가지만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마지막 사건의 서류에서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의 옛 로펌 이름이 튀어나온다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</si>
  <si>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변화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시작 → 끝</t>
    </r>
    <r>
      <rPr>
        <b val="true"/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</si>
  <si>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한 달이나 됐는데 아직도 이 모양</t>
    </r>
    <r>
      <rPr>
        <sz val="10"/>
        <rFont val="Arial"/>
        <family val="0"/>
        <charset val="1"/>
      </rPr>
      <t xml:space="preserve">' → </t>
    </r>
    <r>
      <rPr>
        <sz val="10"/>
        <rFont val="WenQuanYi Zen Hei"/>
        <family val="2"/>
      </rPr>
      <t xml:space="preserve">그래도 매번 어떻게든 해결하는 팀이라는 신뢰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그러나 각자의 과거는 여전히 미해결이고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옛 로펌 이름이 도착한다</t>
    </r>
    <r>
      <rPr>
        <sz val="10"/>
        <rFont val="Arial"/>
        <family val="0"/>
        <charset val="1"/>
      </rPr>
      <t xml:space="preserve">.</t>
    </r>
  </si>
  <si>
    <t xml:space="preserve">핵심 갈등</t>
  </si>
  <si>
    <r>
      <rPr>
        <sz val="10"/>
        <rFont val="WenQuanYi Zen Hei"/>
        <family val="2"/>
      </rPr>
      <t xml:space="preserve">전문가의 말투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이웃의 삶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여전히 못 정한 방법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각자 숨기는 과거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</si>
  <si>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1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</si>
  <si>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1 </t>
    </r>
    <r>
      <rPr>
        <sz val="10"/>
        <rFont val="WenQuanYi Zen Hei"/>
        <family val="2"/>
      </rPr>
      <t xml:space="preserve">임대료 인상</t>
    </r>
    <r>
      <rPr>
        <sz val="10"/>
        <rFont val="Noto Sans CJK SC"/>
        <family val="2"/>
        <charset val="1"/>
      </rPr>
      <t xml:space="preserve">, 1~2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(Fátima): </t>
    </r>
    <r>
      <rPr>
        <sz val="10"/>
        <rFont val="WenQuanYi Zen Hei"/>
        <family val="2"/>
      </rPr>
      <t xml:space="preserve">도입에서 여전히 자리 못 잡은 한 달 차 팀의 말다툼을 보여 주고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해결에서 </t>
    </r>
    <r>
      <rPr>
        <sz val="10"/>
        <rFont val="Noto Sans CJK SC"/>
        <family val="2"/>
        <charset val="1"/>
      </rPr>
      <t xml:space="preserve">Freire</t>
    </r>
    <r>
      <rPr>
        <sz val="10"/>
        <rFont val="WenQuanYi Zen Hei"/>
        <family val="2"/>
      </rPr>
      <t xml:space="preserve">의 카드 </t>
    </r>
    <r>
      <rPr>
        <sz val="10"/>
        <rFont val="Noto Sans CJK SC"/>
        <family val="2"/>
        <charset val="1"/>
      </rPr>
      <t xml:space="preserve">#1(</t>
    </r>
    <r>
      <rPr>
        <sz val="10"/>
        <rFont val="WenQuanYi Zen Hei"/>
        <family val="2"/>
      </rPr>
      <t xml:space="preserve">임대차법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회 조정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로 </t>
    </r>
    <r>
      <rPr>
        <sz val="10"/>
        <rFont val="Noto Sans CJK SC"/>
        <family val="2"/>
        <charset val="1"/>
      </rPr>
      <t xml:space="preserve">IGP-M</t>
    </r>
    <r>
      <rPr>
        <sz val="10"/>
        <rFont val="WenQuanYi Zen Hei"/>
        <family val="2"/>
      </rPr>
      <t xml:space="preserve">을 들이댄 부당 인상을 막는다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</si>
  <si>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2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</si>
  <si>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2 </t>
    </r>
    <r>
      <rPr>
        <sz val="10"/>
        <rFont val="WenQuanYi Zen Hei"/>
        <family val="2"/>
      </rPr>
      <t xml:space="preserve">퇴거 집행</t>
    </r>
    <r>
      <rPr>
        <sz val="10"/>
        <rFont val="Noto Sans CJK SC"/>
        <family val="2"/>
        <charset val="1"/>
      </rPr>
      <t xml:space="preserve">, 3~4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밤 여덟 시 급보 → 아침 집행 저지</t>
    </r>
    <r>
      <rPr>
        <sz val="10"/>
        <rFont val="Noto Sans CJK SC"/>
        <family val="2"/>
        <charset val="1"/>
      </rPr>
      <t xml:space="preserve">. Zumbi·Edson </t>
    </r>
    <r>
      <rPr>
        <sz val="10"/>
        <rFont val="WenQuanYi Zen Hei"/>
        <family val="2"/>
      </rPr>
      <t xml:space="preserve">첫 카메오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넷의 역할 분담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서류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건강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숫자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동선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이 처음으로 손발이 맞는다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</si>
  <si>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3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</si>
  <si>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3 </t>
    </r>
    <r>
      <rPr>
        <sz val="10"/>
        <rFont val="WenQuanYi Zen Hei"/>
        <family val="2"/>
      </rPr>
      <t xml:space="preserve">인턴 착취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임금 체불</t>
    </r>
    <r>
      <rPr>
        <sz val="10"/>
        <rFont val="Noto Sans CJK SC"/>
        <family val="2"/>
        <charset val="1"/>
      </rPr>
      <t xml:space="preserve">, 5~6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Juliana</t>
    </r>
    <r>
      <rPr>
        <sz val="10"/>
        <rFont val="WenQuanYi Zen Hei"/>
        <family val="2"/>
      </rPr>
      <t xml:space="preserve">의 컨설팅 용어가 청년 노동자를 지치게 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협상 중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폭발한다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폭발 후 쉬운 말로 다시 협상해 해결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</si>
  <si>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4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</si>
  <si>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4 </t>
    </r>
    <r>
      <rPr>
        <sz val="10"/>
        <rFont val="WenQuanYi Zen Hei"/>
        <family val="2"/>
      </rPr>
      <t xml:space="preserve">의료 접근</t>
    </r>
    <r>
      <rPr>
        <sz val="10"/>
        <rFont val="Noto Sans CJK SC"/>
        <family val="2"/>
        <charset val="1"/>
      </rPr>
      <t xml:space="preserve">, 7~8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서류 없는 이주민 가족의 아이가 보건소에서 돌려보내진다</t>
    </r>
    <r>
      <rPr>
        <sz val="10"/>
        <rFont val="Noto Sans CJK SC"/>
        <family val="2"/>
        <charset val="1"/>
      </rPr>
      <t xml:space="preserve">. Isabel·Machado </t>
    </r>
    <r>
      <rPr>
        <sz val="10"/>
        <rFont val="WenQuanYi Zen Hei"/>
        <family val="2"/>
      </rPr>
      <t xml:space="preserve">카메오</t>
    </r>
    <r>
      <rPr>
        <sz val="10"/>
        <rFont val="Noto Sans CJK SC"/>
        <family val="2"/>
        <charset val="1"/>
      </rPr>
      <t xml:space="preserve">, Dom Pedro</t>
    </r>
    <r>
      <rPr>
        <sz val="10"/>
        <rFont val="WenQuanYi Zen Hei"/>
        <family val="2"/>
      </rPr>
      <t xml:space="preserve">의 가짜 무릎이 진짜 아픈 아이 앞에서 조용해지는 대비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</si>
  <si>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5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</si>
  <si>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5 </t>
    </r>
    <r>
      <rPr>
        <sz val="10"/>
        <rFont val="WenQuanYi Zen Hei"/>
        <family val="2"/>
      </rPr>
      <t xml:space="preserve">금융 사기</t>
    </r>
    <r>
      <rPr>
        <sz val="10"/>
        <rFont val="Noto Sans CJK SC"/>
        <family val="2"/>
        <charset val="1"/>
      </rPr>
      <t xml:space="preserve">, 9~10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저축을 잃은 이웃을 두고 </t>
    </r>
    <r>
      <rPr>
        <sz val="10"/>
        <rFont val="Noto Sans CJK SC"/>
        <family val="2"/>
        <charset val="1"/>
      </rPr>
      <t xml:space="preserve">Bruno</t>
    </r>
    <r>
      <rPr>
        <sz val="10"/>
        <rFont val="WenQuanYi Zen Hei"/>
        <family val="2"/>
      </rPr>
      <t xml:space="preserve">가 장부를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낯선 </t>
    </r>
    <r>
      <rPr>
        <sz val="10"/>
        <rFont val="Noto Sans CJK SC"/>
        <family val="2"/>
        <charset val="1"/>
      </rPr>
      <t xml:space="preserve">Sérgio</t>
    </r>
    <r>
      <rPr>
        <sz val="10"/>
        <rFont val="WenQuanYi Zen Hei"/>
        <family val="2"/>
      </rPr>
      <t xml:space="preserve">가 계좌 흐름을 추적하고 </t>
    </r>
    <r>
      <rPr>
        <sz val="10"/>
        <rFont val="Noto Sans CJK SC"/>
        <family val="2"/>
        <charset val="1"/>
      </rPr>
      <t xml:space="preserve">Pix </t>
    </r>
    <r>
      <rPr>
        <sz val="10"/>
        <rFont val="WenQuanYi Zen Hei"/>
        <family val="2"/>
      </rPr>
      <t xml:space="preserve">반환 절차</t>
    </r>
    <r>
      <rPr>
        <sz val="10"/>
        <rFont val="Noto Sans CJK SC"/>
        <family val="2"/>
        <charset val="1"/>
      </rPr>
      <t xml:space="preserve">(MED)</t>
    </r>
    <r>
      <rPr>
        <sz val="10"/>
        <rFont val="WenQuanYi Zen Hei"/>
        <family val="2"/>
      </rPr>
      <t xml:space="preserve">로 일부를 되찾는다</t>
    </r>
    <r>
      <rPr>
        <sz val="10"/>
        <rFont val="Noto Sans CJK SC"/>
        <family val="2"/>
        <charset val="1"/>
      </rPr>
      <t xml:space="preserve">. Dumont </t>
    </r>
    <r>
      <rPr>
        <sz val="10"/>
        <rFont val="WenQuanYi Zen Hei"/>
        <family val="2"/>
      </rPr>
      <t xml:space="preserve">카메오</t>
    </r>
    <r>
      <rPr>
        <sz val="10"/>
        <rFont val="Noto Sans CJK SC"/>
        <family val="2"/>
        <charset val="1"/>
      </rPr>
      <t xml:space="preserve">. Sérgio</t>
    </r>
    <r>
      <rPr>
        <sz val="10"/>
        <rFont val="WenQuanYi Zen Hei"/>
        <family val="2"/>
      </rPr>
      <t xml:space="preserve">는 설명 없이 사라지고 </t>
    </r>
    <r>
      <rPr>
        <sz val="10"/>
        <rFont val="Noto Sans CJK SC"/>
        <family val="2"/>
        <charset val="1"/>
      </rPr>
      <t xml:space="preserve">Bruno</t>
    </r>
    <r>
      <rPr>
        <sz val="10"/>
        <rFont val="WenQuanYi Zen Hei"/>
        <family val="2"/>
      </rPr>
      <t xml:space="preserve">는 은행 이름에 말없이 굳는다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</si>
  <si>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6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</si>
  <si>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6 </t>
    </r>
    <r>
      <rPr>
        <sz val="10"/>
        <rFont val="WenQuanYi Zen Hei"/>
        <family val="2"/>
      </rPr>
      <t xml:space="preserve">오래된 서류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, 11~12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수십 년 전 퇴거 서류의 절차 오류를 바로잡다가 서명란에서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의 옛 로펌 이름을 발견한다</t>
    </r>
    <r>
      <rPr>
        <sz val="10"/>
        <rFont val="Noto Sans CJK SC"/>
        <family val="2"/>
        <charset val="1"/>
      </rPr>
      <t xml:space="preserve">. Rafael</t>
    </r>
    <r>
      <rPr>
        <sz val="10"/>
        <rFont val="WenQuanYi Zen Hei"/>
        <family val="2"/>
      </rPr>
      <t xml:space="preserve">이 얼어붙고 금요일 이야기</t>
    </r>
    <r>
      <rPr>
        <sz val="10"/>
        <rFont val="Noto Sans CJK SC"/>
        <family val="2"/>
        <charset val="1"/>
      </rPr>
      <t xml:space="preserve">(2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가 예고된다</t>
    </r>
    <r>
      <rPr>
        <sz val="10"/>
        <rFont val="Noto Sans CJK SC"/>
        <family val="2"/>
        <charset val="1"/>
      </rPr>
      <t xml:space="preserve">.</t>
    </r>
  </si>
  <si>
    <t xml:space="preserve">인물 아크</t>
  </si>
  <si>
    <r>
      <rPr>
        <sz val="10"/>
        <rFont val="Arial"/>
        <family val="0"/>
        <charset val="1"/>
      </rPr>
      <t xml:space="preserve">Larissa=</t>
    </r>
    <r>
      <rPr>
        <sz val="10"/>
        <rFont val="WenQuanYi Zen Hei"/>
        <family val="2"/>
      </rPr>
      <t xml:space="preserve">독자의 대리인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질문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한 달이 지나도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에게 </t>
    </r>
    <r>
      <rPr>
        <sz val="10"/>
        <rFont val="Arial"/>
        <family val="0"/>
        <charset val="1"/>
      </rPr>
      <t xml:space="preserve">'o senhor' </t>
    </r>
    <r>
      <rPr>
        <sz val="10"/>
        <rFont val="WenQuanYi Zen Hei"/>
        <family val="2"/>
      </rPr>
      <t xml:space="preserve">유지</t>
    </r>
    <r>
      <rPr>
        <sz val="10"/>
        <rFont val="Arial"/>
        <family val="0"/>
        <charset val="1"/>
      </rPr>
      <t xml:space="preserve">. Dom Pedro=</t>
    </r>
    <r>
      <rPr>
        <sz val="10"/>
        <rFont val="WenQuanYi Zen Hei"/>
        <family val="2"/>
      </rPr>
      <t xml:space="preserve">심술과 복선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매년 하는 소리라는 게 드러남</t>
    </r>
    <r>
      <rPr>
        <sz val="10"/>
        <rFont val="Arial"/>
        <family val="0"/>
        <charset val="1"/>
      </rPr>
      <t xml:space="preserve">). Marta=</t>
    </r>
    <r>
      <rPr>
        <sz val="10"/>
        <rFont val="WenQuanYi Zen Hei"/>
        <family val="2"/>
      </rPr>
      <t xml:space="preserve">정서적 중심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카메오는 사건별로 분산</t>
    </r>
    <r>
      <rPr>
        <sz val="10"/>
        <rFont val="Arial"/>
        <family val="0"/>
        <charset val="1"/>
      </rPr>
      <t xml:space="preserve">: Freire(1·2·11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), Zumbi·Edson(3·4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), Isabel·Machado(7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), Sérgio·Dumont(9·10·11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폭발 화</t>
    </r>
    <r>
      <rPr>
        <sz val="10"/>
        <rFont val="Arial"/>
        <family val="0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에는 </t>
    </r>
    <r>
      <rPr>
        <sz val="10"/>
        <rFont val="Arial"/>
        <family val="0"/>
        <charset val="1"/>
      </rPr>
      <t xml:space="preserve">Zumbi·Marta·Freire</t>
    </r>
    <r>
      <rPr>
        <sz val="10"/>
        <rFont val="WenQuanYi Zen Hei"/>
        <family val="2"/>
      </rPr>
      <t xml:space="preserve">의 고정 반응만 남기고 </t>
    </r>
    <r>
      <rPr>
        <sz val="10"/>
        <rFont val="Arial"/>
        <family val="0"/>
        <charset val="1"/>
      </rPr>
      <t xml:space="preserve">Edson</t>
    </r>
    <r>
      <rPr>
        <sz val="10"/>
        <rFont val="WenQuanYi Zen Hei"/>
        <family val="2"/>
      </rPr>
      <t xml:space="preserve">의 욕은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폭발로 이관해 과밀을 해소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</si>
  <si>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복선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회수</t>
    </r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</si>
  <si>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의 마지막 겨울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우산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Freire </t>
    </r>
    <r>
      <rPr>
        <sz val="10"/>
        <rFont val="WenQuanYi Zen Hei"/>
        <family val="2"/>
      </rPr>
      <t xml:space="preserve">카드 </t>
    </r>
    <r>
      <rPr>
        <sz val="10"/>
        <rFont val="Arial"/>
        <family val="0"/>
        <charset val="1"/>
      </rPr>
      <t xml:space="preserve">#1(2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Larissa 1</t>
    </r>
    <r>
      <rPr>
        <sz val="10"/>
        <rFont val="WenQuanYi Zen Hei"/>
        <family val="2"/>
      </rPr>
      <t xml:space="preserve">차 폭발</t>
    </r>
    <r>
      <rPr>
        <sz val="10"/>
        <rFont val="Arial"/>
        <family val="0"/>
        <charset val="1"/>
      </rPr>
      <t xml:space="preserve">(6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Zumbi «Sem novidade no quilombo»(4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Sérgio </t>
    </r>
    <r>
      <rPr>
        <sz val="10"/>
        <rFont val="WenQuanYi Zen Hei"/>
        <family val="2"/>
      </rPr>
      <t xml:space="preserve">첫 등장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Dom Pedro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«Não é ruim»(7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Machado</t>
    </r>
    <r>
      <rPr>
        <sz val="10"/>
        <rFont val="WenQuanYi Zen Hei"/>
        <family val="2"/>
      </rPr>
      <t xml:space="preserve">에게 →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Larissa</t>
    </r>
    <r>
      <rPr>
        <sz val="10"/>
        <rFont val="WenQuanYi Zen Hei"/>
        <family val="2"/>
      </rPr>
      <t xml:space="preserve">에게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옛 로펌 이름</t>
    </r>
    <r>
      <rPr>
        <sz val="10"/>
        <rFont val="Arial"/>
        <family val="0"/>
        <charset val="1"/>
      </rPr>
      <t xml:space="preserve">(12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전체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</si>
  <si>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현안 </t>
    </r>
    <r>
      <rPr>
        <b val="true"/>
        <sz val="10"/>
        <rFont val="Noto Sans CJK SC"/>
        <family val="2"/>
        <charset val="1"/>
      </rPr>
      <t xml:space="preserve">(ID)</t>
    </r>
  </si>
  <si>
    <t xml:space="preserve">E1●● S1●● S2● E3●</t>
  </si>
  <si>
    <r>
      <rPr>
        <b val="true"/>
        <sz val="10"/>
        <rFont val="WenQuanYi Zen Hei"/>
        <family val="2"/>
      </rPr>
      <t xml:space="preserve">제도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전문 영역</t>
    </r>
  </si>
  <si>
    <r>
      <rPr>
        <sz val="10"/>
        <rFont val="WenQuanYi Zen Hei"/>
        <family val="2"/>
      </rPr>
      <t xml:space="preserve">임대차</t>
    </r>
    <r>
      <rPr>
        <sz val="10"/>
        <rFont val="Noto Sans CJK SC"/>
        <family val="2"/>
        <charset val="1"/>
      </rPr>
      <t xml:space="preserve">(Lei 8.245/1991, </t>
    </r>
    <r>
      <rPr>
        <sz val="10"/>
        <rFont val="WenQuanYi Zen Hei"/>
        <family val="2"/>
      </rPr>
      <t xml:space="preserve">연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회 조정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퇴거 집행과 취약계층 조정</t>
    </r>
    <r>
      <rPr>
        <sz val="10"/>
        <rFont val="Noto Sans CJK SC"/>
        <family val="2"/>
        <charset val="1"/>
      </rPr>
      <t xml:space="preserve">(STF ADPF 828 </t>
    </r>
    <r>
      <rPr>
        <sz val="10"/>
        <rFont val="WenQuanYi Zen Hei"/>
        <family val="2"/>
      </rPr>
      <t xml:space="preserve">이후 토지분쟁 조정위원회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확인 필요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인턴 착취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무등록 고용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체불</t>
    </r>
    <r>
      <rPr>
        <sz val="10"/>
        <rFont val="Noto Sans CJK SC"/>
        <family val="2"/>
        <charset val="1"/>
      </rPr>
      <t xml:space="preserve">, SUS </t>
    </r>
    <r>
      <rPr>
        <sz val="10"/>
        <rFont val="WenQuanYi Zen Hei"/>
        <family val="2"/>
      </rPr>
      <t xml:space="preserve">보편 접근권과 현장의 서류 요구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금융 사기</t>
    </r>
    <r>
      <rPr>
        <sz val="10"/>
        <rFont val="Noto Sans CJK SC"/>
        <family val="2"/>
        <charset val="1"/>
      </rPr>
      <t xml:space="preserve">·Pix </t>
    </r>
    <r>
      <rPr>
        <sz val="10"/>
        <rFont val="WenQuanYi Zen Hei"/>
        <family val="2"/>
      </rPr>
      <t xml:space="preserve">반환</t>
    </r>
    <r>
      <rPr>
        <sz val="10"/>
        <rFont val="Noto Sans CJK SC"/>
        <family val="2"/>
        <charset val="1"/>
      </rPr>
      <t xml:space="preserve">(MED), </t>
    </r>
    <r>
      <rPr>
        <sz val="10"/>
        <rFont val="WenQuanYi Zen Hei"/>
        <family val="2"/>
      </rPr>
      <t xml:space="preserve">오래된 절차 정정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공개 출처 찾기</t>
    </r>
    <r>
      <rPr>
        <sz val="10"/>
        <rFont val="Noto Sans CJK SC"/>
        <family val="2"/>
        <charset val="1"/>
      </rPr>
      <t xml:space="preserve">(Planalto </t>
    </r>
    <r>
      <rPr>
        <sz val="10"/>
        <rFont val="WenQuanYi Zen Hei"/>
        <family val="2"/>
      </rPr>
      <t xml:space="preserve">법령 사이트</t>
    </r>
    <r>
      <rPr>
        <sz val="10"/>
        <rFont val="Noto Sans CJK SC"/>
        <family val="2"/>
        <charset val="1"/>
      </rPr>
      <t xml:space="preserve">·VOLP)</t>
    </r>
  </si>
  <si>
    <t xml:space="preserve">언어 설계</t>
  </si>
  <si>
    <r>
      <rPr>
        <sz val="10"/>
        <rFont val="Arial"/>
        <family val="0"/>
        <charset val="1"/>
      </rPr>
      <t xml:space="preserve">B1. </t>
    </r>
    <r>
      <rPr>
        <sz val="10"/>
        <rFont val="WenQuanYi Zen Hei"/>
        <family val="2"/>
      </rPr>
      <t xml:space="preserve">한 줄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단어 이내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명령형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간단한 과거</t>
    </r>
    <r>
      <rPr>
        <sz val="10"/>
        <rFont val="Arial"/>
        <family val="0"/>
        <charset val="1"/>
      </rPr>
      <t xml:space="preserve">(pretérito perfeito). você·vocês </t>
    </r>
    <r>
      <rPr>
        <sz val="10"/>
        <rFont val="WenQuanYi Zen Hei"/>
        <family val="2"/>
      </rPr>
      <t xml:space="preserve">중심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낭독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빠른 티키타카로 입 풀기</t>
    </r>
    <r>
      <rPr>
        <sz val="10"/>
        <rFont val="Arial"/>
        <family val="0"/>
        <charset val="1"/>
      </rPr>
      <t xml:space="preserve">. Rafael·Dom Pedro</t>
    </r>
    <r>
      <rPr>
        <sz val="10"/>
        <rFont val="WenQuanYi Zen Hei"/>
        <family val="2"/>
      </rPr>
      <t xml:space="preserve">의 격식체</t>
    </r>
    <r>
      <rPr>
        <sz val="10"/>
        <rFont val="Arial"/>
        <family val="0"/>
        <charset val="1"/>
      </rPr>
      <t xml:space="preserve">(o senhor, 19</t>
    </r>
    <r>
      <rPr>
        <sz val="10"/>
        <rFont val="WenQuanYi Zen Hei"/>
        <family val="2"/>
      </rPr>
      <t xml:space="preserve">세기식 대명사 후치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한두 줄 맛보기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매 사건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도입→해결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리듬을 반복해 구조를 익히게 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</si>
  <si>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대화량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화당 </t>
    </r>
    <r>
      <rPr>
        <b val="true"/>
        <sz val="10"/>
        <rFont val="Noto Sans CJK SC"/>
        <family val="2"/>
        <charset val="1"/>
      </rPr>
      <t xml:space="preserve">120</t>
    </r>
    <r>
      <rPr>
        <b val="true"/>
        <sz val="10"/>
        <rFont val="WenQuanYi Zen Hei"/>
        <family val="2"/>
      </rPr>
      <t xml:space="preserve">턴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</si>
  <si>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Larissa </t>
    </r>
    <r>
      <rPr>
        <b val="true"/>
        <sz val="10"/>
        <rFont val="WenQuanYi Zen Hei"/>
        <family val="2"/>
      </rPr>
      <t xml:space="preserve">질문</t>
    </r>
    <r>
      <rPr>
        <b val="true"/>
        <sz val="10"/>
        <rFont val="Arial"/>
        <family val="0"/>
        <charset val="1"/>
      </rPr>
      <t xml:space="preserve">·Freire </t>
    </r>
    <r>
      <rPr>
        <b val="true"/>
        <sz val="10"/>
        <rFont val="WenQuanYi Zen Hei"/>
        <family val="2"/>
      </rPr>
      <t xml:space="preserve">카드</t>
    </r>
  </si>
  <si>
    <r>
      <rPr>
        <sz val="10"/>
        <rFont val="Arial"/>
        <family val="0"/>
        <charset val="1"/>
      </rPr>
      <t xml:space="preserve">Larissa: </t>
    </r>
    <r>
      <rPr>
        <sz val="10"/>
        <rFont val="WenQuanYi Zen Hei"/>
        <family val="2"/>
      </rPr>
      <t xml:space="preserve">임대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노동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의료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금융 기초 용어</t>
    </r>
    <r>
      <rPr>
        <sz val="10"/>
        <rFont val="Arial"/>
        <family val="0"/>
        <charset val="1"/>
      </rPr>
      <t xml:space="preserve">(caução, carteira assinada, estágio, cartão do SUS, conta, Pix).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임대차법</t>
    </r>
    <r>
      <rPr>
        <sz val="10"/>
        <rFont val="Arial"/>
        <family val="0"/>
        <charset val="1"/>
      </rPr>
      <t xml:space="preserve">(Lei 8.245/1991), </t>
    </r>
    <r>
      <rPr>
        <sz val="10"/>
        <rFont val="WenQuanYi Zen Hei"/>
        <family val="2"/>
      </rPr>
      <t xml:space="preserve">사전</t>
    </r>
    <r>
      <rPr>
        <sz val="10"/>
        <rFont val="Arial"/>
        <family val="0"/>
        <charset val="1"/>
      </rPr>
      <t xml:space="preserve">(VOLP·Michaelis).</t>
    </r>
  </si>
  <si>
    <t xml:space="preserve">다음 부 연결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</si>
  <si>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금요일마다 한 명씩 과거를 이야기하는 규칙 — 첫 번째는 </t>
    </r>
    <r>
      <rPr>
        <sz val="10"/>
        <rFont val="Arial"/>
        <family val="0"/>
        <charset val="1"/>
      </rPr>
      <t xml:space="preserve">Rafael.</t>
    </r>
  </si>
  <si>
    <r>
      <rPr>
        <b val="true"/>
        <sz val="10"/>
        <color rgb="FFFFFFFF"/>
        <rFont val="Arial"/>
        <family val="0"/>
        <charset val="1"/>
      </rPr>
      <t xml:space="preserve">O Advogado — </t>
    </r>
    <r>
      <rPr>
        <b val="true"/>
        <sz val="10"/>
        <color rgb="FFFFFFFF"/>
        <rFont val="WenQuanYi Zen Hei"/>
        <family val="2"/>
      </rPr>
      <t xml:space="preserve">변호사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프레임</t>
    </r>
    <r>
      <rPr>
        <b val="true"/>
        <sz val="10"/>
        <color rgb="FFFFFFFF"/>
        <rFont val="Arial"/>
        <family val="0"/>
        <charset val="1"/>
      </rPr>
      <t xml:space="preserve">: 1</t>
    </r>
    <r>
      <rPr>
        <b val="true"/>
        <sz val="10"/>
        <color rgb="FFFFFFFF"/>
        <rFont val="WenQuanYi Zen Hei"/>
        <family val="2"/>
      </rPr>
      <t xml:space="preserve">부와 같은 첫 겨울의 금요일 밤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과거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약 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년 전</t>
    </r>
    <r>
      <rPr>
        <b val="true"/>
        <sz val="10"/>
        <color rgb="FFFFFFFF"/>
        <rFont val="Arial"/>
        <family val="0"/>
        <charset val="1"/>
      </rPr>
      <t xml:space="preserve">, Avenida Faria Lima</t>
    </r>
    <r>
      <rPr>
        <b val="true"/>
        <sz val="10"/>
        <color rgb="FFFFFFFF"/>
        <rFont val="WenQuanYi Zen Hei"/>
        <family val="2"/>
      </rPr>
      <t xml:space="preserve">의 대형 로펌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</si>
  <si>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첫 과거 회상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공동 악역 </t>
    </r>
    <r>
      <rPr>
        <sz val="10"/>
        <rFont val="Noto Sans CJK SC"/>
        <family val="2"/>
        <charset val="1"/>
      </rPr>
      <t xml:space="preserve">Grupo Meridiano</t>
    </r>
    <r>
      <rPr>
        <sz val="10"/>
        <rFont val="WenQuanYi Zen Hei"/>
        <family val="2"/>
      </rPr>
      <t xml:space="preserve">를 도입하고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법을 잘 쓰는 것과 옳은 것은 다르다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는 이 이야기의 첫 질문을 던진다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프레임</t>
    </r>
    <r>
      <rPr>
        <sz val="10"/>
        <rFont val="Noto Sans CJK SC"/>
        <family val="2"/>
        <charset val="1"/>
      </rPr>
      <t xml:space="preserve">(Marta</t>
    </r>
    <r>
      <rPr>
        <sz val="10"/>
        <rFont val="WenQuanYi Zen Hei"/>
        <family val="2"/>
      </rPr>
      <t xml:space="preserve">의 식탁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과 과거를 오가는 구조 실험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</si>
  <si>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승소율 </t>
    </r>
    <r>
      <rPr>
        <sz val="10"/>
        <rFont val="Noto Sans CJK SC"/>
        <family val="2"/>
        <charset val="1"/>
      </rPr>
      <t xml:space="preserve">100%</t>
    </r>
    <r>
      <rPr>
        <sz val="10"/>
        <rFont val="WenQuanYi Zen Hei"/>
        <family val="2"/>
      </rPr>
      <t xml:space="preserve">의 파트너 후보가 대형 고객의 주택 포트폴리오를 비우는 조항을 설계해 재판에서 이기고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 승리가 한 노인의 죽음이 되었음을 알게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</si>
  <si>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자랑스러운 승자 → 자기 승리에 사직서를 낸 사람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</si>
  <si>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잘 쓰는 법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옳은 것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파트너 승진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양심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</si>
  <si>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금요일 프레임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파리아 리마의 월요일</t>
    </r>
    <r>
      <rPr>
        <sz val="10"/>
        <rFont val="Noto Sans CJK SC"/>
        <family val="2"/>
        <charset val="1"/>
      </rPr>
      <t xml:space="preserve">, VIP </t>
    </r>
    <r>
      <rPr>
        <sz val="10"/>
        <rFont val="WenQuanYi Zen Hei"/>
        <family val="2"/>
      </rPr>
      <t xml:space="preserve">고객 </t>
    </r>
    <r>
      <rPr>
        <sz val="10"/>
        <rFont val="Noto Sans CJK SC"/>
        <family val="2"/>
        <charset val="1"/>
      </rPr>
      <t xml:space="preserve">Quintela.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</si>
  <si>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실사에서 </t>
    </r>
    <r>
      <rPr>
        <sz val="10"/>
        <rFont val="Noto Sans CJK SC"/>
        <family val="2"/>
        <charset val="1"/>
      </rPr>
      <t xml:space="preserve">Bixiga </t>
    </r>
    <r>
      <rPr>
        <sz val="10"/>
        <rFont val="WenQuanYi Zen Hei"/>
        <family val="2"/>
      </rPr>
      <t xml:space="preserve">건물 발견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프레임에서 그곳이 </t>
    </r>
    <r>
      <rPr>
        <sz val="10"/>
        <rFont val="Noto Sans CJK SC"/>
        <family val="2"/>
        <charset val="1"/>
      </rPr>
      <t xml:space="preserve">Marta</t>
    </r>
    <r>
      <rPr>
        <sz val="10"/>
        <rFont val="WenQuanYi Zen Hei"/>
        <family val="2"/>
      </rPr>
      <t xml:space="preserve">의 거리였음이 드러남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</si>
  <si>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조항 설계 —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이 스스로 함정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공사 사유 회수 조항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만든다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</si>
  <si>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주민 총회</t>
    </r>
    <r>
      <rPr>
        <sz val="10"/>
        <rFont val="Noto Sans CJK SC"/>
        <family val="2"/>
        <charset val="1"/>
      </rPr>
      <t xml:space="preserve">(Dona Conceição), </t>
    </r>
    <r>
      <rPr>
        <sz val="10"/>
        <rFont val="WenQuanYi Zen Hei"/>
        <family val="2"/>
      </rPr>
      <t xml:space="preserve">재판 승소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프레임에서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의 말이 막힘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</si>
  <si>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자르딘스 축하 만찬 중 부고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손녀 </t>
    </r>
    <r>
      <rPr>
        <sz val="10"/>
        <rFont val="Noto Sans CJK SC"/>
        <family val="2"/>
        <charset val="1"/>
      </rPr>
      <t xml:space="preserve">Marina</t>
    </r>
    <r>
      <rPr>
        <sz val="10"/>
        <rFont val="WenQuanYi Zen Hei"/>
        <family val="2"/>
      </rPr>
      <t xml:space="preserve">의 방문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</si>
  <si>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사직과 응급실 — </t>
    </r>
    <r>
      <rPr>
        <sz val="10"/>
        <rFont val="Noto Sans CJK SC"/>
        <family val="2"/>
        <charset val="1"/>
      </rPr>
      <t xml:space="preserve">Camila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을 진료한다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</si>
  <si>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Rafael: </t>
    </r>
    <r>
      <rPr>
        <sz val="10"/>
        <rFont val="WenQuanYi Zen Hei"/>
        <family val="2"/>
      </rPr>
      <t xml:space="preserve">완결된 문장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조항 인용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초반의 차가움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교차 카메오</t>
    </r>
    <r>
      <rPr>
        <sz val="10"/>
        <rFont val="Arial"/>
        <family val="0"/>
        <charset val="1"/>
      </rPr>
      <t xml:space="preserve">: Juliana(</t>
    </r>
    <r>
      <rPr>
        <sz val="10"/>
        <rFont val="WenQuanYi Zen Hei"/>
        <family val="2"/>
      </rPr>
      <t xml:space="preserve">고객 컨설턴트</t>
    </r>
    <r>
      <rPr>
        <sz val="10"/>
        <rFont val="Arial"/>
        <family val="0"/>
        <charset val="1"/>
      </rPr>
      <t xml:space="preserve">), Bruno(</t>
    </r>
    <r>
      <rPr>
        <sz val="10"/>
        <rFont val="WenQuanYi Zen Hei"/>
        <family val="2"/>
      </rPr>
      <t xml:space="preserve">감사인</t>
    </r>
    <r>
      <rPr>
        <sz val="10"/>
        <rFont val="Arial"/>
        <family val="0"/>
        <charset val="1"/>
      </rPr>
      <t xml:space="preserve">), Camila(</t>
    </r>
    <r>
      <rPr>
        <sz val="10"/>
        <rFont val="WenQuanYi Zen Hei"/>
        <family val="2"/>
      </rPr>
      <t xml:space="preserve">응급의</t>
    </r>
    <r>
      <rPr>
        <sz val="10"/>
        <rFont val="Arial"/>
        <family val="0"/>
        <charset val="1"/>
      </rPr>
      <t xml:space="preserve">), Sérgio·Freire·Edson·Machado·Dumont.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Salgado(</t>
    </r>
    <r>
      <rPr>
        <sz val="10"/>
        <rFont val="WenQuanYi Zen Hei"/>
        <family val="2"/>
      </rPr>
      <t xml:space="preserve">상사</t>
    </r>
    <r>
      <rPr>
        <sz val="10"/>
        <rFont val="Arial"/>
        <family val="0"/>
        <charset val="1"/>
      </rPr>
      <t xml:space="preserve">), Quintela(</t>
    </r>
    <r>
      <rPr>
        <sz val="10"/>
        <rFont val="WenQuanYi Zen Hei"/>
        <family val="2"/>
      </rPr>
      <t xml:space="preserve">회장</t>
    </r>
    <r>
      <rPr>
        <sz val="10"/>
        <rFont val="Arial"/>
        <family val="0"/>
        <charset val="1"/>
      </rPr>
      <t xml:space="preserve">), Dona Conceição(78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), Marina(</t>
    </r>
    <r>
      <rPr>
        <sz val="10"/>
        <rFont val="WenQuanYi Zen Hei"/>
        <family val="2"/>
      </rPr>
      <t xml:space="preserve">손녀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</si>
  <si>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«retomada para obras» </t>
    </r>
    <r>
      <rPr>
        <sz val="10"/>
        <rFont val="WenQuanYi Zen Hei"/>
        <family val="2"/>
      </rPr>
      <t xml:space="preserve">조항 →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폭로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주거법 개정으로 폐지 </t>
    </r>
    <r>
      <rPr>
        <sz val="10"/>
        <rFont val="Arial"/>
        <family val="0"/>
        <charset val="1"/>
      </rPr>
      <t xml:space="preserve">/ «Isso não fecha»(Bruno) → 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/ Marta</t>
    </r>
    <r>
      <rPr>
        <sz val="10"/>
        <rFont val="WenQuanYi Zen Hei"/>
        <family val="2"/>
      </rPr>
      <t xml:space="preserve">의 건물 →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창당 동기</t>
    </r>
  </si>
  <si>
    <t xml:space="preserve">E1● P3○</t>
  </si>
  <si>
    <r>
      <rPr>
        <sz val="10"/>
        <rFont val="WenQuanYi Zen Hei"/>
        <family val="2"/>
      </rPr>
      <t xml:space="preserve">임대 해지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공사 사유 회수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임대차법 제</t>
    </r>
    <r>
      <rPr>
        <sz val="10"/>
        <rFont val="Noto Sans CJK SC"/>
        <family val="2"/>
        <charset val="1"/>
      </rPr>
      <t xml:space="preserve">47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실사</t>
    </r>
    <r>
      <rPr>
        <sz val="10"/>
        <rFont val="Noto Sans CJK SC"/>
        <family val="2"/>
        <charset val="1"/>
      </rPr>
      <t xml:space="preserve">(due diligence), </t>
    </r>
    <r>
      <rPr>
        <sz val="10"/>
        <rFont val="WenQuanYi Zen Hei"/>
        <family val="2"/>
      </rPr>
      <t xml:space="preserve">부동산 등기</t>
    </r>
    <r>
      <rPr>
        <sz val="10"/>
        <rFont val="Noto Sans CJK SC"/>
        <family val="2"/>
        <charset val="1"/>
      </rPr>
      <t xml:space="preserve">(matrícula), </t>
    </r>
    <r>
      <rPr>
        <sz val="10"/>
        <rFont val="WenQuanYi Zen Hei"/>
        <family val="2"/>
      </rPr>
      <t xml:space="preserve">소송</t>
    </r>
    <r>
      <rPr>
        <sz val="10"/>
        <rFont val="Noto Sans CJK SC"/>
        <family val="2"/>
        <charset val="1"/>
      </rPr>
      <t xml:space="preserve">(petição inicial, audiência, sentença, custas), </t>
    </r>
    <r>
      <rPr>
        <sz val="10"/>
        <rFont val="WenQuanYi Zen Hei"/>
        <family val="2"/>
      </rPr>
      <t xml:space="preserve">로펌 구조</t>
    </r>
    <r>
      <rPr>
        <sz val="10"/>
        <rFont val="Noto Sans CJK SC"/>
        <family val="2"/>
        <charset val="1"/>
      </rPr>
      <t xml:space="preserve">(sócio)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</si>
  <si>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접속법 현재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수동태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법률 문어체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과거 장면은 격식 문어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프레임 장면은 </t>
    </r>
    <r>
      <rPr>
        <sz val="10"/>
        <rFont val="Arial"/>
        <family val="0"/>
        <charset val="1"/>
      </rPr>
      <t xml:space="preserve">B1</t>
    </r>
    <r>
      <rPr>
        <sz val="10"/>
        <rFont val="WenQuanYi Zen Hei"/>
        <family val="2"/>
      </rPr>
      <t xml:space="preserve">로 두어 톤을 대비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또박또박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중저음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</si>
  <si>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petição·sentença·cláusula </t>
    </r>
    <r>
      <rPr>
        <sz val="10"/>
        <rFont val="WenQuanYi Zen Hei"/>
        <family val="2"/>
      </rPr>
      <t xml:space="preserve">등 법률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부동산 등기소</t>
    </r>
    <r>
      <rPr>
        <sz val="10"/>
        <rFont val="Arial"/>
        <family val="0"/>
        <charset val="1"/>
      </rPr>
      <t xml:space="preserve">(Cartório de Registro de Imóveis), </t>
    </r>
    <r>
      <rPr>
        <sz val="10"/>
        <rFont val="WenQuanYi Zen Hei"/>
        <family val="2"/>
      </rPr>
      <t xml:space="preserve">임대차법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민사소송법</t>
    </r>
    <r>
      <rPr>
        <sz val="10"/>
        <rFont val="Arial"/>
        <family val="0"/>
        <charset val="1"/>
      </rPr>
      <t xml:space="preserve">(CPC)</t>
    </r>
    <r>
      <rPr>
        <sz val="10"/>
        <rFont val="WenQuanYi Zen Hei"/>
        <family val="2"/>
      </rPr>
      <t xml:space="preserve">의 퇴거 절차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</si>
  <si>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응급실에서 쓰러진 </t>
    </r>
    <r>
      <rPr>
        <sz val="10"/>
        <rFont val="Arial"/>
        <family val="0"/>
        <charset val="1"/>
      </rPr>
      <t xml:space="preserve">Rafael — </t>
    </r>
    <r>
      <rPr>
        <sz val="10"/>
        <rFont val="WenQuanYi Zen Hei"/>
        <family val="2"/>
      </rPr>
      <t xml:space="preserve">다음 금요일은 </t>
    </r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의 이야기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</si>
  <si>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A Médica — </t>
    </r>
    <r>
      <rPr>
        <b val="true"/>
        <sz val="10"/>
        <color rgb="FFFFFFFF"/>
        <rFont val="WenQuanYi Zen Hei"/>
        <family val="2"/>
      </rPr>
      <t xml:space="preserve">의사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프레임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금요일 밤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과거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약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년 전</t>
    </r>
    <r>
      <rPr>
        <b val="true"/>
        <sz val="10"/>
        <color rgb="FFFFFFFF"/>
        <rFont val="Arial"/>
        <family val="0"/>
        <charset val="1"/>
      </rPr>
      <t xml:space="preserve">, Hospital Municipal São Bartolomeu(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WenQuanYi Zen Hei"/>
        <family val="2"/>
      </rPr>
      <t xml:space="preserve">응급실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</si>
  <si>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인간의 생명과 공공 보건이라는 정서적 무게</t>
    </r>
    <r>
      <rPr>
        <sz val="10"/>
        <rFont val="Noto Sans CJK SC"/>
        <family val="2"/>
        <charset val="1"/>
      </rPr>
      <t xml:space="preserve">. Grupo Meridiano</t>
    </r>
    <r>
      <rPr>
        <sz val="10"/>
        <rFont val="WenQuanYi Zen Hei"/>
        <family val="2"/>
      </rPr>
      <t xml:space="preserve">의 두 번째 얼굴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병원 위탁 운영 </t>
    </r>
    <r>
      <rPr>
        <sz val="10"/>
        <rFont val="Noto Sans CJK SC"/>
        <family val="2"/>
        <charset val="1"/>
      </rPr>
      <t xml:space="preserve">OSS)</t>
    </r>
    <r>
      <rPr>
        <sz val="10"/>
        <rFont val="WenQuanYi Zen Hei"/>
        <family val="2"/>
      </rPr>
      <t xml:space="preserve">을 보여 주고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폭염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고령 환자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서류 없는 이주민 환자 등 현안을 응급실에서 체감하게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</si>
  <si>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응급의가 예산 삭감과 병원 위탁 운영 속에서 환자를 잃기 시작하고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이름을 적어 두다가 내부 보고를 올리지만 징계로 돌아온다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</si>
  <si>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시스템을 믿는 의사 → 이름 명단만 든 사직자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</si>
  <si>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의료 윤리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관리 효율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침묵하는 동료들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</si>
  <si>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금요일 프레임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야간 당직</t>
    </r>
    <r>
      <rPr>
        <sz val="10"/>
        <rFont val="Noto Sans CJK SC"/>
        <family val="2"/>
        <charset val="1"/>
      </rPr>
      <t xml:space="preserve">(Rafael </t>
    </r>
    <r>
      <rPr>
        <sz val="10"/>
        <rFont val="WenQuanYi Zen Hei"/>
        <family val="2"/>
      </rPr>
      <t xml:space="preserve">진료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폭염 환자 폭증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</si>
  <si>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위탁 운영 발표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컨설턴트 </t>
    </r>
    <r>
      <rPr>
        <sz val="10"/>
        <rFont val="Noto Sans CJK SC"/>
        <family val="2"/>
        <charset val="1"/>
      </rPr>
      <t xml:space="preserve">Juliana </t>
    </r>
    <r>
      <rPr>
        <sz val="10"/>
        <rFont val="WenQuanYi Zen Hei"/>
        <family val="2"/>
      </rPr>
      <t xml:space="preserve">등장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프레임에서 수첩 명단과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의 부은 발목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</si>
  <si>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'</t>
    </r>
    <r>
      <rPr>
        <sz val="10"/>
        <rFont val="WenQuanYi Zen Hei"/>
        <family val="2"/>
      </rPr>
      <t xml:space="preserve">명단의 첫 번째</t>
    </r>
    <r>
      <rPr>
        <sz val="10"/>
        <rFont val="Noto Sans CJK SC"/>
        <family val="2"/>
        <charset val="1"/>
      </rPr>
      <t xml:space="preserve">' — </t>
    </r>
    <r>
      <rPr>
        <sz val="10"/>
        <rFont val="WenQuanYi Zen Hei"/>
        <family val="2"/>
      </rPr>
      <t xml:space="preserve">서류 없는 이주민 봉제 노동자가 병상 배정 지연으로 숨진다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</si>
  <si>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원장의 통계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징계 조사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프레임에서 </t>
    </r>
    <r>
      <rPr>
        <sz val="10"/>
        <rFont val="Noto Sans CJK SC"/>
        <family val="2"/>
        <charset val="1"/>
      </rPr>
      <t xml:space="preserve">Isabel</t>
    </r>
    <r>
      <rPr>
        <sz val="10"/>
        <rFont val="WenQuanYi Zen Hei"/>
        <family val="2"/>
      </rPr>
      <t xml:space="preserve">의 되받기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</si>
  <si>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병상 없는 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</si>
  <si>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계약 감사보고서에 서명한 사람이 있다 — </t>
    </r>
    <r>
      <rPr>
        <sz val="10"/>
        <rFont val="Noto Sans CJK SC"/>
        <family val="2"/>
        <charset val="1"/>
      </rPr>
      <t xml:space="preserve">Bruno</t>
    </r>
    <r>
      <rPr>
        <sz val="10"/>
        <rFont val="WenQuanYi Zen Hei"/>
        <family val="2"/>
      </rPr>
      <t xml:space="preserve">의 차례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</si>
  <si>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Camila: </t>
    </r>
    <r>
      <rPr>
        <sz val="10"/>
        <rFont val="WenQuanYi Zen Hei"/>
        <family val="2"/>
      </rPr>
      <t xml:space="preserve">짧은 문장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명령형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블랙유머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Rosângela(</t>
    </r>
    <r>
      <rPr>
        <sz val="10"/>
        <rFont val="WenQuanYi Zen Hei"/>
        <family val="2"/>
      </rPr>
      <t xml:space="preserve">간호사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원장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교차 카메오</t>
    </r>
    <r>
      <rPr>
        <sz val="10"/>
        <rFont val="Arial"/>
        <family val="0"/>
        <charset val="1"/>
      </rPr>
      <t xml:space="preserve">: Rafael(</t>
    </r>
    <r>
      <rPr>
        <sz val="10"/>
        <rFont val="WenQuanYi Zen Hei"/>
        <family val="2"/>
      </rPr>
      <t xml:space="preserve">환자</t>
    </r>
    <r>
      <rPr>
        <sz val="10"/>
        <rFont val="Arial"/>
        <family val="0"/>
        <charset val="1"/>
      </rPr>
      <t xml:space="preserve">), Juliana(</t>
    </r>
    <r>
      <rPr>
        <sz val="10"/>
        <rFont val="WenQuanYi Zen Hei"/>
        <family val="2"/>
      </rPr>
      <t xml:space="preserve">효율 발표</t>
    </r>
    <r>
      <rPr>
        <sz val="10"/>
        <rFont val="Arial"/>
        <family val="0"/>
        <charset val="1"/>
      </rPr>
      <t xml:space="preserve">), Bruno(</t>
    </r>
    <r>
      <rPr>
        <sz val="10"/>
        <rFont val="WenQuanYi Zen Hei"/>
        <family val="2"/>
      </rPr>
      <t xml:space="preserve">위탁 업체 자문</t>
    </r>
    <r>
      <rPr>
        <sz val="10"/>
        <rFont val="Arial"/>
        <family val="0"/>
        <charset val="1"/>
      </rPr>
      <t xml:space="preserve">), Dumont(</t>
    </r>
    <r>
      <rPr>
        <sz val="10"/>
        <rFont val="WenQuanYi Zen Hei"/>
        <family val="2"/>
      </rPr>
      <t xml:space="preserve">취재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</si>
  <si>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의 부은 발목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숨참</t>
    </r>
    <r>
      <rPr>
        <sz val="10"/>
        <rFont val="Arial"/>
        <family val="0"/>
        <charset val="1"/>
      </rPr>
      <t xml:space="preserve">(→11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6·11~12</t>
    </r>
    <r>
      <rPr>
        <sz val="10"/>
        <rFont val="WenQuanYi Zen Hei"/>
        <family val="2"/>
      </rPr>
      <t xml:space="preserve">화 심부전</t>
    </r>
    <r>
      <rPr>
        <sz val="10"/>
        <rFont val="Arial"/>
        <family val="0"/>
        <charset val="1"/>
      </rPr>
      <t xml:space="preserve">) / Camila</t>
    </r>
    <r>
      <rPr>
        <sz val="10"/>
        <rFont val="WenQuanYi Zen Hei"/>
        <family val="2"/>
      </rPr>
      <t xml:space="preserve">의 이름 명단</t>
    </r>
    <r>
      <rPr>
        <sz val="10"/>
        <rFont val="Arial"/>
        <family val="0"/>
        <charset val="1"/>
      </rPr>
      <t xml:space="preserve">(→12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위탁 계약</t>
    </r>
    <r>
      <rPr>
        <sz val="10"/>
        <rFont val="Arial"/>
        <family val="0"/>
        <charset val="1"/>
      </rPr>
      <t xml:space="preserve">(→9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</si>
  <si>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S4● S3○ S2○ P3○</t>
  </si>
  <si>
    <r>
      <rPr>
        <sz val="10"/>
        <rFont val="WenQuanYi Zen Hei"/>
        <family val="2"/>
      </rPr>
      <t xml:space="preserve">사회조직 위탁 운영</t>
    </r>
    <r>
      <rPr>
        <sz val="10"/>
        <rFont val="Noto Sans CJK SC"/>
        <family val="2"/>
        <charset val="1"/>
      </rPr>
      <t xml:space="preserve">(OSS, Lei 9.637/1998), </t>
    </r>
    <r>
      <rPr>
        <sz val="10"/>
        <rFont val="WenQuanYi Zen Hei"/>
        <family val="2"/>
      </rPr>
      <t xml:space="preserve">시 보건국 관리계약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위험도 분류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맨체스터 프로토콜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병상 배정 규제</t>
    </r>
    <r>
      <rPr>
        <sz val="10"/>
        <rFont val="Noto Sans CJK SC"/>
        <family val="2"/>
        <charset val="1"/>
      </rPr>
      <t xml:space="preserve">(regulação), SUS </t>
    </r>
    <r>
      <rPr>
        <sz val="10"/>
        <rFont val="WenQuanYi Zen Hei"/>
        <family val="2"/>
      </rPr>
      <t xml:space="preserve">보편 접근권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196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징계 조사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의료윤리</t>
    </r>
    <r>
      <rPr>
        <sz val="10"/>
        <rFont val="Noto Sans CJK SC"/>
        <family val="2"/>
        <charset val="1"/>
      </rPr>
      <t xml:space="preserve">(CRM)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</si>
  <si>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의학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짧은 명령형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긴박한 호흡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빠른 템포와 짧은 호흡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</si>
  <si>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classificação de risco·sinais vitais·sepse </t>
    </r>
    <r>
      <rPr>
        <sz val="10"/>
        <rFont val="WenQuanYi Zen Hei"/>
        <family val="2"/>
      </rPr>
      <t xml:space="preserve">등 의학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SUS </t>
    </r>
    <r>
      <rPr>
        <sz val="10"/>
        <rFont val="WenQuanYi Zen Hei"/>
        <family val="2"/>
      </rPr>
      <t xml:space="preserve">기본법</t>
    </r>
    <r>
      <rPr>
        <sz val="10"/>
        <rFont val="Arial"/>
        <family val="0"/>
        <charset val="1"/>
      </rPr>
      <t xml:space="preserve">(Lei 8.080/1990), </t>
    </r>
    <r>
      <rPr>
        <sz val="10"/>
        <rFont val="WenQuanYi Zen Hei"/>
        <family val="2"/>
      </rPr>
      <t xml:space="preserve">이용자 권리 헌장</t>
    </r>
    <r>
      <rPr>
        <sz val="10"/>
        <rFont val="Arial"/>
        <family val="0"/>
        <charset val="1"/>
      </rPr>
      <t xml:space="preserve">(Portaria MS 1.820/2009), OSS</t>
    </r>
    <r>
      <rPr>
        <sz val="10"/>
        <rFont val="WenQuanYi Zen Hei"/>
        <family val="2"/>
      </rPr>
      <t xml:space="preserve">법</t>
    </r>
    <r>
      <rPr>
        <sz val="10"/>
        <rFont val="Arial"/>
        <family val="0"/>
        <charset val="1"/>
      </rPr>
      <t xml:space="preserve">(Lei 9.637/1998).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</si>
  <si>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Bruno — «Minha vez.» </t>
    </r>
    <r>
      <rPr>
        <sz val="10"/>
        <rFont val="WenQuanYi Zen Hei"/>
        <family val="2"/>
      </rPr>
      <t xml:space="preserve">그 서명의 주인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</si>
  <si>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O Auditor — </t>
    </r>
    <r>
      <rPr>
        <b val="true"/>
        <sz val="10"/>
        <color rgb="FFFFFFFF"/>
        <rFont val="WenQuanYi Zen Hei"/>
        <family val="2"/>
      </rPr>
      <t xml:space="preserve">회계사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프레임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금요일 밤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과거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약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년 전</t>
    </r>
    <r>
      <rPr>
        <b val="true"/>
        <sz val="10"/>
        <color rgb="FFFFFFFF"/>
        <rFont val="Arial"/>
        <family val="0"/>
        <charset val="1"/>
      </rPr>
      <t xml:space="preserve">, Barros &amp; Teixeira Auditores(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</si>
  <si>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돈의 흐름과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서명의 책임</t>
    </r>
    <r>
      <rPr>
        <sz val="10"/>
        <rFont val="Noto Sans CJK SC"/>
        <family val="2"/>
        <charset val="1"/>
      </rPr>
      <t xml:space="preserve">'. </t>
    </r>
    <r>
      <rPr>
        <sz val="10"/>
        <rFont val="WenQuanYi Zen Hei"/>
        <family val="2"/>
      </rPr>
      <t xml:space="preserve">부패의 공모가 일상 업무의 얼굴로 온다는 것을 보여 주고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이후 아크의 결정적 증거</t>
    </r>
    <r>
      <rPr>
        <sz val="10"/>
        <rFont val="Noto Sans CJK SC"/>
        <family val="2"/>
        <charset val="1"/>
      </rPr>
      <t xml:space="preserve">(USB)</t>
    </r>
    <r>
      <rPr>
        <sz val="10"/>
        <rFont val="WenQuanYi Zen Hei"/>
        <family val="2"/>
      </rPr>
      <t xml:space="preserve">를 만든다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</si>
  <si>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시니어 파트너가 최대 고객의 이상 거래를 발견하지만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압박과 승진 앞에서 결국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깨끗한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의견서에 서명하고 그 서명이 다른 사람의 죽음과 해고에 쓰인다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</si>
  <si>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정확함을 자랑하던 감사인 →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서명한 사람</t>
    </r>
    <r>
      <rPr>
        <sz val="10"/>
        <rFont val="Noto Sans CJK SC"/>
        <family val="2"/>
        <charset val="1"/>
      </rPr>
      <t xml:space="preserve">'. </t>
    </r>
    <r>
      <rPr>
        <sz val="10"/>
        <rFont val="WenQuanYi Zen Hei"/>
        <family val="2"/>
      </rPr>
      <t xml:space="preserve">다시는 서명하지 않겠다는 다짐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</si>
  <si>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감사인의 독립성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수임료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정확함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생존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</si>
  <si>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'</t>
    </r>
    <r>
      <rPr>
        <sz val="10"/>
        <rFont val="WenQuanYi Zen Hei"/>
        <family val="2"/>
      </rPr>
      <t xml:space="preserve">내가 서명했다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프레임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결산 마감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돈 잘 주는 고객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</si>
  <si>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'</t>
    </r>
    <r>
      <rPr>
        <sz val="10"/>
        <rFont val="WenQuanYi Zen Hei"/>
        <family val="2"/>
      </rPr>
      <t xml:space="preserve">이건 안 맞아</t>
    </r>
    <r>
      <rPr>
        <sz val="10"/>
        <rFont val="Noto Sans CJK SC"/>
        <family val="2"/>
        <charset val="1"/>
      </rPr>
      <t xml:space="preserve">' — </t>
    </r>
    <r>
      <rPr>
        <sz val="10"/>
        <rFont val="WenQuanYi Zen Hei"/>
        <family val="2"/>
      </rPr>
      <t xml:space="preserve">특수관계자 대출 발견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프레임에서 아버지 이야기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</si>
  <si>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파트너 회의 — 한정 의견</t>
    </r>
    <r>
      <rPr>
        <sz val="10"/>
        <rFont val="Noto Sans CJK SC"/>
        <family val="2"/>
        <charset val="1"/>
      </rPr>
      <t xml:space="preserve">(com ressalva) </t>
    </r>
    <r>
      <rPr>
        <sz val="10"/>
        <rFont val="WenQuanYi Zen Hei"/>
        <family val="2"/>
      </rPr>
      <t xml:space="preserve">주장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리스크 위원회로 에스컬레이션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</si>
  <si>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위원회의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증거 불충분</t>
    </r>
    <r>
      <rPr>
        <sz val="10"/>
        <rFont val="Noto Sans CJK SC"/>
        <family val="2"/>
        <charset val="1"/>
      </rPr>
      <t xml:space="preserve">', </t>
    </r>
    <r>
      <rPr>
        <sz val="10"/>
        <rFont val="WenQuanYi Zen Hei"/>
        <family val="2"/>
      </rPr>
      <t xml:space="preserve">자르딘스의 점심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위협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프레임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서명했어요</t>
    </r>
    <r>
      <rPr>
        <sz val="10"/>
        <rFont val="Noto Sans CJK SC"/>
        <family val="2"/>
        <charset val="1"/>
      </rPr>
      <t xml:space="preserve">?'.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</si>
  <si>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서명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그리고 서명 이후 — 계약 확정과 구조조정 통보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</si>
  <si>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프레임에서 </t>
    </r>
    <r>
      <rPr>
        <sz val="10"/>
        <rFont val="Noto Sans CJK SC"/>
        <family val="2"/>
        <charset val="1"/>
      </rPr>
      <t xml:space="preserve">Juliana — «Era eu que fazia a lista.»</t>
    </r>
  </si>
  <si>
    <r>
      <rPr>
        <sz val="10"/>
        <rFont val="Arial"/>
        <family val="0"/>
        <charset val="1"/>
      </rPr>
      <t xml:space="preserve">Bruno: </t>
    </r>
    <r>
      <rPr>
        <sz val="10"/>
        <rFont val="WenQuanYi Zen Hei"/>
        <family val="2"/>
      </rPr>
      <t xml:space="preserve">건조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숫자 낭독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Barros(</t>
    </r>
    <r>
      <rPr>
        <sz val="10"/>
        <rFont val="WenQuanYi Zen Hei"/>
        <family val="2"/>
      </rPr>
      <t xml:space="preserve">대표 파트너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교차 카메오</t>
    </r>
    <r>
      <rPr>
        <sz val="10"/>
        <rFont val="Arial"/>
        <family val="0"/>
        <charset val="1"/>
      </rPr>
      <t xml:space="preserve">: Sérgio(</t>
    </r>
    <r>
      <rPr>
        <sz val="10"/>
        <rFont val="WenQuanYi Zen Hei"/>
        <family val="2"/>
      </rPr>
      <t xml:space="preserve">자료 제공</t>
    </r>
    <r>
      <rPr>
        <sz val="10"/>
        <rFont val="Arial"/>
        <family val="0"/>
        <charset val="1"/>
      </rPr>
      <t xml:space="preserve">), Quintela(</t>
    </r>
    <r>
      <rPr>
        <sz val="10"/>
        <rFont val="WenQuanYi Zen Hei"/>
        <family val="2"/>
      </rPr>
      <t xml:space="preserve">회유</t>
    </r>
    <r>
      <rPr>
        <sz val="10"/>
        <rFont val="Arial"/>
        <family val="0"/>
        <charset val="1"/>
      </rPr>
      <t xml:space="preserve">), Dumont(</t>
    </r>
    <r>
      <rPr>
        <sz val="10"/>
        <rFont val="WenQuanYi Zen Hei"/>
        <family val="2"/>
      </rPr>
      <t xml:space="preserve">전화</t>
    </r>
    <r>
      <rPr>
        <sz val="10"/>
        <rFont val="Arial"/>
        <family val="0"/>
        <charset val="1"/>
      </rPr>
      <t xml:space="preserve">), Juliana(</t>
    </r>
    <r>
      <rPr>
        <sz val="10"/>
        <rFont val="WenQuanYi Zen Hei"/>
        <family val="2"/>
      </rPr>
      <t xml:space="preserve">구조조정 통보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</si>
  <si>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복사본 </t>
    </r>
    <r>
      <rPr>
        <sz val="10"/>
        <rFont val="Noto Sans CJK SC"/>
        <family val="2"/>
        <charset val="1"/>
      </rPr>
      <t xml:space="preserve">USB(→6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, 7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5~6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 / «Eu só assino o que verifiquei»(→11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 / Sérgio </t>
    </r>
    <r>
      <rPr>
        <sz val="10"/>
        <rFont val="WenQuanYi Zen Hei"/>
        <family val="2"/>
      </rPr>
      <t xml:space="preserve">첫 접점</t>
    </r>
    <r>
      <rPr>
        <sz val="10"/>
        <rFont val="Noto Sans CJK SC"/>
        <family val="2"/>
        <charset val="1"/>
      </rPr>
      <t xml:space="preserve">(→7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</si>
  <si>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—(</t>
    </r>
    <r>
      <rPr>
        <sz val="10"/>
        <rFont val="WenQuanYi Zen Hei"/>
        <family val="2"/>
      </rPr>
      <t xml:space="preserve">정치 현안 없음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자금 세탁 중심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</si>
  <si>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감사인 독립성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순환</t>
    </r>
    <r>
      <rPr>
        <sz val="10"/>
        <rFont val="Noto Sans CJK SC"/>
        <family val="2"/>
        <charset val="1"/>
      </rPr>
      <t xml:space="preserve">(CVM </t>
    </r>
    <r>
      <rPr>
        <sz val="10"/>
        <rFont val="WenQuanYi Zen Hei"/>
        <family val="2"/>
      </rPr>
      <t xml:space="preserve">규정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회계기준위원회</t>
    </r>
    <r>
      <rPr>
        <sz val="10"/>
        <rFont val="Noto Sans CJK SC"/>
        <family val="2"/>
        <charset val="1"/>
      </rPr>
      <t xml:space="preserve">(CFC) </t>
    </r>
    <r>
      <rPr>
        <sz val="10"/>
        <rFont val="WenQuanYi Zen Hei"/>
        <family val="2"/>
      </rPr>
      <t xml:space="preserve">감사 기준</t>
    </r>
    <r>
      <rPr>
        <sz val="10"/>
        <rFont val="Noto Sans CJK SC"/>
        <family val="2"/>
        <charset val="1"/>
      </rPr>
      <t xml:space="preserve">(NBC TA), </t>
    </r>
    <r>
      <rPr>
        <sz val="10"/>
        <rFont val="WenQuanYi Zen Hei"/>
        <family val="2"/>
      </rPr>
      <t xml:space="preserve">자금세탁방지</t>
    </r>
    <r>
      <rPr>
        <sz val="10"/>
        <rFont val="Noto Sans CJK SC"/>
        <family val="2"/>
        <charset val="1"/>
      </rPr>
      <t xml:space="preserve">(Lei 9.613/1998, COAF), </t>
    </r>
    <r>
      <rPr>
        <sz val="10"/>
        <rFont val="WenQuanYi Zen Hei"/>
        <family val="2"/>
      </rPr>
      <t xml:space="preserve">특수관계자 거래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의견 종류</t>
    </r>
    <r>
      <rPr>
        <sz val="10"/>
        <rFont val="Noto Sans CJK SC"/>
        <family val="2"/>
        <charset val="1"/>
      </rPr>
      <t xml:space="preserve">(sem ressalva / com ressalva / adversa / abstenção de opinião)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</si>
  <si>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숫자 낭독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수동태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조건문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감사 보고서체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일정한 속도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결론 문장에서 톤 낮춤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</si>
  <si>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balanço·demonstração de resultado·materialidade </t>
    </r>
    <r>
      <rPr>
        <sz val="10"/>
        <rFont val="WenQuanYi Zen Hei"/>
        <family val="2"/>
      </rPr>
      <t xml:space="preserve">등 회계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증권거래위원회</t>
    </r>
    <r>
      <rPr>
        <sz val="10"/>
        <rFont val="Arial"/>
        <family val="0"/>
        <charset val="1"/>
      </rPr>
      <t xml:space="preserve">(CVM) </t>
    </r>
    <r>
      <rPr>
        <sz val="10"/>
        <rFont val="WenQuanYi Zen Hei"/>
        <family val="2"/>
      </rPr>
      <t xml:space="preserve">감사인 순환 규정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자금세탁방지법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상업등기소</t>
    </r>
    <r>
      <rPr>
        <sz val="10"/>
        <rFont val="Arial"/>
        <family val="0"/>
        <charset val="1"/>
      </rPr>
      <t xml:space="preserve">(Junta Comercial).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</si>
  <si>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Juliana — </t>
    </r>
    <r>
      <rPr>
        <sz val="10"/>
        <rFont val="WenQuanYi Zen Hei"/>
        <family val="2"/>
      </rPr>
      <t xml:space="preserve">그 의견서 이후 시작된 구조조정 명단의 주인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</si>
  <si>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A Consultora — </t>
    </r>
    <r>
      <rPr>
        <b val="true"/>
        <sz val="10"/>
        <color rgb="FFFFFFFF"/>
        <rFont val="WenQuanYi Zen Hei"/>
        <family val="2"/>
      </rPr>
      <t xml:space="preserve">컨설턴트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프레임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금요일 밤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과거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약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년 전</t>
    </r>
    <r>
      <rPr>
        <b val="true"/>
        <sz val="10"/>
        <color rgb="FFFFFFFF"/>
        <rFont val="Arial"/>
        <family val="0"/>
        <charset val="1"/>
      </rPr>
      <t xml:space="preserve">, Faria Lima</t>
    </r>
    <r>
      <rPr>
        <b val="true"/>
        <sz val="10"/>
        <color rgb="FFFFFFFF"/>
        <rFont val="WenQuanYi Zen Hei"/>
        <family val="2"/>
      </rPr>
      <t xml:space="preserve">의 </t>
    </r>
    <r>
      <rPr>
        <b val="true"/>
        <sz val="10"/>
        <color rgb="FFFFFFFF"/>
        <rFont val="Arial"/>
        <family val="0"/>
        <charset val="1"/>
      </rPr>
      <t xml:space="preserve">Zênite Consultoria(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Arial"/>
        <family val="0"/>
        <charset val="1"/>
      </rPr>
      <t xml:space="preserve">) 32</t>
    </r>
    <r>
      <rPr>
        <b val="true"/>
        <sz val="10"/>
        <color rgb="FFFFFFFF"/>
        <rFont val="WenQuanYi Zen Hei"/>
        <family val="2"/>
      </rPr>
      <t xml:space="preserve">층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</si>
  <si>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효율의 이름으로 사람이 숫자가 되는 순간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노동</t>
    </r>
    <r>
      <rPr>
        <sz val="10"/>
        <rFont val="Noto Sans CJK SC"/>
        <family val="2"/>
        <charset val="1"/>
      </rPr>
      <t xml:space="preserve">(Edson), </t>
    </r>
    <r>
      <rPr>
        <sz val="10"/>
        <rFont val="WenQuanYi Zen Hei"/>
        <family val="2"/>
      </rPr>
      <t xml:space="preserve">청년 고용</t>
    </r>
    <r>
      <rPr>
        <sz val="10"/>
        <rFont val="Noto Sans CJK SC"/>
        <family val="2"/>
        <charset val="1"/>
      </rPr>
      <t xml:space="preserve">(S1), </t>
    </r>
    <r>
      <rPr>
        <sz val="10"/>
        <rFont val="WenQuanYi Zen Hei"/>
        <family val="2"/>
      </rPr>
      <t xml:space="preserve">비공식 경제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영세 사업자</t>
    </r>
    <r>
      <rPr>
        <sz val="10"/>
        <rFont val="Noto Sans CJK SC"/>
        <family val="2"/>
        <charset val="1"/>
      </rPr>
      <t xml:space="preserve">(E2)</t>
    </r>
    <r>
      <rPr>
        <sz val="10"/>
        <rFont val="WenQuanYi Zen Hei"/>
        <family val="2"/>
      </rPr>
      <t xml:space="preserve">를 도입하고 </t>
    </r>
    <r>
      <rPr>
        <sz val="10"/>
        <rFont val="Noto Sans CJK SC"/>
        <family val="2"/>
        <charset val="1"/>
      </rPr>
      <t xml:space="preserve">Juliana</t>
    </r>
    <r>
      <rPr>
        <sz val="10"/>
        <rFont val="WenQuanYi Zen Hei"/>
        <family val="2"/>
      </rPr>
      <t xml:space="preserve">의 말투 변화를 예고한다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</si>
  <si>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전략 컨설턴트가 영세 기업을 살리려던 낙관에서 출발해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대형 고객 구조조정 모델의 셀 하나가 </t>
    </r>
    <r>
      <rPr>
        <sz val="10"/>
        <rFont val="Noto Sans CJK SC"/>
        <family val="2"/>
        <charset val="1"/>
      </rPr>
      <t xml:space="preserve">412</t>
    </r>
    <r>
      <rPr>
        <sz val="10"/>
        <rFont val="WenQuanYi Zen Hei"/>
        <family val="2"/>
      </rPr>
      <t xml:space="preserve">명의 해고임을 알게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</si>
  <si>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스케일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믿던 사람 → 사람을 숫자로 본 죄책감을 인정하는 사람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프레젠테이션 톤에서 솔직한 톤으로 가는 시작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</si>
  <si>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효율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사람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조직 충성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양심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</si>
  <si>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매트릭스 프레임</t>
    </r>
    <r>
      <rPr>
        <sz val="10"/>
        <rFont val="Noto Sans CJK SC"/>
        <family val="2"/>
        <charset val="1"/>
      </rPr>
      <t xml:space="preserve">, Zênite 32</t>
    </r>
    <r>
      <rPr>
        <sz val="10"/>
        <rFont val="WenQuanYi Zen Hei"/>
        <family val="2"/>
      </rPr>
      <t xml:space="preserve">층</t>
    </r>
    <r>
      <rPr>
        <sz val="10"/>
        <rFont val="Noto Sans CJK SC"/>
        <family val="2"/>
        <charset val="1"/>
      </rPr>
      <t xml:space="preserve">, Tavares </t>
    </r>
    <r>
      <rPr>
        <sz val="10"/>
        <rFont val="WenQuanYi Zen Hei"/>
        <family val="2"/>
      </rPr>
      <t xml:space="preserve">공방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영세 사업자의 실패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</si>
  <si>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이카루스 프로젝트 킥오프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프레임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스프레드시트 한 장</t>
    </r>
    <r>
      <rPr>
        <sz val="10"/>
        <rFont val="Noto Sans CJK SC"/>
        <family val="2"/>
        <charset val="1"/>
      </rPr>
      <t xml:space="preserve">'.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</si>
  <si>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C47 </t>
    </r>
    <r>
      <rPr>
        <sz val="10"/>
        <rFont val="WenQuanYi Zen Hei"/>
        <family val="2"/>
      </rPr>
      <t xml:space="preserve">셀 — </t>
    </r>
    <r>
      <rPr>
        <sz val="10"/>
        <rFont val="Noto Sans CJK SC"/>
        <family val="2"/>
        <charset val="1"/>
      </rPr>
      <t xml:space="preserve">412</t>
    </r>
    <r>
      <rPr>
        <sz val="10"/>
        <rFont val="WenQuanYi Zen Hei"/>
        <family val="2"/>
      </rPr>
      <t xml:space="preserve">개 일자리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샴페인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</si>
  <si>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협상 테이블에서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과 대면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잘못 보낸 이메일과 </t>
    </r>
    <r>
      <rPr>
        <sz val="10"/>
        <rFont val="Noto Sans CJK SC"/>
        <family val="2"/>
        <charset val="1"/>
      </rPr>
      <t xml:space="preserve">Isabel </t>
    </r>
    <r>
      <rPr>
        <sz val="10"/>
        <rFont val="WenQuanYi Zen Hei"/>
        <family val="2"/>
      </rPr>
      <t xml:space="preserve">상담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프레임 </t>
    </r>
    <r>
      <rPr>
        <sz val="10"/>
        <rFont val="Noto Sans CJK SC"/>
        <family val="2"/>
        <charset val="1"/>
      </rPr>
      <t xml:space="preserve">'412'.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</si>
  <si>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파업과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의 해고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마지막 회의에서 사직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</si>
  <si>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프레임 — 네 명이 같은 강당에 모인 브라스의 화요일 예고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</si>
  <si>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Juliana: </t>
    </r>
    <r>
      <rPr>
        <sz val="10"/>
        <rFont val="WenQuanYi Zen Hei"/>
        <family val="2"/>
      </rPr>
      <t xml:space="preserve">영어식 경영 용어가 섞인 빠른 말투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Tavares(</t>
    </r>
    <r>
      <rPr>
        <sz val="10"/>
        <rFont val="WenQuanYi Zen Hei"/>
        <family val="2"/>
      </rPr>
      <t xml:space="preserve">공방 주인</t>
    </r>
    <r>
      <rPr>
        <sz val="10"/>
        <rFont val="Arial"/>
        <family val="0"/>
        <charset val="1"/>
      </rPr>
      <t xml:space="preserve">), Zênite </t>
    </r>
    <r>
      <rPr>
        <sz val="10"/>
        <rFont val="WenQuanYi Zen Hei"/>
        <family val="2"/>
      </rPr>
      <t xml:space="preserve">파트너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교차 카메오</t>
    </r>
    <r>
      <rPr>
        <sz val="10"/>
        <rFont val="Arial"/>
        <family val="0"/>
        <charset val="1"/>
      </rPr>
      <t xml:space="preserve">: Edson(</t>
    </r>
    <r>
      <rPr>
        <sz val="10"/>
        <rFont val="WenQuanYi Zen Hei"/>
        <family val="2"/>
      </rPr>
      <t xml:space="preserve">협상 상대</t>
    </r>
    <r>
      <rPr>
        <sz val="10"/>
        <rFont val="Arial"/>
        <family val="0"/>
        <charset val="1"/>
      </rPr>
      <t xml:space="preserve">), Isabel(</t>
    </r>
    <r>
      <rPr>
        <sz val="10"/>
        <rFont val="WenQuanYi Zen Hei"/>
        <family val="2"/>
      </rPr>
      <t xml:space="preserve">상담</t>
    </r>
    <r>
      <rPr>
        <sz val="10"/>
        <rFont val="Arial"/>
        <family val="0"/>
        <charset val="1"/>
      </rPr>
      <t xml:space="preserve">), Bruno(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</si>
  <si>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C47 </t>
    </r>
    <r>
      <rPr>
        <sz val="10"/>
        <rFont val="WenQuanYi Zen Hei"/>
        <family val="2"/>
      </rPr>
      <t xml:space="preserve">셀</t>
    </r>
    <r>
      <rPr>
        <sz val="10"/>
        <rFont val="Arial"/>
        <family val="0"/>
        <charset val="1"/>
      </rPr>
      <t xml:space="preserve">(→11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해고 없는 통합</t>
    </r>
    <r>
      <rPr>
        <sz val="10"/>
        <rFont val="Arial"/>
        <family val="0"/>
        <charset val="1"/>
      </rPr>
      <t xml:space="preserve">') / Edson–Juliana </t>
    </r>
    <r>
      <rPr>
        <sz val="10"/>
        <rFont val="WenQuanYi Zen Hei"/>
        <family val="2"/>
      </rPr>
      <t xml:space="preserve">갈등</t>
    </r>
    <r>
      <rPr>
        <sz val="10"/>
        <rFont val="Arial"/>
        <family val="0"/>
        <charset val="1"/>
      </rPr>
      <t xml:space="preserve">(→8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화해</t>
    </r>
    <r>
      <rPr>
        <sz val="10"/>
        <rFont val="Arial"/>
        <family val="0"/>
        <charset val="1"/>
      </rPr>
      <t xml:space="preserve">) / «Beleza, sem slide»(→6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</si>
  <si>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E2● S1○</t>
  </si>
  <si>
    <r>
      <rPr>
        <sz val="10"/>
        <rFont val="WenQuanYi Zen Hei"/>
        <family val="2"/>
      </rPr>
      <t xml:space="preserve">대량 해고와 사전 노조 협상</t>
    </r>
    <r>
      <rPr>
        <sz val="10"/>
        <rFont val="Noto Sans CJK SC"/>
        <family val="2"/>
        <charset val="1"/>
      </rPr>
      <t xml:space="preserve">(STF 2022, CLT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477-A</t>
    </r>
    <r>
      <rPr>
        <sz val="10"/>
        <rFont val="WenQuanYi Zen Hei"/>
        <family val="2"/>
      </rPr>
      <t xml:space="preserve">조와의 충돌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노조 대표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파업권</t>
    </r>
    <r>
      <rPr>
        <sz val="10"/>
        <rFont val="Noto Sans CJK SC"/>
        <family val="2"/>
        <charset val="1"/>
      </rPr>
      <t xml:space="preserve">(Lei 7.783/1989), </t>
    </r>
    <r>
      <rPr>
        <sz val="10"/>
        <rFont val="WenQuanYi Zen Hei"/>
        <family val="2"/>
      </rPr>
      <t xml:space="preserve">외주</t>
    </r>
    <r>
      <rPr>
        <sz val="10"/>
        <rFont val="Noto Sans CJK SC"/>
        <family val="2"/>
        <charset val="1"/>
      </rPr>
      <t xml:space="preserve">·PJ </t>
    </r>
    <r>
      <rPr>
        <sz val="10"/>
        <rFont val="WenQuanYi Zen Hei"/>
        <family val="2"/>
      </rPr>
      <t xml:space="preserve">계약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영세 사업자 구조</t>
    </r>
    <r>
      <rPr>
        <sz val="10"/>
        <rFont val="Noto Sans CJK SC"/>
        <family val="2"/>
        <charset val="1"/>
      </rPr>
      <t xml:space="preserve">(MEI)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</si>
  <si>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영어가 섞인 경영 포르투갈어</t>
    </r>
    <r>
      <rPr>
        <sz val="10"/>
        <rFont val="Arial"/>
        <family val="0"/>
        <charset val="1"/>
      </rPr>
      <t xml:space="preserve">(alinhar, escalar, deadline), </t>
    </r>
    <r>
      <rPr>
        <sz val="10"/>
        <rFont val="WenQuanYi Zen Hei"/>
        <family val="2"/>
      </rPr>
      <t xml:space="preserve">프레젠테이션 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숨 가쁜 톤에서 느린 솔직한 톤으로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</si>
  <si>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stakeholder·escalar·sinergia·KPI </t>
    </r>
    <r>
      <rPr>
        <sz val="10"/>
        <rFont val="WenQuanYi Zen Hei"/>
        <family val="2"/>
      </rPr>
      <t xml:space="preserve">등 경영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노동법</t>
    </r>
    <r>
      <rPr>
        <sz val="10"/>
        <rFont val="Arial"/>
        <family val="0"/>
        <charset val="1"/>
      </rPr>
      <t xml:space="preserve">(CLT)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477-A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대량 해고 사전 협상 판례</t>
    </r>
    <r>
      <rPr>
        <sz val="10"/>
        <rFont val="Arial"/>
        <family val="0"/>
        <charset val="1"/>
      </rPr>
      <t xml:space="preserve">(STF 2022).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</si>
  <si>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브라스 — 네 사람이 같은 총회에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</si>
  <si>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O Encontro — </t>
    </r>
    <r>
      <rPr>
        <b val="true"/>
        <sz val="10"/>
        <color rgb="FFFFFFFF"/>
        <rFont val="WenQuanYi Zen Hei"/>
        <family val="2"/>
      </rPr>
      <t xml:space="preserve">운명적 만남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   |   </t>
    </r>
    <r>
      <rPr>
        <b val="true"/>
        <sz val="10"/>
        <color rgb="FFFFFFFF"/>
        <rFont val="WenQuanYi Zen Hei"/>
        <family val="2"/>
      </rPr>
      <t xml:space="preserve">약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년 전</t>
    </r>
    <r>
      <rPr>
        <b val="true"/>
        <sz val="10"/>
        <color rgb="FFFFFFFF"/>
        <rFont val="Arial"/>
        <family val="0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부보다 앞</t>
    </r>
    <r>
      <rPr>
        <b val="true"/>
        <sz val="10"/>
        <color rgb="FFFFFFFF"/>
        <rFont val="Arial"/>
        <family val="0"/>
        <charset val="1"/>
      </rPr>
      <t xml:space="preserve">). Brás</t>
    </r>
    <r>
      <rPr>
        <b val="true"/>
        <sz val="10"/>
        <color rgb="FFFFFFFF"/>
        <rFont val="WenQuanYi Zen Hei"/>
        <family val="2"/>
      </rPr>
      <t xml:space="preserve">의 낡은 임대 건물 </t>
    </r>
    <r>
      <rPr>
        <b val="true"/>
        <sz val="10"/>
        <color rgb="FFFFFFFF"/>
        <rFont val="Arial"/>
        <family val="0"/>
        <charset val="1"/>
      </rPr>
      <t xml:space="preserve">'14</t>
    </r>
    <r>
      <rPr>
        <b val="true"/>
        <sz val="10"/>
        <color rgb="FFFFFFFF"/>
        <rFont val="WenQuanYi Zen Hei"/>
        <family val="2"/>
      </rPr>
      <t xml:space="preserve">번 블록</t>
    </r>
    <r>
      <rPr>
        <b val="true"/>
        <sz val="10"/>
        <color rgb="FFFFFFFF"/>
        <rFont val="Arial"/>
        <family val="0"/>
        <charset val="1"/>
      </rPr>
      <t xml:space="preserve">(Bloco 14)' → Bixiga </t>
    </r>
    <r>
      <rPr>
        <b val="true"/>
        <sz val="10"/>
        <color rgb="FFFFFFFF"/>
        <rFont val="WenQuanYi Zen Hei"/>
        <family val="2"/>
      </rPr>
      <t xml:space="preserve">사무소 개소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</si>
  <si>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퍼즐 완성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네 개의 과거가 하나의 이름</t>
    </r>
    <r>
      <rPr>
        <sz val="10"/>
        <rFont val="Noto Sans CJK SC"/>
        <family val="2"/>
        <charset val="1"/>
      </rPr>
      <t xml:space="preserve">(Grupo Meridiano)</t>
    </r>
    <r>
      <rPr>
        <sz val="10"/>
        <rFont val="WenQuanYi Zen Hei"/>
        <family val="2"/>
      </rPr>
      <t xml:space="preserve">으로 수렴하고 팀이 결성된다</t>
    </r>
    <r>
      <rPr>
        <sz val="10"/>
        <rFont val="Noto Sans CJK SC"/>
        <family val="2"/>
        <charset val="1"/>
      </rPr>
      <t xml:space="preserve">. 1</t>
    </r>
    <r>
      <rPr>
        <sz val="10"/>
        <rFont val="WenQuanYi Zen Hei"/>
        <family val="2"/>
      </rPr>
      <t xml:space="preserve">부의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왜</t>
    </r>
    <r>
      <rPr>
        <sz val="10"/>
        <rFont val="Noto Sans CJK SC"/>
        <family val="2"/>
        <charset val="1"/>
      </rPr>
      <t xml:space="preserve">?'</t>
    </r>
    <r>
      <rPr>
        <sz val="10"/>
        <rFont val="WenQuanYi Zen Hei"/>
        <family val="2"/>
      </rPr>
      <t xml:space="preserve">에 대한 대답이자 시간의 고리를 닫는 아크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</si>
  <si>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각자 무너진 네 사람이 같은 건물을 지키려고 모였다가 자기들이 서로 다른 얼굴의 같은 회사를 도왔음을 알게 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서로를 비난한 끝에 처음으로 함께 이긴다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</si>
  <si>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혼자 무너진 네 사람 → 서로의 죄를 아는 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</si>
  <si>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서로에 대한 책임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공모</t>
    </r>
    <r>
      <rPr>
        <sz val="10"/>
        <rFont val="Noto Sans CJK SC"/>
        <family val="2"/>
        <charset val="1"/>
      </rPr>
      <t xml:space="preserve">) vs </t>
    </r>
    <r>
      <rPr>
        <sz val="10"/>
        <rFont val="WenQuanYi Zen Hei"/>
        <family val="2"/>
      </rPr>
      <t xml:space="preserve">함께 속죄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</si>
  <si>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브라스의 화요일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낯선 넷</t>
    </r>
    <r>
      <rPr>
        <sz val="10"/>
        <rFont val="Noto Sans CJK SC"/>
        <family val="2"/>
        <charset val="1"/>
      </rPr>
      <t xml:space="preserve">, 14</t>
    </r>
    <r>
      <rPr>
        <sz val="10"/>
        <rFont val="WenQuanYi Zen Hei"/>
        <family val="2"/>
      </rPr>
      <t xml:space="preserve">번 블록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</si>
  <si>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계단의 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첫 속내</t>
    </r>
    <r>
      <rPr>
        <sz val="10"/>
        <rFont val="Noto Sans CJK SC"/>
        <family val="2"/>
        <charset val="1"/>
      </rPr>
      <t xml:space="preserve">), Bruno</t>
    </r>
    <r>
      <rPr>
        <sz val="10"/>
        <rFont val="WenQuanYi Zen Hei"/>
        <family val="2"/>
      </rPr>
      <t xml:space="preserve">의 서류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</si>
  <si>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'</t>
    </r>
    <r>
      <rPr>
        <sz val="10"/>
        <rFont val="WenQuanYi Zen Hei"/>
        <family val="2"/>
      </rPr>
      <t xml:space="preserve">같은 이름</t>
    </r>
    <r>
      <rPr>
        <sz val="10"/>
        <rFont val="Noto Sans CJK SC"/>
        <family val="2"/>
        <charset val="1"/>
      </rPr>
      <t xml:space="preserve">' — </t>
    </r>
    <r>
      <rPr>
        <sz val="10"/>
        <rFont val="WenQuanYi Zen Hei"/>
        <family val="2"/>
      </rPr>
      <t xml:space="preserve">네 개의 과거가 </t>
    </r>
    <r>
      <rPr>
        <sz val="10"/>
        <rFont val="Noto Sans CJK SC"/>
        <family val="2"/>
        <charset val="1"/>
      </rPr>
      <t xml:space="preserve">Meridiano </t>
    </r>
    <r>
      <rPr>
        <sz val="10"/>
        <rFont val="WenQuanYi Zen Hei"/>
        <family val="2"/>
      </rPr>
      <t xml:space="preserve">하나로 이어진다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</si>
  <si>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서로에 대한 비난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퇴거 아침 영시의 협업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첫 정지 승리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</si>
  <si>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비시가의 가게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식탁의 규칙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금요일 이야기 전통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</si>
  <si>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간판이 걸리고 </t>
    </r>
    <r>
      <rPr>
        <sz val="10"/>
        <rFont val="Noto Sans CJK SC"/>
        <family val="2"/>
        <charset val="1"/>
      </rPr>
      <t xml:space="preserve">«Amanhã, às cinco.» → 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화로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</si>
  <si>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합류 순서</t>
    </r>
    <r>
      <rPr>
        <sz val="10"/>
        <rFont val="Noto Sans CJK SC"/>
        <family val="2"/>
        <charset val="1"/>
      </rPr>
      <t xml:space="preserve">: Larissa·Marina(1) → Edson·Zumbi(3) → Marta·Dom Pedro(4) → Freire·Dumont(8) → Machado·Isabel(9) → Sérgio(10). Larissa</t>
    </r>
    <r>
      <rPr>
        <sz val="10"/>
        <rFont val="WenQuanYi Zen Hei"/>
        <family val="2"/>
      </rPr>
      <t xml:space="preserve">는 이 건물의 세입자로 인턴이 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부활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인은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왜 되살아났는지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서로도 모른다는 설정을 여기서 가볍게 확인한다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</si>
  <si>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첫 회의 대사</t>
    </r>
    <r>
      <rPr>
        <sz val="10"/>
        <rFont val="Noto Sans CJK SC"/>
        <family val="2"/>
        <charset val="1"/>
      </rPr>
      <t xml:space="preserve">(→1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 / </t>
    </r>
    <r>
      <rPr>
        <sz val="10"/>
        <rFont val="WenQuanYi Zen Hei"/>
        <family val="2"/>
      </rPr>
      <t xml:space="preserve">금요일 이야기 규칙</t>
    </r>
    <r>
      <rPr>
        <sz val="10"/>
        <rFont val="Noto Sans CJK SC"/>
        <family val="2"/>
        <charset val="1"/>
      </rPr>
      <t xml:space="preserve">(→2~5</t>
    </r>
    <r>
      <rPr>
        <sz val="10"/>
        <rFont val="WenQuanYi Zen Hei"/>
        <family val="2"/>
      </rPr>
      <t xml:space="preserve">부 프레임</t>
    </r>
    <r>
      <rPr>
        <sz val="10"/>
        <rFont val="Noto Sans CJK SC"/>
        <family val="2"/>
        <charset val="1"/>
      </rPr>
      <t xml:space="preserve">) / Quintela</t>
    </r>
    <r>
      <rPr>
        <sz val="10"/>
        <rFont val="WenQuanYi Zen Hei"/>
        <family val="2"/>
      </rPr>
      <t xml:space="preserve">의 이름</t>
    </r>
    <r>
      <rPr>
        <sz val="10"/>
        <rFont val="Noto Sans CJK SC"/>
        <family val="2"/>
        <charset val="1"/>
      </rPr>
      <t xml:space="preserve">(→7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, 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</t>
    </r>
  </si>
  <si>
    <t xml:space="preserve">E1● S2● S1○</t>
  </si>
  <si>
    <r>
      <rPr>
        <sz val="10"/>
        <rFont val="WenQuanYi Zen Hei"/>
        <family val="2"/>
      </rPr>
      <t xml:space="preserve">퇴거 집행과 취약계층 조정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확인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긴급 가처분</t>
    </r>
    <r>
      <rPr>
        <sz val="10"/>
        <rFont val="Noto Sans CJK SC"/>
        <family val="2"/>
        <charset val="1"/>
      </rPr>
      <t xml:space="preserve">(tutela de urgência), </t>
    </r>
    <r>
      <rPr>
        <sz val="10"/>
        <rFont val="WenQuanYi Zen Hei"/>
        <family val="2"/>
      </rPr>
      <t xml:space="preserve">소유 구조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부동산 펀드 </t>
    </r>
    <r>
      <rPr>
        <sz val="10"/>
        <rFont val="Noto Sans CJK SC"/>
        <family val="2"/>
        <charset val="1"/>
      </rPr>
      <t xml:space="preserve">FII, </t>
    </r>
    <r>
      <rPr>
        <sz val="10"/>
        <rFont val="WenQuanYi Zen Hei"/>
        <family val="2"/>
      </rPr>
      <t xml:space="preserve">역외법인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소규모 임대인</t>
    </r>
  </si>
  <si>
    <r>
      <rPr>
        <sz val="10"/>
        <rFont val="Arial"/>
        <family val="0"/>
        <charset val="1"/>
      </rPr>
      <t xml:space="preserve">B2. </t>
    </r>
    <r>
      <rPr>
        <sz val="10"/>
        <rFont val="WenQuanYi Zen Hei"/>
        <family val="2"/>
      </rPr>
      <t xml:space="preserve">감정 폭발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설득 구어체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다툼과 화해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소리 높임과 회복의 대비</t>
    </r>
    <r>
      <rPr>
        <sz val="10"/>
        <rFont val="Arial"/>
        <family val="0"/>
        <charset val="1"/>
      </rPr>
      <t xml:space="preserve">. o senhor/a senhora → você </t>
    </r>
    <r>
      <rPr>
        <sz val="10"/>
        <rFont val="WenQuanYi Zen Hei"/>
        <family val="2"/>
      </rPr>
      <t xml:space="preserve">전환의 시작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</si>
  <si>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'O que é um fundo abutre?' </t>
    </r>
    <r>
      <rPr>
        <sz val="10"/>
        <rFont val="WenQuanYi Zen Hei"/>
        <family val="2"/>
      </rPr>
      <t xml:space="preserve">등 소유 구조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상업등기소</t>
    </r>
    <r>
      <rPr>
        <sz val="10"/>
        <rFont val="Arial"/>
        <family val="0"/>
        <charset val="1"/>
      </rPr>
      <t xml:space="preserve">(Junta Comercial), </t>
    </r>
    <r>
      <rPr>
        <sz val="10"/>
        <rFont val="WenQuanYi Zen Hei"/>
        <family val="2"/>
      </rPr>
      <t xml:space="preserve">퇴거 조정 규정</t>
    </r>
    <r>
      <rPr>
        <sz val="10"/>
        <rFont val="Arial"/>
        <family val="0"/>
        <charset val="1"/>
      </rPr>
      <t xml:space="preserve">(ADPF 828).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</si>
  <si>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— 원이 닫힌다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그리고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부로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</si>
  <si>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A Rede de Resistência — </t>
    </r>
    <r>
      <rPr>
        <b val="true"/>
        <sz val="10"/>
        <color rgb="FFFFFFFF"/>
        <rFont val="WenQuanYi Zen Hei"/>
        <family val="2"/>
      </rPr>
      <t xml:space="preserve">전면전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사무소 개소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년 후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법원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시청 앞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상파울루 전역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</si>
  <si>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전문 능력이 결합되어 첫 결정적 승리를 얻지만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판결이 법 앞에서 무력할 수 있음을 배운다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정치의 필요성을 낳는 아크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</si>
  <si>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사무소가 공익소송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내부고발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보도를 결합해 </t>
    </r>
    <r>
      <rPr>
        <sz val="10"/>
        <rFont val="Noto Sans CJK SC"/>
        <family val="2"/>
        <charset val="1"/>
      </rPr>
      <t xml:space="preserve">Grupo Meridiano</t>
    </r>
    <r>
      <rPr>
        <sz val="10"/>
        <rFont val="WenQuanYi Zen Hei"/>
        <family val="2"/>
      </rPr>
      <t xml:space="preserve">를 상대로 전면전을 벌이고 법원 결정을 얻지만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 승리를 뒤집을 법이 준비되고 있음을 알게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</si>
  <si>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사건을 푸는 사무소 → 법을 바꿔야 한다는 결론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</si>
  <si>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합법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효율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도청기</t>
    </r>
    <r>
      <rPr>
        <sz val="10"/>
        <rFont val="Noto Sans CJK SC"/>
        <family val="2"/>
        <charset val="1"/>
      </rPr>
      <t xml:space="preserve">) / </t>
    </r>
    <r>
      <rPr>
        <sz val="10"/>
        <rFont val="WenQuanYi Zen Hei"/>
        <family val="2"/>
      </rPr>
      <t xml:space="preserve">승리의 지속 가능성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</si>
  <si>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1</t>
    </r>
    <r>
      <rPr>
        <sz val="10"/>
        <rFont val="WenQuanYi Zen Hei"/>
        <family val="2"/>
      </rPr>
      <t xml:space="preserve">년 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계단 위의 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피해자를 벌한 법</t>
    </r>
    <r>
      <rPr>
        <sz val="10"/>
        <rFont val="Noto Sans CJK SC"/>
        <family val="2"/>
        <charset val="1"/>
      </rPr>
      <t xml:space="preserve">(N4, </t>
    </r>
    <r>
      <rPr>
        <sz val="10"/>
        <rFont val="WenQuanYi Zen Hei"/>
        <family val="2"/>
      </rPr>
      <t xml:space="preserve">부모소외법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</si>
  <si>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서류 없는 이주 노동자들</t>
    </r>
    <r>
      <rPr>
        <sz val="10"/>
        <rFont val="Noto Sans CJK SC"/>
        <family val="2"/>
        <charset val="1"/>
      </rPr>
      <t xml:space="preserve">(S2), Sérgio</t>
    </r>
    <r>
      <rPr>
        <sz val="10"/>
        <rFont val="WenQuanYi Zen Hei"/>
        <family val="2"/>
      </rPr>
      <t xml:space="preserve">의 제보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</si>
  <si>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사건 파일 — 공익소송</t>
    </r>
    <r>
      <rPr>
        <sz val="10"/>
        <rFont val="Noto Sans CJK SC"/>
        <family val="2"/>
        <charset val="1"/>
      </rPr>
      <t xml:space="preserve">(ação civil pública)</t>
    </r>
    <r>
      <rPr>
        <sz val="10"/>
        <rFont val="WenQuanYi Zen Hei"/>
        <family val="2"/>
      </rPr>
      <t xml:space="preserve">과 연방검찰 고발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</si>
  <si>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보복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사법적 괴롭힘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전등 속 마이크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위법 수집 증거 논쟁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동네의 보초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</si>
  <si>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기소 수리와 연방경찰 압수수색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다가오는 법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공익소송 자격 제한 법안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</si>
  <si>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파울리스타의 의자 — </t>
    </r>
    <r>
      <rPr>
        <sz val="10"/>
        <rFont val="Noto Sans CJK SC"/>
        <family val="2"/>
        <charset val="1"/>
      </rPr>
      <t xml:space="preserve">«A gente tem que mudar a lei.»</t>
    </r>
  </si>
  <si>
    <r>
      <rPr>
        <sz val="10"/>
        <rFont val="Arial"/>
        <family val="0"/>
        <charset val="1"/>
      </rPr>
      <t xml:space="preserve">A Velha Guarda(Dom Pedro·Zumbi·Freire) </t>
    </r>
    <r>
      <rPr>
        <sz val="10"/>
        <rFont val="WenQuanYi Zen Hei"/>
        <family val="2"/>
      </rPr>
      <t xml:space="preserve">본격 합류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Quintela(</t>
    </r>
    <r>
      <rPr>
        <sz val="10"/>
        <rFont val="WenQuanYi Zen Hei"/>
        <family val="2"/>
      </rPr>
      <t xml:space="preserve">회장</t>
    </r>
    <r>
      <rPr>
        <sz val="10"/>
        <rFont val="Arial"/>
        <family val="0"/>
        <charset val="1"/>
      </rPr>
      <t xml:space="preserve">), GM </t>
    </r>
    <r>
      <rPr>
        <sz val="10"/>
        <rFont val="WenQuanYi Zen Hei"/>
        <family val="2"/>
      </rPr>
      <t xml:space="preserve">임원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판사</t>
    </r>
    <r>
      <rPr>
        <sz val="10"/>
        <rFont val="Arial"/>
        <family val="0"/>
        <charset val="1"/>
      </rPr>
      <t xml:space="preserve">. Freire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의 합법성 갈등이 핵심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</si>
  <si>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USB·Sérgio </t>
    </r>
    <r>
      <rPr>
        <sz val="10"/>
        <rFont val="WenQuanYi Zen Hei"/>
        <family val="2"/>
      </rPr>
      <t xml:space="preserve">자료</t>
    </r>
    <r>
      <rPr>
        <sz val="10"/>
        <rFont val="Arial"/>
        <family val="0"/>
        <charset val="1"/>
      </rPr>
      <t xml:space="preserve">(→9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도청기 논쟁</t>
    </r>
    <r>
      <rPr>
        <sz val="10"/>
        <rFont val="Arial"/>
        <family val="0"/>
        <charset val="1"/>
      </rPr>
      <t xml:space="preserve">(→11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공익소송 자격 제한 법안</t>
    </r>
    <r>
      <rPr>
        <sz val="10"/>
        <rFont val="Arial"/>
        <family val="0"/>
        <charset val="1"/>
      </rPr>
      <t xml:space="preserve">(→8</t>
    </r>
    <r>
      <rPr>
        <sz val="10"/>
        <rFont val="WenQuanYi Zen Hei"/>
        <family val="2"/>
      </rPr>
      <t xml:space="preserve">부 동기</t>
    </r>
    <r>
      <rPr>
        <sz val="10"/>
        <rFont val="Arial"/>
        <family val="0"/>
        <charset val="1"/>
      </rPr>
      <t xml:space="preserve">)</t>
    </r>
  </si>
  <si>
    <t xml:space="preserve">N4● S2● P3●</t>
  </si>
  <si>
    <r>
      <rPr>
        <sz val="10"/>
        <rFont val="WenQuanYi Zen Hei"/>
        <family val="2"/>
      </rPr>
      <t xml:space="preserve">공익소송</t>
    </r>
    <r>
      <rPr>
        <sz val="10"/>
        <rFont val="Arial"/>
        <family val="0"/>
        <charset val="1"/>
      </rPr>
      <t xml:space="preserve">(Lei 7.347/1985), </t>
    </r>
    <r>
      <rPr>
        <sz val="10"/>
        <rFont val="WenQuanYi Zen Hei"/>
        <family val="2"/>
      </rPr>
      <t xml:space="preserve">시민소송</t>
    </r>
    <r>
      <rPr>
        <sz val="10"/>
        <rFont val="Arial"/>
        <family val="0"/>
        <charset val="1"/>
      </rPr>
      <t xml:space="preserve">(Lei 4.717/1965), </t>
    </r>
    <r>
      <rPr>
        <sz val="10"/>
        <rFont val="WenQuanYi Zen Hei"/>
        <family val="2"/>
      </rPr>
      <t xml:space="preserve">연방검찰</t>
    </r>
    <r>
      <rPr>
        <sz val="10"/>
        <rFont val="Arial"/>
        <family val="0"/>
        <charset val="1"/>
      </rPr>
      <t xml:space="preserve">(MPF), </t>
    </r>
    <r>
      <rPr>
        <sz val="10"/>
        <rFont val="WenQuanYi Zen Hei"/>
        <family val="2"/>
      </rPr>
      <t xml:space="preserve">연방법원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내부고발자 보호</t>
    </r>
    <r>
      <rPr>
        <sz val="10"/>
        <rFont val="Arial"/>
        <family val="0"/>
        <charset val="1"/>
      </rPr>
      <t xml:space="preserve">(Lei 13.608/2018), </t>
    </r>
    <r>
      <rPr>
        <sz val="10"/>
        <rFont val="WenQuanYi Zen Hei"/>
        <family val="2"/>
      </rPr>
      <t xml:space="preserve">위법 수집 증거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LVI), </t>
    </r>
    <r>
      <rPr>
        <sz val="10"/>
        <rFont val="WenQuanYi Zen Hei"/>
        <family val="2"/>
      </rPr>
      <t xml:space="preserve">명예훼손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부모소외법</t>
    </r>
    <r>
      <rPr>
        <sz val="10"/>
        <rFont val="Arial"/>
        <family val="0"/>
        <charset val="1"/>
      </rPr>
      <t xml:space="preserve">(Lei 12.318/2010)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</si>
  <si>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집단 소송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성명서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인터뷰 어휘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긴박한 대화와 기자회견 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</si>
  <si>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representação·denúncia·réu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공익소송법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LVI, </t>
    </r>
    <r>
      <rPr>
        <sz val="10"/>
        <rFont val="WenQuanYi Zen Hei"/>
        <family val="2"/>
      </rPr>
      <t xml:space="preserve">부모소외법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</si>
  <si>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Paulista — </t>
    </r>
    <r>
      <rPr>
        <sz val="10"/>
        <rFont val="WenQuanYi Zen Hei"/>
        <family val="2"/>
      </rPr>
      <t xml:space="preserve">광장으로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</si>
  <si>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O Despertar Cívico — </t>
    </r>
    <r>
      <rPr>
        <b val="true"/>
        <sz val="10"/>
        <color rgb="FFFFFFFF"/>
        <rFont val="WenQuanYi Zen Hei"/>
        <family val="2"/>
      </rPr>
      <t xml:space="preserve">정치적 각성과 창당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사무소 개소 약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년 후</t>
    </r>
    <r>
      <rPr>
        <b val="true"/>
        <sz val="10"/>
        <color rgb="FFFFFFFF"/>
        <rFont val="Arial"/>
        <family val="0"/>
        <charset val="1"/>
      </rPr>
      <t xml:space="preserve">. Avenida Paulista → </t>
    </r>
    <r>
      <rPr>
        <b val="true"/>
        <sz val="10"/>
        <color rgb="FFFFFFFF"/>
        <rFont val="WenQuanYi Zen Hei"/>
        <family val="2"/>
      </rPr>
      <t xml:space="preserve">골목길 캠페인 → 시장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시의원 선거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총선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년 전에 따로 치러짐</t>
    </r>
    <r>
      <rPr>
        <b val="true"/>
        <sz val="10"/>
        <color rgb="FFFFFFFF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</si>
  <si>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장르 전환점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사건을 푸는 사무소에서 법을 바꾸는 정당으로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집회 통지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국민발안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정당 등록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선거 절차를 낭독 어휘로 소개한다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</si>
  <si>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법정에서 이겨도 법이 그대로면 소용없다는 걸 안 사무소가 광장으로 나가 국민발안에 도전하지만 서랍 속에서 좌초하고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스스로 정당 </t>
    </r>
    <r>
      <rPr>
        <sz val="10"/>
        <rFont val="Noto Sans CJK SC"/>
        <family val="2"/>
        <charset val="1"/>
      </rPr>
      <t xml:space="preserve">«Casa Comum»</t>
    </r>
    <r>
      <rPr>
        <sz val="10"/>
        <rFont val="WenQuanYi Zen Hei"/>
        <family val="2"/>
      </rPr>
      <t xml:space="preserve">을 만든다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</si>
  <si>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사건 해결자 → 후보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사무소가 정당이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</si>
  <si>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원칙</t>
    </r>
    <r>
      <rPr>
        <sz val="10"/>
        <rFont val="Noto Sans CJK SC"/>
        <family val="2"/>
        <charset val="1"/>
      </rPr>
      <t xml:space="preserve">(Edson) vs </t>
    </r>
    <r>
      <rPr>
        <sz val="10"/>
        <rFont val="WenQuanYi Zen Hei"/>
        <family val="2"/>
      </rPr>
      <t xml:space="preserve">현실</t>
    </r>
    <r>
      <rPr>
        <sz val="10"/>
        <rFont val="Noto Sans CJK SC"/>
        <family val="2"/>
        <charset val="1"/>
      </rPr>
      <t xml:space="preserve">(Juliana) / </t>
    </r>
    <r>
      <rPr>
        <sz val="10"/>
        <rFont val="WenQuanYi Zen Hei"/>
        <family val="2"/>
      </rPr>
      <t xml:space="preserve">순수함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이기는 것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</si>
  <si>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Paulista </t>
    </r>
    <r>
      <rPr>
        <sz val="10"/>
        <rFont val="WenQuanYi Zen Hei"/>
        <family val="2"/>
      </rPr>
      <t xml:space="preserve">집회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사건에서 법으로</t>
    </r>
    <r>
      <rPr>
        <sz val="10"/>
        <rFont val="Noto Sans CJK SC"/>
        <family val="2"/>
        <charset val="1"/>
      </rPr>
      <t xml:space="preserve">, 150</t>
    </r>
    <r>
      <rPr>
        <sz val="10"/>
        <rFont val="WenQuanYi Zen Hei"/>
        <family val="2"/>
      </rPr>
      <t xml:space="preserve">만 서명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</si>
  <si>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전환점</t>
    </r>
    <r>
      <rPr>
        <sz val="10"/>
        <rFont val="Noto Sans CJK SC"/>
        <family val="2"/>
        <charset val="1"/>
      </rPr>
      <t xml:space="preserve">(4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대리 발의된 법안이 뼈대만 남고 서랍 속으로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</si>
  <si>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정당의 탄생 — 창립 문서 서명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이름 </t>
    </r>
    <r>
      <rPr>
        <sz val="10"/>
        <rFont val="Noto Sans CJK SC"/>
        <family val="2"/>
        <charset val="1"/>
      </rPr>
      <t xml:space="preserve">«Casa Comum», 55</t>
    </r>
    <r>
      <rPr>
        <sz val="10"/>
        <rFont val="WenQuanYi Zen Hei"/>
        <family val="2"/>
      </rPr>
      <t xml:space="preserve">만 지지 서명 운동 시작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</si>
  <si>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(6~9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정관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내부 민주주의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깨끗한 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개방형 명부와 성별 할당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골목길 캠페인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</si>
  <si>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가짜뉴스 공격과 반론권 청구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선거 전날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</si>
  <si>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개표의 밤 — 시의회 </t>
    </r>
    <r>
      <rPr>
        <sz val="10"/>
        <rFont val="Noto Sans CJK SC"/>
        <family val="2"/>
        <charset val="1"/>
      </rPr>
      <t xml:space="preserve">55</t>
    </r>
    <r>
      <rPr>
        <sz val="10"/>
        <rFont val="WenQuanYi Zen Hei"/>
        <family val="2"/>
      </rPr>
      <t xml:space="preserve">석 중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시장 선거 </t>
    </r>
    <r>
      <rPr>
        <sz val="10"/>
        <rFont val="Noto Sans CJK SC"/>
        <family val="2"/>
        <charset val="1"/>
      </rPr>
      <t xml:space="preserve">Rafael 3</t>
    </r>
    <r>
      <rPr>
        <sz val="10"/>
        <rFont val="WenQuanYi Zen Hei"/>
        <family val="2"/>
      </rPr>
      <t xml:space="preserve">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</si>
  <si>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Arial"/>
        <family val="0"/>
        <charset val="1"/>
      </rPr>
      <t xml:space="preserve">Machado: </t>
    </r>
    <r>
      <rPr>
        <sz val="10"/>
        <rFont val="WenQuanYi Zen Hei"/>
        <family val="2"/>
      </rPr>
      <t xml:space="preserve">첫 문장 → 정당 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연설문</t>
    </r>
    <r>
      <rPr>
        <sz val="10"/>
        <rFont val="Arial"/>
        <family val="0"/>
        <charset val="1"/>
      </rPr>
      <t xml:space="preserve">. Edson vs Juliana</t>
    </r>
    <r>
      <rPr>
        <sz val="10"/>
        <rFont val="WenQuanYi Zen Hei"/>
        <family val="2"/>
      </rPr>
      <t xml:space="preserve">의 원칙 논쟁</t>
    </r>
    <r>
      <rPr>
        <sz val="10"/>
        <rFont val="Arial"/>
        <family val="0"/>
        <charset val="1"/>
      </rPr>
      <t xml:space="preserve">. Rafael=</t>
    </r>
    <r>
      <rPr>
        <sz val="10"/>
        <rFont val="WenQuanYi Zen Hei"/>
        <family val="2"/>
      </rPr>
      <t xml:space="preserve">시장 후보</t>
    </r>
    <r>
      <rPr>
        <sz val="10"/>
        <rFont val="Arial"/>
        <family val="0"/>
        <charset val="1"/>
      </rPr>
      <t xml:space="preserve">, Bruno·Camila=</t>
    </r>
    <r>
      <rPr>
        <sz val="10"/>
        <rFont val="WenQuanYi Zen Hei"/>
        <family val="2"/>
      </rPr>
      <t xml:space="preserve">시의원 후보</t>
    </r>
    <r>
      <rPr>
        <sz val="10"/>
        <rFont val="Arial"/>
        <family val="0"/>
        <charset val="1"/>
      </rPr>
      <t xml:space="preserve">. Larissa: </t>
    </r>
    <r>
      <rPr>
        <sz val="10"/>
        <rFont val="WenQuanYi Zen Hei"/>
        <family val="2"/>
      </rPr>
      <t xml:space="preserve">첫 후보 등록 실무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</si>
  <si>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Edson–Juliana </t>
    </r>
    <r>
      <rPr>
        <sz val="10"/>
        <rFont val="WenQuanYi Zen Hei"/>
        <family val="2"/>
      </rPr>
      <t xml:space="preserve">화해</t>
    </r>
    <r>
      <rPr>
        <sz val="10"/>
        <rFont val="Arial"/>
        <family val="0"/>
        <charset val="1"/>
      </rPr>
      <t xml:space="preserve">(→10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정당 이름의 유래</t>
    </r>
    <r>
      <rPr>
        <sz val="10"/>
        <rFont val="Arial"/>
        <family val="0"/>
        <charset val="1"/>
      </rPr>
      <t xml:space="preserve">(Marta</t>
    </r>
    <r>
      <rPr>
        <sz val="10"/>
        <rFont val="WenQuanYi Zen Hei"/>
        <family val="2"/>
      </rPr>
      <t xml:space="preserve">의 식탁</t>
    </r>
    <r>
      <rPr>
        <sz val="10"/>
        <rFont val="Arial"/>
        <family val="0"/>
        <charset val="1"/>
      </rPr>
      <t xml:space="preserve">)(→13</t>
    </r>
    <r>
      <rPr>
        <sz val="10"/>
        <rFont val="WenQuanYi Zen Hei"/>
        <family val="2"/>
      </rPr>
      <t xml:space="preserve">부 마지막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반론권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언론 갈등</t>
    </r>
    <r>
      <rPr>
        <sz val="10"/>
        <rFont val="Arial"/>
        <family val="0"/>
        <charset val="1"/>
      </rPr>
      <t xml:space="preserve">(→9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</si>
  <si>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P1○ E1○ E2○ S1○ S2○ N4○</t>
  </si>
  <si>
    <r>
      <rPr>
        <sz val="10"/>
        <rFont val="WenQuanYi Zen Hei"/>
        <family val="2"/>
      </rPr>
      <t xml:space="preserve">집회 사전 통지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XVI), </t>
    </r>
    <r>
      <rPr>
        <sz val="10"/>
        <rFont val="WenQuanYi Zen Hei"/>
        <family val="2"/>
      </rPr>
      <t xml:space="preserve">국민발안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61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Noto Sans CJK SC"/>
        <family val="2"/>
        <charset val="1"/>
      </rPr>
      <t xml:space="preserve">, Lei 9.709/1998), </t>
    </r>
    <r>
      <rPr>
        <sz val="10"/>
        <rFont val="WenQuanYi Zen Hei"/>
        <family val="2"/>
      </rPr>
      <t xml:space="preserve">정당 창당</t>
    </r>
    <r>
      <rPr>
        <sz val="10"/>
        <rFont val="Noto Sans CJK SC"/>
        <family val="2"/>
        <charset val="1"/>
      </rPr>
      <t xml:space="preserve">(Lei 9.096/1995, TSE </t>
    </r>
    <r>
      <rPr>
        <sz val="10"/>
        <rFont val="WenQuanYi Zen Hei"/>
        <family val="2"/>
      </rPr>
      <t xml:space="preserve">등록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정당 재정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정당기금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선거기금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기업 후원 금지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선거법</t>
    </r>
    <r>
      <rPr>
        <sz val="10"/>
        <rFont val="Noto Sans CJK SC"/>
        <family val="2"/>
        <charset val="1"/>
      </rPr>
      <t xml:space="preserve">(Código Eleitoral, Lei 9.504/1997), </t>
    </r>
    <r>
      <rPr>
        <sz val="10"/>
        <rFont val="WenQuanYi Zen Hei"/>
        <family val="2"/>
      </rPr>
      <t xml:space="preserve">반론권</t>
    </r>
    <r>
      <rPr>
        <sz val="10"/>
        <rFont val="Noto Sans CJK SC"/>
        <family val="2"/>
        <charset val="1"/>
      </rPr>
      <t xml:space="preserve">(Lei 13.188/2015)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</si>
  <si>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연설</t>
    </r>
    <r>
      <rPr>
        <sz val="10"/>
        <rFont val="Arial"/>
        <family val="0"/>
        <charset val="1"/>
      </rPr>
      <t xml:space="preserve">(discurso)·</t>
    </r>
    <r>
      <rPr>
        <sz val="10"/>
        <rFont val="WenQuanYi Zen Hei"/>
        <family val="2"/>
      </rPr>
      <t xml:space="preserve">구호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선언문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접속법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광장 연설의 볼륨과 호흡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</si>
  <si>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apoiamento·título de eleitor·quociente eleitoral </t>
    </r>
    <r>
      <rPr>
        <sz val="10"/>
        <rFont val="WenQuanYi Zen Hei"/>
        <family val="2"/>
      </rPr>
      <t xml:space="preserve">등 선거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정당법</t>
    </r>
    <r>
      <rPr>
        <sz val="10"/>
        <rFont val="Arial"/>
        <family val="0"/>
        <charset val="1"/>
      </rPr>
      <t xml:space="preserve">(Lei 9.096/1995), </t>
    </r>
    <r>
      <rPr>
        <sz val="10"/>
        <rFont val="WenQuanYi Zen Hei"/>
        <family val="2"/>
      </rPr>
      <t xml:space="preserve">선거법</t>
    </r>
    <r>
      <rPr>
        <sz val="10"/>
        <rFont val="Arial"/>
        <family val="0"/>
        <charset val="1"/>
      </rPr>
      <t xml:space="preserve">(Lei 9.504/1997), TSE </t>
    </r>
    <r>
      <rPr>
        <sz val="10"/>
        <rFont val="WenQuanYi Zen Hei"/>
        <family val="2"/>
      </rPr>
      <t xml:space="preserve">정당 등록 절차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</si>
  <si>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시의회 — 소수 야당의 싸움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</si>
  <si>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Na Câmara Municipal — </t>
    </r>
    <r>
      <rPr>
        <b val="true"/>
        <sz val="10"/>
        <color rgb="FFFFFFFF"/>
        <rFont val="WenQuanYi Zen Hei"/>
        <family val="2"/>
      </rPr>
      <t xml:space="preserve">시의회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C1   |   </t>
    </r>
    <r>
      <rPr>
        <b val="true"/>
        <sz val="10"/>
        <color rgb="FFFFFFFF"/>
        <rFont val="WenQuanYi Zen Hei"/>
        <family val="2"/>
      </rPr>
      <t xml:space="preserve">시의원 취임</t>
    </r>
    <r>
      <rPr>
        <b val="true"/>
        <sz val="10"/>
        <color rgb="FFFFFFFF"/>
        <rFont val="Arial"/>
        <family val="0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 ~ 2</t>
    </r>
    <r>
      <rPr>
        <b val="true"/>
        <sz val="10"/>
        <color rgb="FFFFFFFF"/>
        <rFont val="WenQuanYi Zen Hei"/>
        <family val="2"/>
      </rPr>
      <t xml:space="preserve">년 차</t>
    </r>
    <r>
      <rPr>
        <b val="true"/>
        <sz val="10"/>
        <color rgb="FFFFFFFF"/>
        <rFont val="Arial"/>
        <family val="0"/>
        <charset val="1"/>
      </rPr>
      <t xml:space="preserve">. Palácio Anchieta(Bixiga </t>
    </r>
    <r>
      <rPr>
        <b val="true"/>
        <sz val="10"/>
        <color rgb="FFFFFFFF"/>
        <rFont val="WenQuanYi Zen Hei"/>
        <family val="2"/>
      </rPr>
      <t xml:space="preserve">옆 시의회 청사</t>
    </r>
    <r>
      <rPr>
        <b val="true"/>
        <sz val="10"/>
        <color rgb="FFFFFFFF"/>
        <rFont val="Arial"/>
        <family val="0"/>
        <charset val="1"/>
      </rPr>
      <t xml:space="preserve">), </t>
    </r>
    <r>
      <rPr>
        <b val="true"/>
        <sz val="10"/>
        <color rgb="FFFFFFFF"/>
        <rFont val="WenQuanYi Zen Hei"/>
        <family val="2"/>
      </rPr>
      <t xml:space="preserve">당사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</si>
  <si>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제도 안의 싸움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소수 야당으로 예산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계약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병원 위탁을 파헤치며 권력의 내부를 배운다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의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폭발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이번엔 옳다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</si>
  <si>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시의원 </t>
    </r>
    <r>
      <rPr>
        <sz val="10"/>
        <rFont val="Noto Sans CJK SC"/>
        <family val="2"/>
        <charset val="1"/>
      </rPr>
      <t xml:space="preserve">Bruno</t>
    </r>
    <r>
      <rPr>
        <sz val="10"/>
        <rFont val="WenQuanYi Zen Hei"/>
        <family val="2"/>
      </rPr>
      <t xml:space="preserve">와 </t>
    </r>
    <r>
      <rPr>
        <sz val="10"/>
        <rFont val="Noto Sans CJK SC"/>
        <family val="2"/>
        <charset val="1"/>
      </rPr>
      <t xml:space="preserve">Camila</t>
    </r>
    <r>
      <rPr>
        <sz val="10"/>
        <rFont val="WenQuanYi Zen Hei"/>
        <family val="2"/>
      </rPr>
      <t xml:space="preserve">가 예산과 위탁 계약을 파헤쳐 </t>
    </r>
    <r>
      <rPr>
        <sz val="10"/>
        <rFont val="Noto Sans CJK SC"/>
        <family val="2"/>
        <charset val="1"/>
      </rPr>
      <t xml:space="preserve">Grupo Meridiano</t>
    </r>
    <r>
      <rPr>
        <sz val="10"/>
        <rFont val="WenQuanYi Zen Hei"/>
        <family val="2"/>
      </rPr>
      <t xml:space="preserve">로 이어지는 스캔들을 폭로하고 고발로 잇지만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정치는 사법을 기다려 주지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</si>
  <si>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구경꾼 → 견제자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순진함 → 제도의 요령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</si>
  <si>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동맹의 대가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원칙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폭로의 합법성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</si>
  <si>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시의원 취임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첫 본회의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도시 예산 감사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</si>
  <si>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계약 돋보기</t>
    </r>
    <r>
      <rPr>
        <sz val="10"/>
        <rFont val="Noto Sans CJK SC"/>
        <family val="2"/>
        <charset val="1"/>
      </rPr>
      <t xml:space="preserve">(COHAB-SP·</t>
    </r>
    <r>
      <rPr>
        <sz val="10"/>
        <rFont val="WenQuanYi Zen Hei"/>
        <family val="2"/>
      </rPr>
      <t xml:space="preserve">특별 이전 예산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불편한 동맹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</si>
  <si>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예산의 덫 — 임대료 보조 삭감 조항</t>
    </r>
    <r>
      <rPr>
        <sz val="10"/>
        <rFont val="Noto Sans CJK SC"/>
        <family val="2"/>
        <charset val="1"/>
      </rPr>
      <t xml:space="preserve">, Larissa 2</t>
    </r>
    <r>
      <rPr>
        <sz val="10"/>
        <rFont val="WenQuanYi Zen Hei"/>
        <family val="2"/>
      </rPr>
      <t xml:space="preserve">차 폭발</t>
    </r>
    <r>
      <rPr>
        <sz val="10"/>
        <rFont val="Noto Sans CJK SC"/>
        <family val="2"/>
        <charset val="1"/>
      </rPr>
      <t xml:space="preserve">(Edson</t>
    </r>
    <r>
      <rPr>
        <sz val="10"/>
        <rFont val="WenQuanYi Zen Hei"/>
        <family val="2"/>
      </rPr>
      <t xml:space="preserve">의 욕 포함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</si>
  <si>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시의회 보건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외곽 보건소 폐쇄</t>
    </r>
    <r>
      <rPr>
        <sz val="10"/>
        <rFont val="Noto Sans CJK SC"/>
        <family val="2"/>
        <charset val="1"/>
      </rPr>
      <t xml:space="preserve">·CPI), </t>
    </r>
    <r>
      <rPr>
        <sz val="10"/>
        <rFont val="WenQuanYi Zen Hei"/>
        <family val="2"/>
      </rPr>
      <t xml:space="preserve">스캔들 폭로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고발장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사법 지연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</si>
  <si>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권력의 반격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대선 후보 당내 경선 — 의리의 시험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</si>
  <si>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전당대회에서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을 대통령 후보로 확정 → 브라질리아로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</si>
  <si>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Bruno=</t>
    </r>
    <r>
      <rPr>
        <sz val="10"/>
        <rFont val="WenQuanYi Zen Hei"/>
        <family val="2"/>
      </rPr>
      <t xml:space="preserve">재정위원회</t>
    </r>
    <r>
      <rPr>
        <sz val="10"/>
        <rFont val="Arial"/>
        <family val="0"/>
        <charset val="1"/>
      </rPr>
      <t xml:space="preserve">, Camila=</t>
    </r>
    <r>
      <rPr>
        <sz val="10"/>
        <rFont val="WenQuanYi Zen Hei"/>
        <family val="2"/>
      </rPr>
      <t xml:space="preserve">보건위원회</t>
    </r>
    <r>
      <rPr>
        <sz val="10"/>
        <rFont val="Arial"/>
        <family val="0"/>
        <charset val="1"/>
      </rPr>
      <t xml:space="preserve">. Larissa: </t>
    </r>
    <r>
      <rPr>
        <sz val="10"/>
        <rFont val="WenQuanYi Zen Hei"/>
        <family val="2"/>
      </rPr>
      <t xml:space="preserve">시의원 보좌</t>
    </r>
    <r>
      <rPr>
        <sz val="10"/>
        <rFont val="Arial"/>
        <family val="0"/>
        <charset val="1"/>
      </rPr>
      <t xml:space="preserve">. Freire·Dumont·Sérgio: </t>
    </r>
    <r>
      <rPr>
        <sz val="10"/>
        <rFont val="WenQuanYi Zen Hei"/>
        <family val="2"/>
      </rPr>
      <t xml:space="preserve">스캔들 증거와 보도</t>
    </r>
    <r>
      <rPr>
        <sz val="10"/>
        <rFont val="Arial"/>
        <family val="0"/>
        <charset val="1"/>
      </rPr>
      <t xml:space="preserve">. Edson·Juliana: </t>
    </r>
    <r>
      <rPr>
        <sz val="10"/>
        <rFont val="WenQuanYi Zen Hei"/>
        <family val="2"/>
      </rPr>
      <t xml:space="preserve">동맹 갈등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</si>
  <si>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 2</t>
    </r>
    <r>
      <rPr>
        <sz val="10"/>
        <rFont val="WenQuanYi Zen Hei"/>
        <family val="2"/>
      </rPr>
      <t xml:space="preserve">차 폭발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차의 회수</t>
    </r>
    <r>
      <rPr>
        <sz val="10"/>
        <rFont val="Arial"/>
        <family val="0"/>
        <charset val="1"/>
      </rPr>
      <t xml:space="preserve">) / Meridiano </t>
    </r>
    <r>
      <rPr>
        <sz val="10"/>
        <rFont val="WenQuanYi Zen Hei"/>
        <family val="2"/>
      </rPr>
      <t xml:space="preserve">스캔들</t>
    </r>
    <r>
      <rPr>
        <sz val="10"/>
        <rFont val="Arial"/>
        <family val="0"/>
        <charset val="1"/>
      </rPr>
      <t xml:space="preserve">(→11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</si>
  <si>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P1● P3● E1● N2● S3●</t>
  </si>
  <si>
    <r>
      <rPr>
        <sz val="10"/>
        <rFont val="WenQuanYi Zen Hei"/>
        <family val="2"/>
      </rPr>
      <t xml:space="preserve">시 조직법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본회의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위원회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 예산</t>
    </r>
    <r>
      <rPr>
        <sz val="10"/>
        <rFont val="Arial"/>
        <family val="0"/>
        <charset val="1"/>
      </rPr>
      <t xml:space="preserve">(LOA·LDO), </t>
    </r>
    <r>
      <rPr>
        <sz val="10"/>
        <rFont val="WenQuanYi Zen Hei"/>
        <family val="2"/>
      </rPr>
      <t xml:space="preserve">공공조달법</t>
    </r>
    <r>
      <rPr>
        <sz val="10"/>
        <rFont val="Arial"/>
        <family val="0"/>
        <charset val="1"/>
      </rPr>
      <t xml:space="preserve">(Lei 14.133/2021), </t>
    </r>
    <r>
      <rPr>
        <sz val="10"/>
        <rFont val="WenQuanYi Zen Hei"/>
        <family val="2"/>
      </rPr>
      <t xml:space="preserve">시 감사원</t>
    </r>
    <r>
      <rPr>
        <sz val="10"/>
        <rFont val="Arial"/>
        <family val="0"/>
        <charset val="1"/>
      </rPr>
      <t xml:space="preserve">(TCM-SP), </t>
    </r>
    <r>
      <rPr>
        <sz val="10"/>
        <rFont val="WenQuanYi Zen Hei"/>
        <family val="2"/>
      </rPr>
      <t xml:space="preserve">의원 예산 수정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특별 이전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시의회 </t>
    </r>
    <r>
      <rPr>
        <sz val="10"/>
        <rFont val="Arial"/>
        <family val="0"/>
        <charset val="1"/>
      </rPr>
      <t xml:space="preserve">CPI, </t>
    </r>
    <r>
      <rPr>
        <sz val="10"/>
        <rFont val="WenQuanYi Zen Hei"/>
        <family val="2"/>
      </rPr>
      <t xml:space="preserve">시민소송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 검찰 고발</t>
    </r>
  </si>
  <si>
    <r>
      <rPr>
        <sz val="10"/>
        <rFont val="Arial"/>
        <family val="0"/>
        <charset val="1"/>
      </rPr>
      <t xml:space="preserve">C1. </t>
    </r>
    <r>
      <rPr>
        <sz val="10"/>
        <rFont val="WenQuanYi Zen Hei"/>
        <family val="2"/>
      </rPr>
      <t xml:space="preserve">회의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표결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동의안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답변</t>
    </r>
    <r>
      <rPr>
        <sz val="10"/>
        <rFont val="Arial"/>
        <family val="0"/>
        <charset val="1"/>
      </rPr>
      <t xml:space="preserve">, Vossa Excelência·nobre vereador </t>
    </r>
    <r>
      <rPr>
        <sz val="10"/>
        <rFont val="WenQuanYi Zen Hei"/>
        <family val="2"/>
      </rPr>
      <t xml:space="preserve">호칭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정확하고 절제된 회의체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</si>
  <si>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edital·licitação·emenda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공공조달법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 조직법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 감사원 보고서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</si>
  <si>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국정 도전 — 대통령 선거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</si>
  <si>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Rumo ao Planalto — </t>
    </r>
    <r>
      <rPr>
        <b val="true"/>
        <sz val="10"/>
        <color rgb="FFFFFFFF"/>
        <rFont val="WenQuanYi Zen Hei"/>
        <family val="2"/>
      </rPr>
      <t xml:space="preserve">대선에서 대통령 취임까지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C1~C2   |   9</t>
    </r>
    <r>
      <rPr>
        <b val="true"/>
        <sz val="10"/>
        <color rgb="FFFFFFFF"/>
        <rFont val="WenQuanYi Zen Hei"/>
        <family val="2"/>
      </rPr>
      <t xml:space="preserve">부 이후 약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총선의 해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전국 유세 → 상파울루 개표의 밤 → 브라질리아 </t>
    </r>
    <r>
      <rPr>
        <b val="true"/>
        <sz val="10"/>
        <color rgb="FFFFFFFF"/>
        <rFont val="Arial"/>
        <family val="0"/>
        <charset val="1"/>
      </rPr>
      <t xml:space="preserve">Congresso Nacional·Palácio do Planalto.</t>
    </r>
  </si>
  <si>
    <r>
      <rPr>
        <sz val="10"/>
        <rFont val="WenQuanYi Zen Hei"/>
        <family val="2"/>
      </rPr>
      <t xml:space="preserve">긴장의 정점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현실의 대통령 선출 절차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후보 등록</t>
    </r>
    <r>
      <rPr>
        <sz val="10"/>
        <rFont val="Noto Sans CJK SC"/>
        <family val="2"/>
        <charset val="1"/>
      </rPr>
      <t xml:space="preserve">, 45</t>
    </r>
    <r>
      <rPr>
        <sz val="10"/>
        <rFont val="WenQuanYi Zen Hei"/>
        <family val="2"/>
      </rPr>
      <t xml:space="preserve">일 유세</t>
    </r>
    <r>
      <rPr>
        <sz val="10"/>
        <rFont val="Noto Sans CJK SC"/>
        <family val="2"/>
        <charset val="1"/>
      </rPr>
      <t xml:space="preserve">, 1</t>
    </r>
    <r>
      <rPr>
        <sz val="10"/>
        <rFont val="WenQuanYi Zen Hei"/>
        <family val="2"/>
      </rPr>
      <t xml:space="preserve">차 투표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당선증</t>
    </r>
    <r>
      <rPr>
        <sz val="10"/>
        <rFont val="Noto Sans CJK SC"/>
        <family val="2"/>
        <charset val="1"/>
      </rPr>
      <t xml:space="preserve">, 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일 취임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를 드라마로 옮긴다</t>
    </r>
    <r>
      <rPr>
        <sz val="10"/>
        <rFont val="Noto Sans CJK SC"/>
        <family val="2"/>
        <charset val="1"/>
      </rPr>
      <t xml:space="preserve">. Rafael</t>
    </r>
    <r>
      <rPr>
        <sz val="10"/>
        <rFont val="WenQuanYi Zen Hei"/>
        <family val="2"/>
      </rPr>
      <t xml:space="preserve">이 연설가가 되는 순간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</si>
  <si>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창당 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년 차의 </t>
    </r>
    <r>
      <rPr>
        <sz val="10"/>
        <rFont val="Noto Sans CJK SC"/>
        <family val="2"/>
        <charset val="1"/>
      </rPr>
      <t xml:space="preserve">Casa Comum</t>
    </r>
    <r>
      <rPr>
        <sz val="10"/>
        <rFont val="WenQuanYi Zen Hei"/>
        <family val="2"/>
      </rPr>
      <t xml:space="preserve">이 대선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투표에서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위로 결선에 올라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딥페이크와 초접전을 넘어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을 대통령으로 만든다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</si>
  <si>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시의회 소수당 → 정부의 주인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</si>
  <si>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원칙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협상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장관직 배분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 정부 부채</t>
    </r>
    <r>
      <rPr>
        <sz val="10"/>
        <rFont val="Noto Sans CJK SC"/>
        <family val="2"/>
        <charset val="1"/>
      </rPr>
      <t xml:space="preserve">) / </t>
    </r>
    <r>
      <rPr>
        <sz val="10"/>
        <rFont val="WenQuanYi Zen Hei"/>
        <family val="2"/>
      </rPr>
      <t xml:space="preserve">피로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</si>
  <si>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전당대회와 후보 등록</t>
    </r>
    <r>
      <rPr>
        <sz val="10"/>
        <rFont val="Noto Sans CJK SC"/>
        <family val="2"/>
        <charset val="1"/>
      </rPr>
      <t xml:space="preserve">, 45</t>
    </r>
    <r>
      <rPr>
        <sz val="10"/>
        <rFont val="WenQuanYi Zen Hei"/>
        <family val="2"/>
      </rPr>
      <t xml:space="preserve">일 유세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북동부 풍력단지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가뭄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의료 공백</t>
    </r>
    <r>
      <rPr>
        <sz val="10"/>
        <rFont val="Noto Sans CJK SC"/>
        <family val="2"/>
        <charset val="1"/>
      </rPr>
      <t xml:space="preserve">), TV </t>
    </r>
    <r>
      <rPr>
        <sz val="10"/>
        <rFont val="WenQuanYi Zen Hei"/>
        <family val="2"/>
      </rPr>
      <t xml:space="preserve">토론 초청 문턱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</si>
  <si>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전환점</t>
    </r>
    <r>
      <rPr>
        <sz val="10"/>
        <rFont val="Noto Sans CJK SC"/>
        <family val="2"/>
        <charset val="1"/>
      </rPr>
      <t xml:space="preserve">(4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1</t>
    </r>
    <r>
      <rPr>
        <sz val="10"/>
        <rFont val="WenQuanYi Zen Hei"/>
        <family val="2"/>
      </rPr>
      <t xml:space="preserve">차 투표 —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위로 결선 진출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(5~6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새 의원단 </t>
    </r>
    <r>
      <rPr>
        <sz val="10"/>
        <rFont val="Noto Sans CJK SC"/>
        <family val="2"/>
        <charset val="1"/>
      </rPr>
      <t xml:space="preserve">48</t>
    </r>
    <r>
      <rPr>
        <sz val="10"/>
        <rFont val="WenQuanYi Zen Hei"/>
        <family val="2"/>
      </rPr>
      <t xml:space="preserve">명</t>
    </r>
    <r>
      <rPr>
        <sz val="10"/>
        <rFont val="Noto Sans CJK SC"/>
        <family val="2"/>
        <charset val="1"/>
      </rPr>
      <t xml:space="preserve">, 3</t>
    </r>
    <r>
      <rPr>
        <sz val="10"/>
        <rFont val="WenQuanYi Zen Hei"/>
        <family val="2"/>
      </rPr>
      <t xml:space="preserve">위 후보와 결선 지지 협상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</si>
  <si>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(7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결선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주 전 딥페이크 영상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</si>
  <si>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(8~9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Edson–Juliana </t>
    </r>
    <r>
      <rPr>
        <sz val="10"/>
        <rFont val="WenQuanYi Zen Hei"/>
        <family val="2"/>
      </rPr>
      <t xml:space="preserve">화해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오차 범위 안의 마지막 한 주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</si>
  <si>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전환점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결선 투표 역전승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 </t>
    </r>
    <r>
      <rPr>
        <sz val="10"/>
        <rFont val="Noto Sans CJK SC"/>
        <family val="2"/>
        <charset val="1"/>
      </rPr>
      <t xml:space="preserve">50.8%), </t>
    </r>
    <r>
      <rPr>
        <sz val="10"/>
        <rFont val="WenQuanYi Zen Hei"/>
        <family val="2"/>
      </rPr>
      <t xml:space="preserve">정권 인수와 연립 협상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</si>
  <si>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연방의회에서 헌법 선서와 </t>
    </r>
    <r>
      <rPr>
        <sz val="10"/>
        <rFont val="Noto Sans CJK SC"/>
        <family val="2"/>
        <charset val="1"/>
      </rPr>
      <t xml:space="preserve">Planalto </t>
    </r>
    <r>
      <rPr>
        <sz val="10"/>
        <rFont val="WenQuanYi Zen Hei"/>
        <family val="2"/>
      </rPr>
      <t xml:space="preserve">경사로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</si>
  <si>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Rafael: </t>
    </r>
    <r>
      <rPr>
        <sz val="10"/>
        <rFont val="WenQuanYi Zen Hei"/>
        <family val="2"/>
      </rPr>
      <t xml:space="preserve">후반 연설가로 성장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따뜻한 문장</t>
    </r>
    <r>
      <rPr>
        <sz val="10"/>
        <rFont val="Arial"/>
        <family val="0"/>
        <charset val="1"/>
      </rPr>
      <t xml:space="preserve">). Machado: </t>
    </r>
    <r>
      <rPr>
        <sz val="10"/>
        <rFont val="WenQuanYi Zen Hei"/>
        <family val="2"/>
      </rPr>
      <t xml:space="preserve">연설문</t>
    </r>
    <r>
      <rPr>
        <sz val="10"/>
        <rFont val="Arial"/>
        <family val="0"/>
        <charset val="1"/>
      </rPr>
      <t xml:space="preserve">. Juliana: </t>
    </r>
    <r>
      <rPr>
        <sz val="10"/>
        <rFont val="WenQuanYi Zen Hei"/>
        <family val="2"/>
      </rPr>
      <t xml:space="preserve">협상</t>
    </r>
    <r>
      <rPr>
        <sz val="10"/>
        <rFont val="Arial"/>
        <family val="0"/>
        <charset val="1"/>
      </rPr>
      <t xml:space="preserve">. Zumbi: </t>
    </r>
    <r>
      <rPr>
        <sz val="10"/>
        <rFont val="WenQuanYi Zen Hei"/>
        <family val="2"/>
      </rPr>
      <t xml:space="preserve">캠프 총괄</t>
    </r>
    <r>
      <rPr>
        <sz val="10"/>
        <rFont val="Arial"/>
        <family val="0"/>
        <charset val="1"/>
      </rPr>
      <t xml:space="preserve">. Dumont: </t>
    </r>
    <r>
      <rPr>
        <sz val="10"/>
        <rFont val="WenQuanYi Zen Hei"/>
        <family val="2"/>
      </rPr>
      <t xml:space="preserve">딥페이크 검증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러닝메이트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부통령 후보</t>
    </r>
    <r>
      <rPr>
        <sz val="10"/>
        <rFont val="Arial"/>
        <family val="0"/>
        <charset val="1"/>
      </rPr>
      <t xml:space="preserve">), UCN </t>
    </r>
    <r>
      <rPr>
        <sz val="10"/>
        <rFont val="WenQuanYi Zen Hei"/>
        <family val="2"/>
      </rPr>
      <t xml:space="preserve">후보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선거법원장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결과 발표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연방의회 의장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선서 진행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</si>
  <si>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TB</t>
    </r>
    <r>
      <rPr>
        <sz val="10"/>
        <rFont val="WenQuanYi Zen Hei"/>
        <family val="2"/>
      </rPr>
      <t xml:space="preserve">의 조건부 중립</t>
    </r>
    <r>
      <rPr>
        <sz val="10"/>
        <rFont val="Arial"/>
        <family val="0"/>
        <charset val="1"/>
      </rPr>
      <t xml:space="preserve">(→12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Dom Pedro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조정권</t>
    </r>
    <r>
      <rPr>
        <sz val="10"/>
        <rFont val="Arial"/>
        <family val="0"/>
        <charset val="1"/>
      </rPr>
      <t xml:space="preserve">(Poder Moderador)' </t>
    </r>
    <r>
      <rPr>
        <sz val="10"/>
        <rFont val="WenQuanYi Zen Hei"/>
        <family val="2"/>
      </rPr>
      <t xml:space="preserve">해설</t>
    </r>
    <r>
      <rPr>
        <sz val="10"/>
        <rFont val="Arial"/>
        <family val="0"/>
        <charset val="1"/>
      </rPr>
      <t xml:space="preserve">(→11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결선의 근소한 차</t>
    </r>
    <r>
      <rPr>
        <sz val="10"/>
        <rFont val="Arial"/>
        <family val="0"/>
        <charset val="1"/>
      </rPr>
      <t xml:space="preserve">(→13</t>
    </r>
    <r>
      <rPr>
        <sz val="10"/>
        <rFont val="WenQuanYi Zen Hei"/>
        <family val="2"/>
      </rPr>
      <t xml:space="preserve">부 원형</t>
    </r>
    <r>
      <rPr>
        <sz val="10"/>
        <rFont val="Arial"/>
        <family val="0"/>
        <charset val="1"/>
      </rPr>
      <t xml:space="preserve">)</t>
    </r>
  </si>
  <si>
    <t xml:space="preserve">P1● P2● N5● (○ S3·S4·S1·S2·N3·N4·P3)</t>
  </si>
  <si>
    <r>
      <rPr>
        <sz val="10"/>
        <rFont val="WenQuanYi Zen Hei"/>
        <family val="2"/>
      </rPr>
      <t xml:space="preserve">후보 등록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피선거권 심사</t>
    </r>
    <r>
      <rPr>
        <sz val="10"/>
        <rFont val="Noto Sans CJK SC"/>
        <family val="2"/>
        <charset val="1"/>
      </rPr>
      <t xml:space="preserve">(LC 64/1990·</t>
    </r>
    <r>
      <rPr>
        <sz val="10"/>
        <rFont val="WenQuanYi Zen Hei"/>
        <family val="2"/>
      </rPr>
      <t xml:space="preserve">클린기록법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무료 선거방송</t>
    </r>
    <r>
      <rPr>
        <sz val="10"/>
        <rFont val="Noto Sans CJK SC"/>
        <family val="2"/>
        <charset val="1"/>
      </rPr>
      <t xml:space="preserve">(HGPE), TV </t>
    </r>
    <r>
      <rPr>
        <sz val="10"/>
        <rFont val="WenQuanYi Zen Hei"/>
        <family val="2"/>
      </rPr>
      <t xml:space="preserve">토론 초청 규칙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대통령 선출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77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과반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결선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딥페이크 금지</t>
    </r>
    <r>
      <rPr>
        <sz val="10"/>
        <rFont val="Noto Sans CJK SC"/>
        <family val="2"/>
        <charset val="1"/>
      </rPr>
      <t xml:space="preserve">(TSE </t>
    </r>
    <r>
      <rPr>
        <sz val="10"/>
        <rFont val="WenQuanYi Zen Hei"/>
        <family val="2"/>
      </rPr>
      <t xml:space="preserve">결의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정권 인수</t>
    </r>
    <r>
      <rPr>
        <sz val="10"/>
        <rFont val="Noto Sans CJK SC"/>
        <family val="2"/>
        <charset val="1"/>
      </rPr>
      <t xml:space="preserve">(Lei 10.609/2002), </t>
    </r>
    <r>
      <rPr>
        <sz val="10"/>
        <rFont val="WenQuanYi Zen Hei"/>
        <family val="2"/>
      </rPr>
      <t xml:space="preserve">취임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78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일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</si>
  <si>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C1~C2. </t>
    </r>
    <r>
      <rPr>
        <sz val="10"/>
        <rFont val="WenQuanYi Zen Hei"/>
        <family val="2"/>
      </rPr>
      <t xml:space="preserve">토론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연설 수사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접속법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조건문 완곡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장엄한 호흡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선서문 낭독의 또박또박함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</si>
  <si>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segundo turno·votos válidos·diplomação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77·78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선거법원</t>
    </r>
    <r>
      <rPr>
        <sz val="10"/>
        <rFont val="Arial"/>
        <family val="0"/>
        <charset val="1"/>
      </rPr>
      <t xml:space="preserve">(TSE) </t>
    </r>
    <r>
      <rPr>
        <sz val="10"/>
        <rFont val="WenQuanYi Zen Hei"/>
        <family val="2"/>
      </rPr>
      <t xml:space="preserve">결과 공고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</si>
  <si>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연립 정부의 국정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</si>
  <si>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A Grande Batalha Social I — </t>
    </r>
    <r>
      <rPr>
        <b val="true"/>
        <sz val="10"/>
        <color rgb="FFFFFFFF"/>
        <rFont val="WenQuanYi Zen Hei"/>
        <family val="2"/>
      </rPr>
      <t xml:space="preserve">사회 현안 전투 </t>
    </r>
    <r>
      <rPr>
        <b val="true"/>
        <sz val="10"/>
        <color rgb="FFFFFFFF"/>
        <rFont val="Arial"/>
        <family val="0"/>
        <charset val="1"/>
      </rPr>
      <t xml:space="preserve">I   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C1~C2   |   </t>
    </r>
    <r>
      <rPr>
        <b val="true"/>
        <sz val="10"/>
        <color rgb="FFFFFFFF"/>
        <rFont val="WenQuanYi Zen Hei"/>
        <family val="2"/>
      </rPr>
      <t xml:space="preserve">취임 후 첫 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Arial"/>
        <family val="0"/>
        <charset val="1"/>
      </rPr>
      <t xml:space="preserve">). </t>
    </r>
    <r>
      <rPr>
        <b val="true"/>
        <sz val="10"/>
        <color rgb="FFFFFFFF"/>
        <rFont val="WenQuanYi Zen Hei"/>
        <family val="2"/>
      </rPr>
      <t xml:space="preserve">브라질리아</t>
    </r>
    <r>
      <rPr>
        <b val="true"/>
        <sz val="10"/>
        <color rgb="FFFFFFFF"/>
        <rFont val="Arial"/>
        <family val="0"/>
        <charset val="1"/>
      </rPr>
      <t xml:space="preserve">(Planalto·</t>
    </r>
    <r>
      <rPr>
        <b val="true"/>
        <sz val="10"/>
        <color rgb="FFFFFFFF"/>
        <rFont val="WenQuanYi Zen Hei"/>
        <family val="2"/>
      </rPr>
      <t xml:space="preserve">에스플라나다</t>
    </r>
    <r>
      <rPr>
        <b val="true"/>
        <sz val="10"/>
        <color rgb="FFFFFFFF"/>
        <rFont val="Arial"/>
        <family val="0"/>
        <charset val="1"/>
      </rPr>
      <t xml:space="preserve">), </t>
    </r>
    <r>
      <rPr>
        <b val="true"/>
        <sz val="10"/>
        <color rgb="FFFFFFFF"/>
        <rFont val="WenQuanYi Zen Hei"/>
        <family val="2"/>
      </rPr>
      <t xml:space="preserve">주말엔 상파울루 </t>
    </r>
    <r>
      <rPr>
        <b val="true"/>
        <sz val="10"/>
        <color rgb="FFFFFFFF"/>
        <rFont val="Arial"/>
        <family val="0"/>
        <charset val="1"/>
      </rPr>
      <t xml:space="preserve">Bixiga</t>
    </r>
    <r>
      <rPr>
        <b val="true"/>
        <sz val="10"/>
        <color rgb="FFFFFFFF"/>
        <rFont val="WenQuanYi Zen Hei"/>
        <family val="2"/>
      </rPr>
      <t xml:space="preserve">의 식탁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그리고 브뤼셀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</si>
  <si>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이야기의 시험대이자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의 마지막 임무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대통령이 되어도 권한은 연방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시와 의회로 나뉘어 있다는 현실을 국내에서 배운 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폐위된 황제가 폐위 이후 처음으로 나라를 대표해 브뤼셀에서 직접 협상하고 승리한 직후 숨을 거둔다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</si>
  <si>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연립 정부가 주거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청년의 벽을 넘고</t>
    </r>
    <r>
      <rPr>
        <sz val="10"/>
        <rFont val="Noto Sans CJK SC"/>
        <family val="2"/>
        <charset val="1"/>
      </rPr>
      <t xml:space="preserve">, Dom Pedro</t>
    </r>
    <r>
      <rPr>
        <sz val="10"/>
        <rFont val="WenQuanYi Zen Hei"/>
        <family val="2"/>
      </rPr>
      <t xml:space="preserve">가 자원해 </t>
    </r>
    <r>
      <rPr>
        <sz val="10"/>
        <rFont val="Noto Sans CJK SC"/>
        <family val="2"/>
        <charset val="1"/>
      </rPr>
      <t xml:space="preserve">Mercosul–EU </t>
    </r>
    <r>
      <rPr>
        <sz val="10"/>
        <rFont val="WenQuanYi Zen Hei"/>
        <family val="2"/>
      </rPr>
      <t xml:space="preserve">협정의 막힌 조항을 직접 협상해 이긴 뒤 귀국하자마자 쓰러진다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</si>
  <si>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선거의 사람들 → 통치하는 사람들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그리고 폐위된 황제 → 공화국의 특사로 마지막으로 돌아간 사람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</si>
  <si>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하고 싶은 것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할 수 있는 것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권한</t>
    </r>
    <r>
      <rPr>
        <sz val="10"/>
        <rFont val="Noto Sans CJK SC"/>
        <family val="2"/>
        <charset val="1"/>
      </rPr>
      <t xml:space="preserve">) / </t>
    </r>
    <r>
      <rPr>
        <sz val="10"/>
        <rFont val="WenQuanYi Zen Hei"/>
        <family val="2"/>
      </rPr>
      <t xml:space="preserve">늙은 몸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마지막 임무를 향한 의지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</si>
  <si>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첫 장관회의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보이지 않는 집주인들 — 주거 현안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</si>
  <si>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(3~5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주거법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자기 조항 폐지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응급실 마비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 권한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이주민 분담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</si>
  <si>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청년 고용 협상 — 아직 죽지 않지만 계단에서 숨이 가쁘다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</si>
  <si>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가격 카르텔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도청 논쟁</t>
    </r>
    <r>
      <rPr>
        <sz val="10"/>
        <rFont val="Noto Sans CJK SC"/>
        <family val="2"/>
        <charset val="1"/>
      </rPr>
      <t xml:space="preserve">(Dom Pedro</t>
    </r>
    <r>
      <rPr>
        <sz val="10"/>
        <rFont val="WenQuanYi Zen Hei"/>
        <family val="2"/>
      </rPr>
      <t xml:space="preserve">가 중재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초고소득 과세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</si>
  <si>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전환점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Dom Pedro</t>
    </r>
    <r>
      <rPr>
        <sz val="10"/>
        <rFont val="WenQuanYi Zen Hei"/>
        <family val="2"/>
      </rPr>
      <t xml:space="preserve">가 브뤼셀행을 자원한다 — 금박 이름을 새긴 사업가 출신과 정보기관 출신의 이웃국 병합자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두 지도자를 특징으로만 회상하며 이름은 끝내 말하지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</si>
  <si>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직접 협상 — 상대의 과장을 위성 자료로 반박하고 타결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귀국길의 피로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</si>
  <si>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7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</si>
  <si>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귀국 직후 조국에서 사망</t>
    </r>
    <r>
      <rPr>
        <sz val="10"/>
        <rFont val="Noto Sans CJK SC"/>
        <family val="2"/>
        <charset val="1"/>
      </rPr>
      <t xml:space="preserve">. «Não é ruim.» — </t>
    </r>
    <r>
      <rPr>
        <sz val="10"/>
        <rFont val="WenQuanYi Zen Hei"/>
        <family val="2"/>
      </rPr>
      <t xml:space="preserve">승리 직후라 더 무겁다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</si>
  <si>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Rafael=</t>
    </r>
    <r>
      <rPr>
        <sz val="10"/>
        <rFont val="WenQuanYi Zen Hei"/>
        <family val="2"/>
      </rPr>
      <t xml:space="preserve">대통령</t>
    </r>
    <r>
      <rPr>
        <sz val="10"/>
        <rFont val="Arial"/>
        <family val="0"/>
        <charset val="1"/>
      </rPr>
      <t xml:space="preserve">, Bruno=</t>
    </r>
    <r>
      <rPr>
        <sz val="10"/>
        <rFont val="WenQuanYi Zen Hei"/>
        <family val="2"/>
      </rPr>
      <t xml:space="preserve">재무장관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브뤼셀 동행</t>
    </r>
    <r>
      <rPr>
        <sz val="10"/>
        <rFont val="Arial"/>
        <family val="0"/>
        <charset val="1"/>
      </rPr>
      <t xml:space="preserve">), Camila=</t>
    </r>
    <r>
      <rPr>
        <sz val="10"/>
        <rFont val="WenQuanYi Zen Hei"/>
        <family val="2"/>
      </rPr>
      <t xml:space="preserve">보건장관</t>
    </r>
    <r>
      <rPr>
        <sz val="10"/>
        <rFont val="Arial"/>
        <family val="0"/>
        <charset val="1"/>
      </rPr>
      <t xml:space="preserve">, Juliana=</t>
    </r>
    <r>
      <rPr>
        <sz val="10"/>
        <rFont val="WenQuanYi Zen Hei"/>
        <family val="2"/>
      </rPr>
      <t xml:space="preserve">수석장관</t>
    </r>
    <r>
      <rPr>
        <sz val="10"/>
        <rFont val="Arial"/>
        <family val="0"/>
        <charset val="1"/>
      </rPr>
      <t xml:space="preserve">(Casa Civil), Zumbi=</t>
    </r>
    <r>
      <rPr>
        <sz val="10"/>
        <rFont val="WenQuanYi Zen Hei"/>
        <family val="2"/>
      </rPr>
      <t xml:space="preserve">통합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지역개발장관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국가 민방위 총괄</t>
    </r>
    <r>
      <rPr>
        <sz val="10"/>
        <rFont val="Arial"/>
        <family val="0"/>
        <charset val="1"/>
      </rPr>
      <t xml:space="preserve">), Machado=</t>
    </r>
    <r>
      <rPr>
        <sz val="10"/>
        <rFont val="WenQuanYi Zen Hei"/>
        <family val="2"/>
      </rPr>
      <t xml:space="preserve">연설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브리핑 문구</t>
    </r>
    <r>
      <rPr>
        <sz val="10"/>
        <rFont val="Arial"/>
        <family val="0"/>
        <charset val="1"/>
      </rPr>
      <t xml:space="preserve">, Larissa: </t>
    </r>
    <r>
      <rPr>
        <sz val="10"/>
        <rFont val="WenQuanYi Zen Hei"/>
        <family val="2"/>
      </rPr>
      <t xml:space="preserve">마지막 순간을 함께한다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</si>
  <si>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의 옛 조항 폐지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회수</t>
    </r>
    <r>
      <rPr>
        <sz val="10"/>
        <rFont val="Arial"/>
        <family val="0"/>
        <charset val="1"/>
      </rPr>
      <t xml:space="preserve">) / Dom Pedro </t>
    </r>
    <r>
      <rPr>
        <sz val="10"/>
        <rFont val="WenQuanYi Zen Hei"/>
        <family val="2"/>
      </rPr>
      <t xml:space="preserve">죽음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우산</t>
    </r>
    <r>
      <rPr>
        <sz val="10"/>
        <rFont val="Arial"/>
        <family val="0"/>
        <charset val="1"/>
      </rPr>
      <t xml:space="preserve">(→12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도청 논쟁</t>
    </r>
    <r>
      <rPr>
        <sz val="10"/>
        <rFont val="Arial"/>
        <family val="0"/>
        <charset val="1"/>
      </rPr>
      <t xml:space="preserve">(7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회수</t>
    </r>
    <r>
      <rPr>
        <sz val="10"/>
        <rFont val="Arial"/>
        <family val="0"/>
        <charset val="1"/>
      </rPr>
      <t xml:space="preserve">) / Dom Pedro</t>
    </r>
    <r>
      <rPr>
        <sz val="10"/>
        <rFont val="WenQuanYi Zen Hei"/>
        <family val="2"/>
      </rPr>
      <t xml:space="preserve">가 브뤼셀로 자원</t>
    </r>
    <r>
      <rPr>
        <sz val="10"/>
        <rFont val="Arial"/>
        <family val="0"/>
        <charset val="1"/>
      </rPr>
      <t xml:space="preserve">(→12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메모 승계</t>
    </r>
    <r>
      <rPr>
        <sz val="10"/>
        <rFont val="Arial"/>
        <family val="0"/>
        <charset val="1"/>
      </rPr>
      <t xml:space="preserve">)</t>
    </r>
  </si>
  <si>
    <t xml:space="preserve">E1● E3● S1● S2● N3●</t>
  </si>
  <si>
    <r>
      <rPr>
        <sz val="10"/>
        <rFont val="WenQuanYi Zen Hei"/>
        <family val="2"/>
      </rPr>
      <t xml:space="preserve">장관 임명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SUS 3</t>
    </r>
    <r>
      <rPr>
        <sz val="10"/>
        <rFont val="WenQuanYi Zen Hei"/>
        <family val="2"/>
      </rPr>
      <t xml:space="preserve">자 협의체</t>
    </r>
    <r>
      <rPr>
        <sz val="10"/>
        <rFont val="Arial"/>
        <family val="0"/>
        <charset val="1"/>
      </rPr>
      <t xml:space="preserve">(CIT), </t>
    </r>
    <r>
      <rPr>
        <sz val="10"/>
        <rFont val="WenQuanYi Zen Hei"/>
        <family val="2"/>
      </rPr>
      <t xml:space="preserve">임시조치의 세금 제한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조약 체결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VIII·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I), Mercosul–EU </t>
    </r>
    <r>
      <rPr>
        <sz val="10"/>
        <rFont val="WenQuanYi Zen Hei"/>
        <family val="2"/>
      </rPr>
      <t xml:space="preserve">협정</t>
    </r>
    <r>
      <rPr>
        <sz val="10"/>
        <rFont val="Arial"/>
        <family val="0"/>
        <charset val="1"/>
      </rPr>
      <t xml:space="preserve">, EU </t>
    </r>
    <r>
      <rPr>
        <sz val="10"/>
        <rFont val="WenQuanYi Zen Hei"/>
        <family val="2"/>
      </rPr>
      <t xml:space="preserve">산림전용방지규정</t>
    </r>
    <r>
      <rPr>
        <sz val="10"/>
        <rFont val="Arial"/>
        <family val="0"/>
        <charset val="1"/>
      </rPr>
      <t xml:space="preserve">(EUDR), </t>
    </r>
    <r>
      <rPr>
        <sz val="10"/>
        <rFont val="WenQuanYi Zen Hei"/>
        <family val="2"/>
      </rPr>
      <t xml:space="preserve">위성 산림 감시</t>
    </r>
    <r>
      <rPr>
        <sz val="10"/>
        <rFont val="Arial"/>
        <family val="0"/>
        <charset val="1"/>
      </rPr>
      <t xml:space="preserve">(PRODES)</t>
    </r>
  </si>
  <si>
    <r>
      <rPr>
        <sz val="10"/>
        <rFont val="Arial"/>
        <family val="0"/>
        <charset val="1"/>
      </rPr>
      <t xml:space="preserve">C1~C2. </t>
    </r>
    <r>
      <rPr>
        <sz val="10"/>
        <rFont val="WenQuanYi Zen Hei"/>
        <family val="2"/>
      </rPr>
      <t xml:space="preserve">국정 문서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외교 협상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조문 낭독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완곡어법</t>
    </r>
    <r>
      <rPr>
        <sz val="10"/>
        <rFont val="Arial"/>
        <family val="0"/>
        <charset val="1"/>
      </rPr>
      <t xml:space="preserve">(Dom Pedro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19</t>
    </r>
    <r>
      <rPr>
        <sz val="10"/>
        <rFont val="WenQuanYi Zen Hei"/>
        <family val="2"/>
      </rPr>
      <t xml:space="preserve">세기식 격식체와 대명사 후치 </t>
    </r>
    <r>
      <rPr>
        <sz val="10"/>
        <rFont val="Arial"/>
        <family val="0"/>
        <charset val="1"/>
      </rPr>
      <t xml:space="preserve">dir-lhe-ei).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노련한 협상가의 절제된 반박과 임종 장면의 낮은 목소리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</si>
  <si>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medida provisória·competência concorrente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23·24·30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권한 배분</t>
    </r>
    <r>
      <rPr>
        <sz val="10"/>
        <rFont val="Arial"/>
        <family val="0"/>
        <charset val="1"/>
      </rPr>
      <t xml:space="preserve">), EUDR </t>
    </r>
    <r>
      <rPr>
        <sz val="10"/>
        <rFont val="WenQuanYi Zen Hei"/>
        <family val="2"/>
      </rPr>
      <t xml:space="preserve">원문</t>
    </r>
    <r>
      <rPr>
        <sz val="10"/>
        <rFont val="Arial"/>
        <family val="0"/>
        <charset val="1"/>
      </rPr>
      <t xml:space="preserve">(EUR-Lex).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</si>
  <si>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장례식으로 시작해 그의 메모로 협상을 잇는다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</si>
  <si>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A Grande Batalha Social II — </t>
    </r>
    <r>
      <rPr>
        <b val="true"/>
        <sz val="10"/>
        <color rgb="FFFFFFFF"/>
        <rFont val="WenQuanYi Zen Hei"/>
        <family val="2"/>
      </rPr>
      <t xml:space="preserve">사회 현안 전투 </t>
    </r>
    <r>
      <rPr>
        <b val="true"/>
        <sz val="10"/>
        <color rgb="FFFFFFFF"/>
        <rFont val="Arial"/>
        <family val="0"/>
        <charset val="1"/>
      </rPr>
      <t xml:space="preserve">II   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C1~C2   |   Dom Pedro </t>
    </r>
    <r>
      <rPr>
        <b val="true"/>
        <sz val="10"/>
        <color rgb="FFFFFFFF"/>
        <rFont val="WenQuanYi Zen Hei"/>
        <family val="2"/>
      </rPr>
      <t xml:space="preserve">사후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브라질리아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상파울루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브뤼셀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남부 홍수 현장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</si>
  <si>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상실 이후의 국정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죽은 사람의 메모로 산 사람들이 협상을 잇는 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그리고 새로운 현안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앱 노동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정보기관 사찰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 정신건강과 온라인 도박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통과하는 팀의 성장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</si>
  <si>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장례식을 치른 팀이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의 메모로 브뤼셀 후속 협상을 마무리하고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앱 노동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사찰 스캔들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 정신건강을 거쳐 탄핵 청구와 대홍수까지 버텨낸다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</si>
  <si>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한 사람의 노련함에 기대던 팀 → 그의 방식을 자기 것으로 만든 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</si>
  <si>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애도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계속 가는 것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새 현안들의 무게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</si>
  <si>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장례식 —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가 처음으로 </t>
    </r>
    <r>
      <rPr>
        <sz val="10"/>
        <rFont val="Noto Sans CJK SC"/>
        <family val="2"/>
        <charset val="1"/>
      </rPr>
      <t xml:space="preserve">'você'</t>
    </r>
    <r>
      <rPr>
        <sz val="10"/>
        <rFont val="WenQuanYi Zen Hei"/>
        <family val="2"/>
      </rPr>
      <t xml:space="preserve">를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</si>
  <si>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(2~3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유작 메모 발견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 메모로 잇는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브뤼셀 협상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</si>
  <si>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앱 노동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앱 파업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정보기관 사찰 스캔들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청년 정신건강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온라인 도박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</si>
  <si>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탄핵 청구 방어</t>
    </r>
    <r>
      <rPr>
        <sz val="10"/>
        <rFont val="Noto Sans CJK SC"/>
        <family val="2"/>
        <charset val="1"/>
      </rPr>
      <t xml:space="preserve">(342</t>
    </r>
    <r>
      <rPr>
        <sz val="10"/>
        <rFont val="WenQuanYi Zen Hei"/>
        <family val="2"/>
      </rPr>
      <t xml:space="preserve">표 문턱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남부 대홍수 재난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</si>
  <si>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거리에서 나타난 성과들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</si>
  <si>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(10~12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올드 가드의 빈자리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협정 이행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기후 재원 예산 반영 논쟁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예산안 제출 준비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</si>
  <si>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Bruno·Machado=Dom Pedro</t>
    </r>
    <r>
      <rPr>
        <sz val="10"/>
        <rFont val="WenQuanYi Zen Hei"/>
        <family val="2"/>
      </rPr>
      <t xml:space="preserve">의 메모를 잇는 두 사람</t>
    </r>
    <r>
      <rPr>
        <sz val="10"/>
        <rFont val="Arial"/>
        <family val="0"/>
        <charset val="1"/>
      </rPr>
      <t xml:space="preserve">. Freire=</t>
    </r>
    <r>
      <rPr>
        <sz val="10"/>
        <rFont val="WenQuanYi Zen Hei"/>
        <family val="2"/>
      </rPr>
      <t xml:space="preserve">군사정권 시절 감시받던 경험으로 사찰 스캔들 추적</t>
    </r>
    <r>
      <rPr>
        <sz val="10"/>
        <rFont val="Arial"/>
        <family val="0"/>
        <charset val="1"/>
      </rPr>
      <t xml:space="preserve">. Isabel·Larissa=</t>
    </r>
    <r>
      <rPr>
        <sz val="10"/>
        <rFont val="WenQuanYi Zen Hei"/>
        <family val="2"/>
      </rPr>
      <t xml:space="preserve">청년 정신건강</t>
    </r>
    <r>
      <rPr>
        <sz val="10"/>
        <rFont val="Arial"/>
        <family val="0"/>
        <charset val="1"/>
      </rPr>
      <t xml:space="preserve">. Zumbi·Freire=</t>
    </r>
    <r>
      <rPr>
        <sz val="10"/>
        <rFont val="WenQuanYi Zen Hei"/>
        <family val="2"/>
      </rPr>
      <t xml:space="preserve">빈자리를 마주함</t>
    </r>
    <r>
      <rPr>
        <sz val="10"/>
        <rFont val="Arial"/>
        <family val="0"/>
        <charset val="1"/>
      </rPr>
      <t xml:space="preserve">. Juliana=</t>
    </r>
    <r>
      <rPr>
        <sz val="10"/>
        <rFont val="WenQuanYi Zen Hei"/>
        <family val="2"/>
      </rPr>
      <t xml:space="preserve">자기 부처 소속 정보청의 스캔들을 감당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</si>
  <si>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의 유작 메모</t>
    </r>
    <r>
      <rPr>
        <sz val="10"/>
        <rFont val="Arial"/>
        <family val="0"/>
        <charset val="1"/>
      </rPr>
      <t xml:space="preserve">(11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 회수 시작</t>
    </r>
    <r>
      <rPr>
        <sz val="10"/>
        <rFont val="Arial"/>
        <family val="0"/>
        <charset val="1"/>
      </rPr>
      <t xml:space="preserve">) / Larissa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o senhor → você(1</t>
    </r>
    <r>
      <rPr>
        <sz val="10"/>
        <rFont val="WenQuanYi Zen Hei"/>
        <family val="2"/>
      </rPr>
      <t xml:space="preserve">화에서 전환</t>
    </r>
    <r>
      <rPr>
        <sz val="10"/>
        <rFont val="Arial"/>
        <family val="0"/>
        <charset val="1"/>
      </rPr>
      <t xml:space="preserve">) / 7</t>
    </r>
    <r>
      <rPr>
        <sz val="10"/>
        <rFont val="WenQuanYi Zen Hei"/>
        <family val="2"/>
      </rPr>
      <t xml:space="preserve">부 도청 논쟁이 국가적 스캔들로 확장 </t>
    </r>
    <r>
      <rPr>
        <sz val="10"/>
        <rFont val="Arial"/>
        <family val="0"/>
        <charset val="1"/>
      </rPr>
      <t xml:space="preserve">/ Zumbi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«Tem novidade»(8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</si>
  <si>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N3● E3● N6● N7● N8● P1● P2● P3● N1● S4●</t>
  </si>
  <si>
    <r>
      <rPr>
        <sz val="10"/>
        <rFont val="WenQuanYi Zen Hei"/>
        <family val="2"/>
      </rPr>
      <t xml:space="preserve">유작 메모 승계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정보청법</t>
    </r>
    <r>
      <rPr>
        <sz val="10"/>
        <rFont val="Noto Sans CJK SC"/>
        <family val="2"/>
        <charset val="1"/>
      </rPr>
      <t xml:space="preserve">(Lei 9.883/1999)·</t>
    </r>
    <r>
      <rPr>
        <sz val="10"/>
        <rFont val="WenQuanYi Zen Hei"/>
        <family val="2"/>
      </rPr>
      <t xml:space="preserve">의회 정보활동통제위원회</t>
    </r>
    <r>
      <rPr>
        <sz val="10"/>
        <rFont val="Noto Sans CJK SC"/>
        <family val="2"/>
        <charset val="1"/>
      </rPr>
      <t xml:space="preserve">(CCAI), </t>
    </r>
    <r>
      <rPr>
        <sz val="10"/>
        <rFont val="WenQuanYi Zen Hei"/>
        <family val="2"/>
      </rPr>
      <t xml:space="preserve">앱 노동 법안</t>
    </r>
    <r>
      <rPr>
        <sz val="10"/>
        <rFont val="Noto Sans CJK SC"/>
        <family val="2"/>
        <charset val="1"/>
      </rPr>
      <t xml:space="preserve">(PLP 12/2024, </t>
    </r>
    <r>
      <rPr>
        <sz val="10"/>
        <rFont val="WenQuanYi Zen Hei"/>
        <family val="2"/>
      </rPr>
      <t xml:space="preserve">확인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탄핵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85·86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Lei 1.079/1950), </t>
    </r>
    <r>
      <rPr>
        <sz val="10"/>
        <rFont val="WenQuanYi Zen Hei"/>
        <family val="2"/>
      </rPr>
      <t xml:space="preserve">민방위</t>
    </r>
    <r>
      <rPr>
        <sz val="10"/>
        <rFont val="Noto Sans CJK SC"/>
        <family val="2"/>
        <charset val="1"/>
      </rPr>
      <t xml:space="preserve">(Lei 12.608/2012)·</t>
    </r>
    <r>
      <rPr>
        <sz val="10"/>
        <rFont val="WenQuanYi Zen Hei"/>
        <family val="2"/>
      </rPr>
      <t xml:space="preserve">공공재난사태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재정규칙</t>
    </r>
    <r>
      <rPr>
        <sz val="10"/>
        <rFont val="Noto Sans CJK SC"/>
        <family val="2"/>
        <charset val="1"/>
      </rPr>
      <t xml:space="preserve">(LC 200/2023)·</t>
    </r>
    <r>
      <rPr>
        <sz val="10"/>
        <rFont val="WenQuanYi Zen Hei"/>
        <family val="2"/>
      </rPr>
      <t xml:space="preserve">예산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165~166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</si>
  <si>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C1~C2. </t>
    </r>
    <r>
      <rPr>
        <sz val="10"/>
        <rFont val="WenQuanYi Zen Hei"/>
        <family val="2"/>
      </rPr>
      <t xml:space="preserve">추도사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인용</t>
    </r>
    <r>
      <rPr>
        <sz val="10"/>
        <rFont val="Arial"/>
        <family val="0"/>
        <charset val="1"/>
      </rPr>
      <t xml:space="preserve">(Dom Pedro</t>
    </r>
    <r>
      <rPr>
        <sz val="10"/>
        <rFont val="WenQuanYi Zen Hei"/>
        <family val="2"/>
      </rPr>
      <t xml:space="preserve">의 문장을 빌려 쓰는 대사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국정 어휘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1</t>
    </r>
    <r>
      <rPr>
        <sz val="10"/>
        <rFont val="WenQuanYi Zen Hei"/>
        <family val="2"/>
      </rPr>
      <t xml:space="preserve">화의 낮고 절제된 애도 톤에서 점차 회복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</si>
  <si>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grampo ilegal·spyware·saúde mental·bets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정보청법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감청법</t>
    </r>
    <r>
      <rPr>
        <sz val="10"/>
        <rFont val="Arial"/>
        <family val="0"/>
        <charset val="1"/>
      </rPr>
      <t xml:space="preserve">(Lei 9.296/1996), </t>
    </r>
    <r>
      <rPr>
        <sz val="10"/>
        <rFont val="WenQuanYi Zen Hei"/>
        <family val="2"/>
      </rPr>
      <t xml:space="preserve">온라인 도박 규제법</t>
    </r>
    <r>
      <rPr>
        <sz val="10"/>
        <rFont val="Arial"/>
        <family val="0"/>
        <charset val="1"/>
      </rPr>
      <t xml:space="preserve">(Lei 14.790/2023).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</si>
  <si>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1</t>
    </r>
    <r>
      <rPr>
        <sz val="10"/>
        <rFont val="WenQuanYi Zen Hei"/>
        <family val="2"/>
      </rPr>
      <t xml:space="preserve">부의 식탁으로 돌아간다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</si>
  <si>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13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</si>
  <si>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De Volta ao Bixiga — </t>
    </r>
    <r>
      <rPr>
        <b val="true"/>
        <sz val="10"/>
        <color rgb="FFFFFFFF"/>
        <rFont val="WenQuanYi Zen Hei"/>
        <family val="2"/>
      </rPr>
      <t xml:space="preserve">귀환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B1~B2   |   </t>
    </r>
    <r>
      <rPr>
        <b val="true"/>
        <sz val="10"/>
        <color rgb="FFFFFFFF"/>
        <rFont val="WenQuanYi Zen Hei"/>
        <family val="2"/>
      </rPr>
      <t xml:space="preserve">임기 후반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상파울루 </t>
    </r>
    <r>
      <rPr>
        <b val="true"/>
        <sz val="10"/>
        <color rgb="FFFFFFFF"/>
        <rFont val="Arial"/>
        <family val="0"/>
        <charset val="1"/>
      </rPr>
      <t xml:space="preserve">Bixiga </t>
    </r>
    <r>
      <rPr>
        <b val="true"/>
        <sz val="10"/>
        <color rgb="FFFFFFFF"/>
        <rFont val="WenQuanYi Zen Hei"/>
        <family val="2"/>
      </rPr>
      <t xml:space="preserve">사무소와 </t>
    </r>
    <r>
      <rPr>
        <b val="true"/>
        <sz val="10"/>
        <color rgb="FFFFFFFF"/>
        <rFont val="Arial"/>
        <family val="0"/>
        <charset val="1"/>
      </rPr>
      <t xml:space="preserve">Bar da Marta(</t>
    </r>
    <r>
      <rPr>
        <b val="true"/>
        <sz val="10"/>
        <color rgb="FFFFFFFF"/>
        <rFont val="WenQuanYi Zen Hei"/>
        <family val="2"/>
      </rPr>
      <t xml:space="preserve">장관들은 목요일 밤 브라질리아에서 돌아온다</t>
    </r>
    <r>
      <rPr>
        <b val="true"/>
        <sz val="10"/>
        <color rgb="FFFFFFFF"/>
        <rFont val="Arial"/>
        <family val="0"/>
        <charset val="1"/>
      </rPr>
      <t xml:space="preserve">). </t>
    </r>
    <r>
      <rPr>
        <b val="true"/>
        <sz val="10"/>
        <color rgb="FFFFFFFF"/>
        <rFont val="WenQuanYi Zen Hei"/>
        <family val="2"/>
      </rPr>
      <t xml:space="preserve">마지막에 다시 </t>
    </r>
    <r>
      <rPr>
        <b val="true"/>
        <sz val="10"/>
        <color rgb="FFFFFFFF"/>
        <rFont val="Arial"/>
        <family val="0"/>
        <charset val="1"/>
      </rPr>
      <t xml:space="preserve">'</t>
    </r>
    <r>
      <rPr>
        <b val="true"/>
        <sz val="10"/>
        <color rgb="FFFFFFFF"/>
        <rFont val="WenQuanYi Zen Hei"/>
        <family val="2"/>
      </rPr>
      <t xml:space="preserve">다섯 시</t>
    </r>
    <r>
      <rPr>
        <b val="true"/>
        <sz val="10"/>
        <color rgb="FFFFFFFF"/>
        <rFont val="Arial"/>
        <family val="0"/>
        <charset val="1"/>
      </rPr>
      <t xml:space="preserve">'.</t>
    </r>
  </si>
  <si>
    <r>
      <rPr>
        <sz val="10"/>
        <rFont val="WenQuanYi Zen Hei"/>
        <family val="2"/>
      </rPr>
      <t xml:space="preserve">원형 닫기와 성장의 확인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낭독자가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장면을 다시 읽으며 실력의 성장을 체감한다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가 질문받는 쪽으로 이동한다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</si>
  <si>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장관들이 손님으로 돌아온 비시가에서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의 우산이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에게 도착하고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새 인턴이 던진 질문에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가 답한다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</si>
  <si>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대통령과 장관들 → 다시 식탁 앞의 사람들</t>
    </r>
    <r>
      <rPr>
        <sz val="10"/>
        <rFont val="Noto Sans CJK SC"/>
        <family val="2"/>
        <charset val="1"/>
      </rPr>
      <t xml:space="preserve">. Larissa: </t>
    </r>
    <r>
      <rPr>
        <sz val="10"/>
        <rFont val="WenQuanYi Zen Hei"/>
        <family val="2"/>
      </rPr>
      <t xml:space="preserve">묻는 사람 → 설명하는 사람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</si>
  <si>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애도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계속 가는 것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이해충돌 규정으로 사무소를 놓아야 함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</si>
  <si>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다섯 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우산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유언장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빈 의자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</si>
  <si>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사무소의 재단 전환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새 인턴 </t>
    </r>
    <r>
      <rPr>
        <sz val="10"/>
        <rFont val="Noto Sans CJK SC"/>
        <family val="2"/>
        <charset val="1"/>
      </rPr>
      <t xml:space="preserve">Lucas.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</si>
  <si>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Larissa</t>
    </r>
    <r>
      <rPr>
        <sz val="10"/>
        <rFont val="WenQuanYi Zen Hei"/>
        <family val="2"/>
      </rPr>
      <t xml:space="preserve">가 어려운 말을 쉬운 말로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</si>
  <si>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(7~8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임기 보고서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현안 결산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시민들의 편지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</si>
  <si>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올드 가드와 빈 의자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</si>
  <si>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(10~12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빠진 카드</t>
    </r>
    <r>
      <rPr>
        <sz val="10"/>
        <rFont val="Noto Sans CJK SC"/>
        <family val="2"/>
        <charset val="1"/>
      </rPr>
      <t xml:space="preserve">(Freire</t>
    </r>
    <r>
      <rPr>
        <sz val="10"/>
        <rFont val="WenQuanYi Zen Hei"/>
        <family val="2"/>
      </rPr>
      <t xml:space="preserve">가 처음 결론을 말함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다시 다섯 시</t>
    </r>
    <r>
      <rPr>
        <sz val="10"/>
        <rFont val="Noto Sans CJK SC"/>
        <family val="2"/>
        <charset val="1"/>
      </rPr>
      <t xml:space="preserve">, «Senta aí, que eu trago alguma coisa.»</t>
    </r>
  </si>
  <si>
    <r>
      <rPr>
        <sz val="10"/>
        <rFont val="Arial"/>
        <family val="0"/>
        <charset val="1"/>
      </rPr>
      <t xml:space="preserve">Larissa 12</t>
    </r>
    <r>
      <rPr>
        <sz val="10"/>
        <rFont val="WenQuanYi Zen Hei"/>
        <family val="2"/>
      </rPr>
      <t xml:space="preserve">화 전부</t>
    </r>
    <r>
      <rPr>
        <sz val="10"/>
        <rFont val="Arial"/>
        <family val="0"/>
        <charset val="1"/>
      </rPr>
      <t xml:space="preserve">, Marta 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는 유언장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회상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신규 엑스트라</t>
    </r>
    <r>
      <rPr>
        <sz val="10"/>
        <rFont val="Arial"/>
        <family val="0"/>
        <charset val="1"/>
      </rPr>
      <t xml:space="preserve">: Lucas(</t>
    </r>
    <r>
      <rPr>
        <sz val="10"/>
        <rFont val="WenQuanYi Zen Hei"/>
        <family val="2"/>
      </rPr>
      <t xml:space="preserve">새 인턴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공증인</t>
    </r>
    <r>
      <rPr>
        <sz val="10"/>
        <rFont val="Arial"/>
        <family val="0"/>
        <charset val="1"/>
      </rPr>
      <t xml:space="preserve">(tabeliã).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</si>
  <si>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회수 아크</t>
    </r>
    <r>
      <rPr>
        <sz val="10"/>
        <rFont val="Arial"/>
        <family val="0"/>
        <charset val="1"/>
      </rPr>
      <t xml:space="preserve">) 1</t>
    </r>
    <r>
      <rPr>
        <sz val="10"/>
        <rFont val="WenQuanYi Zen Hei"/>
        <family val="2"/>
      </rPr>
      <t xml:space="preserve">부 첫 대사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우산</t>
    </r>
    <r>
      <rPr>
        <sz val="10"/>
        <rFont val="Arial"/>
        <family val="0"/>
        <charset val="1"/>
      </rPr>
      <t xml:space="preserve">·Freire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·Larissa</t>
    </r>
    <r>
      <rPr>
        <sz val="10"/>
        <rFont val="WenQuanYi Zen Hei"/>
        <family val="2"/>
      </rPr>
      <t xml:space="preserve">의 질문 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복선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회수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 참고</t>
    </r>
  </si>
  <si>
    <r>
      <rPr>
        <sz val="10"/>
        <rFont val="Arial"/>
        <family val="0"/>
        <charset val="1"/>
      </rPr>
      <t xml:space="preserve">S1● (7</t>
    </r>
    <r>
      <rPr>
        <sz val="10"/>
        <rFont val="WenQuanYi Zen Hei"/>
        <family val="2"/>
      </rPr>
      <t xml:space="preserve">화 결산에서 </t>
    </r>
    <r>
      <rPr>
        <sz val="10"/>
        <rFont val="Arial"/>
        <family val="0"/>
        <charset val="1"/>
      </rPr>
      <t xml:space="preserve">E3·S3·N5·N3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</si>
  <si>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공직자 이해충돌법</t>
    </r>
    <r>
      <rPr>
        <sz val="10"/>
        <rFont val="Noto Sans CJK SC"/>
        <family val="2"/>
        <charset val="1"/>
      </rPr>
      <t xml:space="preserve">(Lei 12.813/2013), </t>
    </r>
    <r>
      <rPr>
        <sz val="10"/>
        <rFont val="WenQuanYi Zen Hei"/>
        <family val="2"/>
      </rPr>
      <t xml:space="preserve">변호사 겸직 금지</t>
    </r>
    <r>
      <rPr>
        <sz val="10"/>
        <rFont val="Noto Sans CJK SC"/>
        <family val="2"/>
        <charset val="1"/>
      </rPr>
      <t xml:space="preserve">(Lei 8.906/1994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28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공정증서 유언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유언집행자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유언 등록 조회</t>
    </r>
    <r>
      <rPr>
        <sz val="10"/>
        <rFont val="Noto Sans CJK SC"/>
        <family val="2"/>
        <charset val="1"/>
      </rPr>
      <t xml:space="preserve">(RCTO), </t>
    </r>
    <r>
      <rPr>
        <sz val="10"/>
        <rFont val="WenQuanYi Zen Hei"/>
        <family val="2"/>
      </rPr>
      <t xml:space="preserve">재단 설립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민법 제</t>
    </r>
    <r>
      <rPr>
        <sz val="10"/>
        <rFont val="Noto Sans CJK SC"/>
        <family val="2"/>
        <charset val="1"/>
      </rPr>
      <t xml:space="preserve">62~69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</si>
  <si>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B1~B2. 1</t>
    </r>
    <r>
      <rPr>
        <sz val="10"/>
        <rFont val="WenQuanYi Zen Hei"/>
        <family val="2"/>
      </rPr>
      <t xml:space="preserve">부와 같은 문장을 다시 읽어 비교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따뜻하고 여유로운 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의 설명은 쉬운 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</si>
  <si>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가 새 인턴의 질문에 답한다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Freire</t>
    </r>
    <r>
      <rPr>
        <sz val="10"/>
        <rFont val="WenQuanYi Zen Hei"/>
        <family val="2"/>
      </rPr>
      <t xml:space="preserve">가 처음으로 결론을 직접 말한다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</si>
  <si>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끝 — 원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</si>
  <si>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전체 화별 목차 </t>
    </r>
    <r>
      <rPr>
        <b val="true"/>
        <sz val="14"/>
        <color rgb="FF1F3864"/>
        <rFont val="Noto Sans CJK SC"/>
        <family val="2"/>
        <charset val="1"/>
      </rPr>
      <t xml:space="preserve">(1~13</t>
    </r>
    <r>
      <rPr>
        <b val="true"/>
        <sz val="14"/>
        <color rgb="FF1F3864"/>
        <rFont val="WenQuanYi Zen Hei"/>
        <family val="2"/>
      </rPr>
      <t xml:space="preserve">부</t>
    </r>
    <r>
      <rPr>
        <b val="true"/>
        <sz val="14"/>
        <color rgb="FF1F3864"/>
        <rFont val="Noto Sans CJK SC"/>
        <family val="2"/>
        <charset val="1"/>
      </rPr>
      <t xml:space="preserve">, 156</t>
    </r>
    <r>
      <rPr>
        <b val="true"/>
        <sz val="14"/>
        <color rgb="FF1F3864"/>
        <rFont val="WenQuanYi Zen Hei"/>
        <family val="2"/>
      </rPr>
      <t xml:space="preserve">화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</si>
  <si>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현실 제도와 현안</t>
    </r>
    <r>
      <rPr>
        <i val="true"/>
        <sz val="9"/>
        <color rgb="FF595959"/>
        <rFont val="Noto Sans CJK SC"/>
        <family val="2"/>
        <charset val="1"/>
      </rPr>
      <t xml:space="preserve">(ID</t>
    </r>
    <r>
      <rPr>
        <i val="true"/>
        <sz val="9"/>
        <color rgb="FF595959"/>
        <rFont val="WenQuanYi Zen Hei"/>
        <family val="2"/>
      </rPr>
      <t xml:space="preserve">는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현안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배치</t>
    </r>
    <r>
      <rPr>
        <i val="true"/>
        <sz val="9"/>
        <color rgb="FF595959"/>
        <rFont val="Noto Sans CJK SC"/>
        <family val="2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시트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을 반영한 초안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의석 수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결과는 가상 수치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모든 화는 지문 없이 대화문으로만 진행한다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</si>
  <si>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화</t>
  </si>
  <si>
    <t xml:space="preserve">핵심 사건</t>
  </si>
  <si>
    <t xml:space="preserve">주요 인물</t>
  </si>
  <si>
    <r>
      <rPr>
        <b val="true"/>
        <sz val="10"/>
        <color rgb="FFFFFFFF"/>
        <rFont val="WenQuanYi Zen Hei"/>
        <family val="2"/>
      </rPr>
      <t xml:space="preserve">반영 현안
</t>
    </r>
    <r>
      <rPr>
        <b val="true"/>
        <sz val="10"/>
        <color rgb="FFFFFFFF"/>
        <rFont val="Noto Sans CJK SC"/>
        <family val="2"/>
        <charset val="1"/>
      </rPr>
      <t xml:space="preserve">(ID)</t>
    </r>
  </si>
  <si>
    <t xml:space="preserve">턴 수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</si>
  <si>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1 </t>
    </r>
    <r>
      <rPr>
        <sz val="10"/>
        <rFont val="WenQuanYi Zen Hei"/>
        <family val="2"/>
      </rPr>
      <t xml:space="preserve">도입</t>
    </r>
  </si>
  <si>
    <t xml:space="preserve">Mais uma carta</t>
  </si>
  <si>
    <t xml:space="preserve">또 한 통의 편지</t>
  </si>
  <si>
    <r>
      <rPr>
        <sz val="10"/>
        <rFont val="WenQuanYi Zen Hei"/>
        <family val="2"/>
      </rPr>
      <t xml:space="preserve">사무소 개소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개월 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오후 다섯 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아직도 일하는 순서 하나 못 정한 채 매일 다투는 팀</t>
    </r>
    <r>
      <rPr>
        <sz val="10"/>
        <rFont val="Noto Sans CJK SC"/>
        <family val="2"/>
        <charset val="1"/>
      </rPr>
      <t xml:space="preserve">. Fátima</t>
    </r>
    <r>
      <rPr>
        <sz val="10"/>
        <rFont val="WenQuanYi Zen Hei"/>
        <family val="2"/>
      </rPr>
      <t xml:space="preserve">가 두 번째로 찾아와 집주인의 새 임대료 인상 통지서를 보인다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는 여전히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에게 </t>
    </r>
    <r>
      <rPr>
        <sz val="10"/>
        <rFont val="Noto Sans CJK SC"/>
        <family val="2"/>
        <charset val="1"/>
      </rPr>
      <t xml:space="preserve">'o senhor'</t>
    </r>
    <r>
      <rPr>
        <sz val="10"/>
        <rFont val="WenQuanYi Zen Hei"/>
        <family val="2"/>
      </rPr>
      <t xml:space="preserve">를 쓴다</t>
    </r>
    <r>
      <rPr>
        <sz val="10"/>
        <rFont val="Noto Sans CJK SC"/>
        <family val="2"/>
        <charset val="1"/>
      </rPr>
      <t xml:space="preserve">. Freire</t>
    </r>
    <r>
      <rPr>
        <sz val="10"/>
        <rFont val="WenQuanYi Zen Hei"/>
        <family val="2"/>
      </rPr>
      <t xml:space="preserve">가 지나가며 </t>
    </r>
    <r>
      <rPr>
        <sz val="10"/>
        <rFont val="Noto Sans CJK SC"/>
        <family val="2"/>
        <charset val="1"/>
      </rPr>
      <t xml:space="preserve">«</t>
    </r>
    <r>
      <rPr>
        <sz val="10"/>
        <rFont val="WenQuanYi Zen Hei"/>
        <family val="2"/>
      </rPr>
      <t xml:space="preserve">계약서에 적힌 지수를 읽어 보라</t>
    </r>
    <r>
      <rPr>
        <sz val="10"/>
        <rFont val="Noto Sans CJK SC"/>
        <family val="2"/>
        <charset val="1"/>
      </rPr>
      <t xml:space="preserve">»</t>
    </r>
    <r>
      <rPr>
        <sz val="10"/>
        <rFont val="WenQuanYi Zen Hei"/>
        <family val="2"/>
      </rPr>
      <t xml:space="preserve">는 힌트만 던지고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계약서가 없어 다음 날로 미뤄진다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</si>
  <si>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생활 법률 구어체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반복되는 말다툼 </t>
    </r>
    <r>
      <rPr>
        <sz val="10"/>
        <rFont val="Noto Sans CJK SC"/>
        <family val="2"/>
        <charset val="1"/>
      </rPr>
      <t xml:space="preserve">(B1)</t>
    </r>
  </si>
  <si>
    <t xml:space="preserve">Marta, Rafael, Camila, Bruno, Juliana, Larissa, Dom Pedro, Fátima, Freire</t>
  </si>
  <si>
    <t xml:space="preserve">E1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</si>
  <si>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1 </t>
    </r>
    <r>
      <rPr>
        <sz val="10"/>
        <rFont val="WenQuanYi Zen Hei"/>
        <family val="2"/>
      </rPr>
      <t xml:space="preserve">해결</t>
    </r>
  </si>
  <si>
    <t xml:space="preserve">O reajuste que não sobe</t>
  </si>
  <si>
    <t xml:space="preserve">오르지 않는 인상률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</si>
  <si>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] Fátima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가 계약서를 가져온다</t>
    </r>
    <r>
      <rPr>
        <sz val="10"/>
        <rFont val="Arial"/>
        <family val="0"/>
        <charset val="1"/>
      </rPr>
      <t xml:space="preserve">. Freire</t>
    </r>
    <r>
      <rPr>
        <sz val="10"/>
        <rFont val="WenQuanYi Zen Hei"/>
        <family val="2"/>
      </rPr>
      <t xml:space="preserve">의 카드 </t>
    </r>
    <r>
      <rPr>
        <sz val="10"/>
        <rFont val="Arial"/>
        <family val="0"/>
        <charset val="1"/>
      </rPr>
      <t xml:space="preserve">#1(</t>
    </r>
    <r>
      <rPr>
        <sz val="10"/>
        <rFont val="WenQuanYi Zen Hei"/>
        <family val="2"/>
      </rPr>
      <t xml:space="preserve">임대차법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조정 규정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계약서의 지수는 </t>
    </r>
    <r>
      <rPr>
        <sz val="10"/>
        <rFont val="Arial"/>
        <family val="0"/>
        <charset val="1"/>
      </rPr>
      <t xml:space="preserve">IPCA</t>
    </r>
    <r>
      <rPr>
        <sz val="10"/>
        <rFont val="WenQuanYi Zen Hei"/>
        <family val="2"/>
      </rPr>
      <t xml:space="preserve">인데 집주인이 </t>
    </r>
    <r>
      <rPr>
        <sz val="10"/>
        <rFont val="Arial"/>
        <family val="0"/>
        <charset val="1"/>
      </rPr>
      <t xml:space="preserve">IGP-M </t>
    </r>
    <r>
      <rPr>
        <sz val="10"/>
        <rFont val="WenQuanYi Zen Hei"/>
        <family val="2"/>
      </rPr>
      <t xml:space="preserve">급등분을 들이댔다는 것을 확인하고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기한 안에 반박 통지를 쓴다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사무소의 첫 번째 규칙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가난한 이웃에겐 돈을 받지 않는다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확인된다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</si>
  <si>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임대차법</t>
    </r>
    <r>
      <rPr>
        <sz val="10"/>
        <rFont val="Noto Sans CJK SC"/>
        <family val="2"/>
        <charset val="1"/>
      </rPr>
      <t xml:space="preserve">(Lei 8.245/1991), </t>
    </r>
    <r>
      <rPr>
        <sz val="10"/>
        <rFont val="WenQuanYi Zen Hei"/>
        <family val="2"/>
      </rPr>
      <t xml:space="preserve">연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회 조정</t>
    </r>
    <r>
      <rPr>
        <sz val="10"/>
        <rFont val="Noto Sans CJK SC"/>
        <family val="2"/>
        <charset val="1"/>
      </rPr>
      <t xml:space="preserve">(Lei 10.192/2001), IPCA vs IGP-M, </t>
    </r>
    <r>
      <rPr>
        <sz val="10"/>
        <rFont val="WenQuanYi Zen Hei"/>
        <family val="2"/>
      </rPr>
      <t xml:space="preserve">기한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통지</t>
    </r>
  </si>
  <si>
    <t xml:space="preserve">Rafael, Bruno, Juliana, Fátima, Freire, Larissa, Marta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</si>
  <si>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2 </t>
    </r>
    <r>
      <rPr>
        <sz val="10"/>
        <rFont val="WenQuanYi Zen Hei"/>
        <family val="2"/>
      </rPr>
      <t xml:space="preserve">도입</t>
    </r>
  </si>
  <si>
    <t xml:space="preserve">Aviso das oito</t>
  </si>
  <si>
    <t xml:space="preserve">여덟 시의 통지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</si>
  <si>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밤 여덟 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다음 날 아침 집행관</t>
    </r>
    <r>
      <rPr>
        <sz val="10"/>
        <rFont val="Arial"/>
        <family val="0"/>
        <charset val="1"/>
      </rPr>
      <t xml:space="preserve">(oficial de justiça)</t>
    </r>
    <r>
      <rPr>
        <sz val="10"/>
        <rFont val="WenQuanYi Zen Hei"/>
        <family val="2"/>
      </rPr>
      <t xml:space="preserve">이 퇴거를 집행하러 온다는 급보</t>
    </r>
    <r>
      <rPr>
        <sz val="10"/>
        <rFont val="Arial"/>
        <family val="0"/>
        <charset val="1"/>
      </rPr>
      <t xml:space="preserve">. Zumbi</t>
    </r>
    <r>
      <rPr>
        <sz val="10"/>
        <rFont val="WenQuanYi Zen Hei"/>
        <family val="2"/>
      </rPr>
      <t xml:space="preserve">가 주민을 조직하고 </t>
    </r>
    <r>
      <rPr>
        <sz val="10"/>
        <rFont val="Arial"/>
        <family val="0"/>
        <charset val="1"/>
      </rPr>
      <t xml:space="preserve">Edson</t>
    </r>
    <r>
      <rPr>
        <sz val="10"/>
        <rFont val="WenQuanYi Zen Hei"/>
        <family val="2"/>
      </rPr>
      <t xml:space="preserve">이 이웃들을 모은다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네 사람이 각자 서류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건강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숫자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동선을 맡아 밤새 준비하지만 승산은 불투명하다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</si>
  <si>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퇴거 집행 명령</t>
    </r>
    <r>
      <rPr>
        <sz val="10"/>
        <rFont val="Noto Sans CJK SC"/>
        <family val="2"/>
        <charset val="1"/>
      </rPr>
      <t xml:space="preserve">(mandado de despejo), </t>
    </r>
    <r>
      <rPr>
        <sz val="10"/>
        <rFont val="WenQuanYi Zen Hei"/>
        <family val="2"/>
      </rPr>
      <t xml:space="preserve">긴급 동원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이웃 조직</t>
    </r>
  </si>
  <si>
    <t xml:space="preserve">Rafael, Camila, Bruno, Juliana, Zumbi, Edson, Larissa, Marta</t>
  </si>
  <si>
    <t xml:space="preserve">S1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</si>
  <si>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2 </t>
    </r>
    <r>
      <rPr>
        <sz val="10"/>
        <rFont val="WenQuanYi Zen Hei"/>
        <family val="2"/>
      </rPr>
      <t xml:space="preserve">해결</t>
    </r>
  </si>
  <si>
    <t xml:space="preserve">O caminhão que não chegou</t>
  </si>
  <si>
    <t xml:space="preserve">오지 않은 이삿짐 트럭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</si>
  <si>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집행 당일 아침</t>
    </r>
    <r>
      <rPr>
        <sz val="10"/>
        <rFont val="Arial"/>
        <family val="0"/>
        <charset val="1"/>
      </rPr>
      <t xml:space="preserve">. Rafael</t>
    </r>
    <r>
      <rPr>
        <sz val="10"/>
        <rFont val="WenQuanYi Zen Hei"/>
        <family val="2"/>
      </rPr>
      <t xml:space="preserve">의 긴급 가처분</t>
    </r>
    <r>
      <rPr>
        <sz val="10"/>
        <rFont val="Arial"/>
        <family val="0"/>
        <charset val="1"/>
      </rPr>
      <t xml:space="preserve">(tutela de urgência) </t>
    </r>
    <r>
      <rPr>
        <sz val="10"/>
        <rFont val="WenQuanYi Zen Hei"/>
        <family val="2"/>
      </rPr>
      <t xml:space="preserve">신청</t>
    </r>
    <r>
      <rPr>
        <sz val="10"/>
        <rFont val="Arial"/>
        <family val="0"/>
        <charset val="1"/>
      </rPr>
      <t xml:space="preserve">, Camila</t>
    </r>
    <r>
      <rPr>
        <sz val="10"/>
        <rFont val="WenQuanYi Zen Hei"/>
        <family val="2"/>
      </rPr>
      <t xml:space="preserve">의 취약계층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노인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아동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진단서</t>
    </r>
    <r>
      <rPr>
        <sz val="10"/>
        <rFont val="Arial"/>
        <family val="0"/>
        <charset val="1"/>
      </rPr>
      <t xml:space="preserve">, Bruno</t>
    </r>
    <r>
      <rPr>
        <sz val="10"/>
        <rFont val="WenQuanYi Zen Hei"/>
        <family val="2"/>
      </rPr>
      <t xml:space="preserve">의 금액 계산</t>
    </r>
    <r>
      <rPr>
        <sz val="10"/>
        <rFont val="Arial"/>
        <family val="0"/>
        <charset val="1"/>
      </rPr>
      <t xml:space="preserve">, Juliana</t>
    </r>
    <r>
      <rPr>
        <sz val="10"/>
        <rFont val="WenQuanYi Zen Hei"/>
        <family val="2"/>
      </rPr>
      <t xml:space="preserve">의 동선 배치가 맞물려 집행이 연기되고 사건이 </t>
    </r>
    <r>
      <rPr>
        <sz val="10"/>
        <rFont val="Arial"/>
        <family val="0"/>
        <charset val="1"/>
      </rPr>
      <t xml:space="preserve">TJSP </t>
    </r>
    <r>
      <rPr>
        <sz val="10"/>
        <rFont val="WenQuanYi Zen Hei"/>
        <family val="2"/>
      </rPr>
      <t xml:space="preserve">토지분쟁 조정위원회로 넘어간다</t>
    </r>
    <r>
      <rPr>
        <sz val="10"/>
        <rFont val="Arial"/>
        <family val="0"/>
        <charset val="1"/>
      </rPr>
      <t xml:space="preserve">. Zumbi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«Sem novidade no quilombo» </t>
    </r>
    <r>
      <rPr>
        <sz val="10"/>
        <rFont val="WenQuanYi Zen Hei"/>
        <family val="2"/>
      </rPr>
      <t xml:space="preserve">보고로 마무리된다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</si>
  <si>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tutela de urgência(CPC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300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취약계층 퇴거 조정</t>
    </r>
    <r>
      <rPr>
        <sz val="10"/>
        <rFont val="Noto Sans CJK SC"/>
        <family val="2"/>
        <charset val="1"/>
      </rPr>
      <t xml:space="preserve">(STF ADPF 828 </t>
    </r>
    <r>
      <rPr>
        <sz val="10"/>
        <rFont val="WenQuanYi Zen Hei"/>
        <family val="2"/>
      </rPr>
      <t xml:space="preserve">이후 조정위원회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집행관 대응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</si>
  <si>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3 </t>
    </r>
    <r>
      <rPr>
        <sz val="10"/>
        <rFont val="WenQuanYi Zen Hei"/>
        <family val="2"/>
      </rPr>
      <t xml:space="preserve">도입</t>
    </r>
  </si>
  <si>
    <t xml:space="preserve">O estagiário da fábrica</t>
  </si>
  <si>
    <t xml:space="preserve">공장의 인턴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</si>
  <si>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인턴</t>
    </r>
    <r>
      <rPr>
        <sz val="10"/>
        <rFont val="Arial"/>
        <family val="0"/>
        <charset val="1"/>
      </rPr>
      <t xml:space="preserve">(estagiário) </t>
    </r>
    <r>
      <rPr>
        <sz val="10"/>
        <rFont val="WenQuanYi Zen Hei"/>
        <family val="2"/>
      </rPr>
      <t xml:space="preserve">계약으로 풀타임 생산라인에 투입되고 임금까지 밀린 청년 </t>
    </r>
    <r>
      <rPr>
        <sz val="10"/>
        <rFont val="Arial"/>
        <family val="0"/>
        <charset val="1"/>
      </rPr>
      <t xml:space="preserve">Álvaro(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찾아온다</t>
    </r>
    <r>
      <rPr>
        <sz val="10"/>
        <rFont val="Arial"/>
        <family val="0"/>
        <charset val="1"/>
      </rPr>
      <t xml:space="preserve">. Juliana</t>
    </r>
    <r>
      <rPr>
        <sz val="10"/>
        <rFont val="WenQuanYi Zen Hei"/>
        <family val="2"/>
      </rPr>
      <t xml:space="preserve">가 컨설팅 용어로 상황을 분석하려 하고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가 통역하듯 애쓰지만 </t>
    </r>
    <r>
      <rPr>
        <sz val="10"/>
        <rFont val="Arial"/>
        <family val="0"/>
        <charset val="1"/>
      </rPr>
      <t xml:space="preserve">Álvaro</t>
    </r>
    <r>
      <rPr>
        <sz val="10"/>
        <rFont val="WenQuanYi Zen Hei"/>
        <family val="2"/>
      </rPr>
      <t xml:space="preserve">는 점점 지쳐 간다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</si>
  <si>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인턴법</t>
    </r>
    <r>
      <rPr>
        <sz val="10"/>
        <rFont val="Noto Sans CJK SC"/>
        <family val="2"/>
        <charset val="1"/>
      </rPr>
      <t xml:space="preserve">(Lei 11.788/2008) </t>
    </r>
    <r>
      <rPr>
        <sz val="10"/>
        <rFont val="WenQuanYi Zen Hei"/>
        <family val="2"/>
      </rPr>
      <t xml:space="preserve">위반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무등록 고용</t>
    </r>
    <r>
      <rPr>
        <sz val="10"/>
        <rFont val="Noto Sans CJK SC"/>
        <family val="2"/>
        <charset val="1"/>
      </rPr>
      <t xml:space="preserve">(sem carteira assinada), </t>
    </r>
    <r>
      <rPr>
        <sz val="10"/>
        <rFont val="WenQuanYi Zen Hei"/>
        <family val="2"/>
      </rPr>
      <t xml:space="preserve">초과근무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경영 용어의 벽</t>
    </r>
  </si>
  <si>
    <r>
      <rPr>
        <sz val="10"/>
        <rFont val="Arial"/>
        <family val="0"/>
        <charset val="1"/>
      </rPr>
      <t xml:space="preserve">Juliana, Larissa, Bruno, Marta, Álvaro(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</si>
  <si>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3 </t>
    </r>
    <r>
      <rPr>
        <sz val="10"/>
        <rFont val="WenQuanYi Zen Hei"/>
        <family val="2"/>
      </rPr>
      <t xml:space="preserve">해결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폭발</t>
    </r>
    <r>
      <rPr>
        <sz val="10"/>
        <rFont val="Noto Sans CJK SC"/>
        <family val="2"/>
        <charset val="1"/>
      </rPr>
      <t xml:space="preserve">)</t>
    </r>
  </si>
  <si>
    <t xml:space="preserve">Chega!</t>
  </si>
  <si>
    <r>
      <rPr>
        <sz val="10"/>
        <rFont val="WenQuanYi Zen Hei"/>
        <family val="2"/>
      </rPr>
      <t xml:space="preserve">그만</t>
    </r>
    <r>
      <rPr>
        <sz val="10"/>
        <rFont val="Noto Sans CJK SC"/>
        <family val="2"/>
        <charset val="1"/>
      </rPr>
      <t xml:space="preserve">!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</si>
  <si>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협상 자리에서 </t>
    </r>
    <r>
      <rPr>
        <sz val="10"/>
        <rFont val="Arial"/>
        <family val="0"/>
        <charset val="1"/>
      </rPr>
      <t xml:space="preserve">Juliana</t>
    </r>
    <r>
      <rPr>
        <sz val="10"/>
        <rFont val="WenQuanYi Zen Hei"/>
        <family val="2"/>
      </rPr>
      <t xml:space="preserve">의 용어가 한 시간째 이어지자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가 폭발한다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차 폭발</t>
    </r>
    <r>
      <rPr>
        <sz val="10"/>
        <rFont val="Arial"/>
        <family val="0"/>
        <charset val="1"/>
      </rPr>
      <t xml:space="preserve">). Camila·Zumbi·Marta·Freire</t>
    </r>
    <r>
      <rPr>
        <sz val="10"/>
        <rFont val="WenQuanYi Zen Hei"/>
        <family val="2"/>
      </rPr>
      <t xml:space="preserve">의 고정 반응</t>
    </r>
    <r>
      <rPr>
        <sz val="10"/>
        <rFont val="Arial"/>
        <family val="0"/>
        <charset val="1"/>
      </rPr>
      <t xml:space="preserve">, Dom Pedro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«Mentecapta… Pergunte.», Bruno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«Deixa que eu traduzo.» </t>
    </r>
    <r>
      <rPr>
        <sz val="10"/>
        <rFont val="WenQuanYi Zen Hei"/>
        <family val="2"/>
      </rPr>
      <t xml:space="preserve">이후 쉬운 말로 다시 협상해 밀린 임금과 정식 고용 전환에 합의한다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</si>
  <si>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감정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전문 용어 → 쉬운 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임금 체불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고용 전환 합의</t>
    </r>
  </si>
  <si>
    <r>
      <rPr>
        <sz val="10"/>
        <rFont val="Arial"/>
        <family val="0"/>
        <charset val="1"/>
      </rPr>
      <t xml:space="preserve">Larissa, Juliana, Bruno, Camila, Dom Pedro, Zumbi, Marta, Freire, Álvaro(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</si>
  <si>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4 </t>
    </r>
    <r>
      <rPr>
        <sz val="10"/>
        <rFont val="WenQuanYi Zen Hei"/>
        <family val="2"/>
      </rPr>
      <t xml:space="preserve">도입</t>
    </r>
  </si>
  <si>
    <t xml:space="preserve">A menina com febre</t>
  </si>
  <si>
    <t xml:space="preserve">열이 나는 아이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</si>
  <si>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서류가 없는 이주민 가족이 동네 보건소</t>
    </r>
    <r>
      <rPr>
        <sz val="10"/>
        <rFont val="Arial"/>
        <family val="0"/>
        <charset val="1"/>
      </rPr>
      <t xml:space="preserve">(UBS)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주소 증명과 </t>
    </r>
    <r>
      <rPr>
        <sz val="10"/>
        <rFont val="Arial"/>
        <family val="0"/>
        <charset val="1"/>
      </rPr>
      <t xml:space="preserve">SUS </t>
    </r>
    <r>
      <rPr>
        <sz val="10"/>
        <rFont val="WenQuanYi Zen Hei"/>
        <family val="2"/>
      </rPr>
      <t xml:space="preserve">카드가 없으면 안 된다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며 돌려보내졌다</t>
    </r>
    <r>
      <rPr>
        <sz val="10"/>
        <rFont val="Arial"/>
        <family val="0"/>
        <charset val="1"/>
      </rPr>
      <t xml:space="preserve">. Camila</t>
    </r>
    <r>
      <rPr>
        <sz val="10"/>
        <rFont val="WenQuanYi Zen Hei"/>
        <family val="2"/>
      </rPr>
      <t xml:space="preserve">가 나서고 </t>
    </r>
    <r>
      <rPr>
        <sz val="10"/>
        <rFont val="Arial"/>
        <family val="0"/>
        <charset val="1"/>
      </rPr>
      <t xml:space="preserve">Isabel</t>
    </r>
    <r>
      <rPr>
        <sz val="10"/>
        <rFont val="WenQuanYi Zen Hei"/>
        <family val="2"/>
      </rPr>
      <t xml:space="preserve">이 들러 </t>
    </r>
    <r>
      <rPr>
        <sz val="10"/>
        <rFont val="Arial"/>
        <family val="0"/>
        <charset val="1"/>
      </rPr>
      <t xml:space="preserve">«E como isso faz você se sentir?»</t>
    </r>
    <r>
      <rPr>
        <sz val="10"/>
        <rFont val="WenQuanYi Zen Hei"/>
        <family val="2"/>
      </rPr>
      <t xml:space="preserve">를 처음 선보인다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마침 들른 </t>
    </r>
    <r>
      <rPr>
        <sz val="10"/>
        <rFont val="Arial"/>
        <family val="0"/>
        <charset val="1"/>
      </rPr>
      <t xml:space="preserve">Machado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에게 원고를 놀림받다 </t>
    </r>
    <r>
      <rPr>
        <sz val="10"/>
        <rFont val="Arial"/>
        <family val="0"/>
        <charset val="1"/>
      </rPr>
      <t xml:space="preserve">«Não é ruim.»</t>
    </r>
    <r>
      <rPr>
        <sz val="10"/>
        <rFont val="WenQuanYi Zen Hei"/>
        <family val="2"/>
      </rPr>
      <t xml:space="preserve">이라는 최고의 칭찬을 듣는다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정작 진짜 아픈 아이 앞에서 </t>
    </r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는 자기 무릎 타령을 멈춘다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</si>
  <si>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SUS</t>
    </r>
    <r>
      <rPr>
        <sz val="10"/>
        <rFont val="WenQuanYi Zen Hei"/>
        <family val="2"/>
      </rPr>
      <t xml:space="preserve">의 보편 접근권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196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현장의 서류 요구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증상 표현</t>
    </r>
  </si>
  <si>
    <r>
      <rPr>
        <sz val="10"/>
        <rFont val="Arial"/>
        <family val="0"/>
        <charset val="1"/>
      </rPr>
      <t xml:space="preserve">Camila, Isabel, Dom Pedro, Machado, Larissa, Marta, </t>
    </r>
    <r>
      <rPr>
        <sz val="10"/>
        <rFont val="WenQuanYi Zen Hei"/>
        <family val="2"/>
      </rPr>
      <t xml:space="preserve">가족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</si>
  <si>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S2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</si>
  <si>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4 </t>
    </r>
    <r>
      <rPr>
        <sz val="10"/>
        <rFont val="WenQuanYi Zen Hei"/>
        <family val="2"/>
      </rPr>
      <t xml:space="preserve">해결</t>
    </r>
  </si>
  <si>
    <t xml:space="preserve">Um cartão SUS para todos</t>
  </si>
  <si>
    <r>
      <rPr>
        <sz val="10"/>
        <rFont val="WenQuanYi Zen Hei"/>
        <family val="2"/>
      </rPr>
      <t xml:space="preserve">모두를 위한 </t>
    </r>
    <r>
      <rPr>
        <sz val="10"/>
        <rFont val="Noto Sans CJK SC"/>
        <family val="2"/>
        <charset val="1"/>
      </rPr>
      <t xml:space="preserve">SUS </t>
    </r>
    <r>
      <rPr>
        <sz val="10"/>
        <rFont val="WenQuanYi Zen Hei"/>
        <family val="2"/>
      </rPr>
      <t xml:space="preserve">카드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</si>
  <si>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] Rafael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가 서류 없이도 </t>
    </r>
    <r>
      <rPr>
        <sz val="10"/>
        <rFont val="Arial"/>
        <family val="0"/>
        <charset val="1"/>
      </rPr>
      <t xml:space="preserve">SUS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(Cartão Nacional de Saúde)</t>
    </r>
    <r>
      <rPr>
        <sz val="10"/>
        <rFont val="WenQuanYi Zen Hei"/>
        <family val="2"/>
      </rPr>
      <t xml:space="preserve">를 발급받는 경로를 찾아내 아이가 진료를 받는다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가 평소와 달리 조용히 커피를 마신다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</si>
  <si>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SUS </t>
    </r>
    <r>
      <rPr>
        <sz val="10"/>
        <rFont val="WenQuanYi Zen Hei"/>
        <family val="2"/>
      </rPr>
      <t xml:space="preserve">카드 발급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이주민 보건 접근권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이민법 </t>
    </r>
    <r>
      <rPr>
        <sz val="10"/>
        <rFont val="Noto Sans CJK SC"/>
        <family val="2"/>
        <charset val="1"/>
      </rPr>
      <t xml:space="preserve">Lei 13.445/2017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진료 의뢰</t>
    </r>
  </si>
  <si>
    <r>
      <rPr>
        <sz val="10"/>
        <rFont val="Arial"/>
        <family val="0"/>
        <charset val="1"/>
      </rPr>
      <t xml:space="preserve">Camila, Rafael, Larissa, Marta, </t>
    </r>
    <r>
      <rPr>
        <sz val="10"/>
        <rFont val="WenQuanYi Zen Hei"/>
        <family val="2"/>
      </rPr>
      <t xml:space="preserve">가족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</si>
  <si>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5 </t>
    </r>
    <r>
      <rPr>
        <sz val="10"/>
        <rFont val="WenQuanYi Zen Hei"/>
        <family val="2"/>
      </rPr>
      <t xml:space="preserve">도입</t>
    </r>
  </si>
  <si>
    <t xml:space="preserve">A viúva do quinto andar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</si>
  <si>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층의 미망인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</si>
  <si>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] '</t>
    </r>
    <r>
      <rPr>
        <sz val="10"/>
        <rFont val="WenQuanYi Zen Hei"/>
        <family val="2"/>
      </rPr>
      <t xml:space="preserve">고수익 투자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사기와 </t>
    </r>
    <r>
      <rPr>
        <sz val="10"/>
        <rFont val="Arial"/>
        <family val="0"/>
        <charset val="1"/>
      </rPr>
      <t xml:space="preserve">Pix </t>
    </r>
    <r>
      <rPr>
        <sz val="10"/>
        <rFont val="WenQuanYi Zen Hei"/>
        <family val="2"/>
      </rPr>
      <t xml:space="preserve">송금으로 저축을 잃은 노년의 이웃 </t>
    </r>
    <r>
      <rPr>
        <sz val="10"/>
        <rFont val="Arial"/>
        <family val="0"/>
        <charset val="1"/>
      </rPr>
      <t xml:space="preserve">Dona Cida(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찾아온다</t>
    </r>
    <r>
      <rPr>
        <sz val="10"/>
        <rFont val="Arial"/>
        <family val="0"/>
        <charset val="1"/>
      </rPr>
      <t xml:space="preserve">. Bruno</t>
    </r>
    <r>
      <rPr>
        <sz val="10"/>
        <rFont val="WenQuanYi Zen Hei"/>
        <family val="2"/>
      </rPr>
      <t xml:space="preserve">가 장부를 살피는 동안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양복 입은 낯선 남자 </t>
    </r>
    <r>
      <rPr>
        <sz val="10"/>
        <rFont val="Arial"/>
        <family val="0"/>
        <charset val="1"/>
      </rPr>
      <t xml:space="preserve">Sérgio</t>
    </r>
    <r>
      <rPr>
        <sz val="10"/>
        <rFont val="WenQuanYi Zen Hei"/>
        <family val="2"/>
      </rPr>
      <t xml:space="preserve">가 나타나 은행 쪽 흐름을 봐 주겠다고 하면서도 자기 이야기는 하지 않는다</t>
    </r>
    <r>
      <rPr>
        <sz val="10"/>
        <rFont val="Arial"/>
        <family val="0"/>
        <charset val="1"/>
      </rPr>
      <t xml:space="preserve">. Dumont</t>
    </r>
    <r>
      <rPr>
        <sz val="10"/>
        <rFont val="WenQuanYi Zen Hei"/>
        <family val="2"/>
      </rPr>
      <t xml:space="preserve">이 냄새를 맡고 기웃거린다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</si>
  <si>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투자 사기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금융 피라미드</t>
    </r>
    <r>
      <rPr>
        <sz val="10"/>
        <rFont val="Noto Sans CJK SC"/>
        <family val="2"/>
        <charset val="1"/>
      </rPr>
      <t xml:space="preserve">, Pix, </t>
    </r>
    <r>
      <rPr>
        <sz val="10"/>
        <rFont val="WenQuanYi Zen Hei"/>
        <family val="2"/>
      </rPr>
      <t xml:space="preserve">은행 계좌 기초 어휘</t>
    </r>
  </si>
  <si>
    <r>
      <rPr>
        <sz val="10"/>
        <rFont val="Arial"/>
        <family val="0"/>
        <charset val="1"/>
      </rPr>
      <t xml:space="preserve">Bruno, Sérgio, Dumont, Larissa, Marta, Dona Cida(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</si>
  <si>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E3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</si>
  <si>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5 </t>
    </r>
    <r>
      <rPr>
        <sz val="10"/>
        <rFont val="WenQuanYi Zen Hei"/>
        <family val="2"/>
      </rPr>
      <t xml:space="preserve">해결</t>
    </r>
  </si>
  <si>
    <t xml:space="preserve">Siga o dinheiro</t>
  </si>
  <si>
    <t xml:space="preserve">돈을 따라가라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</si>
  <si>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] Sérgio</t>
    </r>
    <r>
      <rPr>
        <sz val="10"/>
        <rFont val="WenQuanYi Zen Hei"/>
        <family val="2"/>
      </rPr>
      <t xml:space="preserve">의 계좌 흐름 추적과 </t>
    </r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의 장부 대조로 사기 계좌를 찾고</t>
    </r>
    <r>
      <rPr>
        <sz val="10"/>
        <rFont val="Arial"/>
        <family val="0"/>
        <charset val="1"/>
      </rPr>
      <t xml:space="preserve">, Pix </t>
    </r>
    <r>
      <rPr>
        <sz val="10"/>
        <rFont val="WenQuanYi Zen Hei"/>
        <family val="2"/>
      </rPr>
      <t xml:space="preserve">특별 반환 절차</t>
    </r>
    <r>
      <rPr>
        <sz val="10"/>
        <rFont val="Arial"/>
        <family val="0"/>
        <charset val="1"/>
      </rPr>
      <t xml:space="preserve">(MED)</t>
    </r>
    <r>
      <rPr>
        <sz val="10"/>
        <rFont val="WenQuanYi Zen Hei"/>
        <family val="2"/>
      </rPr>
      <t xml:space="preserve">로 돈 일부를 되찾는다</t>
    </r>
    <r>
      <rPr>
        <sz val="10"/>
        <rFont val="Arial"/>
        <family val="0"/>
        <charset val="1"/>
      </rPr>
      <t xml:space="preserve">. Sérgio</t>
    </r>
    <r>
      <rPr>
        <sz val="10"/>
        <rFont val="WenQuanYi Zen Hei"/>
        <family val="2"/>
      </rPr>
      <t xml:space="preserve">는 설명 없이 떠나고</t>
    </r>
    <r>
      <rPr>
        <sz val="10"/>
        <rFont val="Arial"/>
        <family val="0"/>
        <charset val="1"/>
      </rPr>
      <t xml:space="preserve">, Bruno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«Banco Atlântico»</t>
    </r>
    <r>
      <rPr>
        <sz val="10"/>
        <rFont val="WenQuanYi Zen Hei"/>
        <family val="2"/>
      </rPr>
      <t xml:space="preserve">라는 이름에 말없이 굳는다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</si>
  <si>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Pix </t>
    </r>
    <r>
      <rPr>
        <sz val="10"/>
        <rFont val="WenQuanYi Zen Hei"/>
        <family val="2"/>
      </rPr>
      <t xml:space="preserve">특별 반환 절차</t>
    </r>
    <r>
      <rPr>
        <sz val="10"/>
        <rFont val="Noto Sans CJK SC"/>
        <family val="2"/>
        <charset val="1"/>
      </rPr>
      <t xml:space="preserve">(MED, </t>
    </r>
    <r>
      <rPr>
        <sz val="10"/>
        <rFont val="WenQuanYi Zen Hei"/>
        <family val="2"/>
      </rPr>
      <t xml:space="preserve">중앙은행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자금 흐름 추적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계좌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송금 어휘</t>
    </r>
  </si>
  <si>
    <r>
      <rPr>
        <sz val="10"/>
        <rFont val="Arial"/>
        <family val="0"/>
        <charset val="1"/>
      </rPr>
      <t xml:space="preserve">Bruno, Sérgio, Larissa, Marta, Dona Cida(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</si>
  <si>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6 </t>
    </r>
    <r>
      <rPr>
        <sz val="10"/>
        <rFont val="WenQuanYi Zen Hei"/>
        <family val="2"/>
      </rPr>
      <t xml:space="preserve">도입</t>
    </r>
  </si>
  <si>
    <t xml:space="preserve">Um papel de anos atrás</t>
  </si>
  <si>
    <t xml:space="preserve">수년 전 서류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</si>
  <si>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] Fátima</t>
    </r>
    <r>
      <rPr>
        <sz val="10"/>
        <rFont val="WenQuanYi Zen Hei"/>
        <family val="2"/>
      </rPr>
      <t xml:space="preserve">의 남편 </t>
    </r>
    <r>
      <rPr>
        <sz val="10"/>
        <rFont val="Arial"/>
        <family val="0"/>
        <charset val="1"/>
      </rPr>
      <t xml:space="preserve">Seu Jurandir(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수십 년 전 다른 건물에서 받은 낡은 퇴거 서류를 들고 온다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당장 급한 사안은 아니지만 오래된 절차 하자가 보인다</t>
    </r>
    <r>
      <rPr>
        <sz val="10"/>
        <rFont val="Arial"/>
        <family val="0"/>
        <charset val="1"/>
      </rPr>
      <t xml:space="preserve">. Dumont</t>
    </r>
    <r>
      <rPr>
        <sz val="10"/>
        <rFont val="WenQuanYi Zen Hei"/>
        <family val="2"/>
      </rPr>
      <t xml:space="preserve">이 취재 각도로 흥미를 보이며 </t>
    </r>
    <r>
      <rPr>
        <sz val="10"/>
        <rFont val="Arial"/>
        <family val="0"/>
        <charset val="1"/>
      </rPr>
      <t xml:space="preserve">«Preciso de duas fontes.»</t>
    </r>
  </si>
  <si>
    <r>
      <rPr>
        <sz val="10"/>
        <rFont val="WenQuanYi Zen Hei"/>
        <family val="2"/>
      </rPr>
      <t xml:space="preserve">오래된 서류 판독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절차 하자</t>
    </r>
  </si>
  <si>
    <r>
      <rPr>
        <sz val="10"/>
        <rFont val="Arial"/>
        <family val="0"/>
        <charset val="1"/>
      </rPr>
      <t xml:space="preserve">Rafael, Dumont, Larissa, Marta, Seu Jurandir(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</si>
  <si>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6 </t>
    </r>
    <r>
      <rPr>
        <sz val="10"/>
        <rFont val="WenQuanYi Zen Hei"/>
        <family val="2"/>
      </rPr>
      <t xml:space="preserve">해결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)</t>
    </r>
  </si>
  <si>
    <t xml:space="preserve">A assinatura</t>
  </si>
  <si>
    <t xml:space="preserve">서명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</si>
  <si>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절차 하자를 바로잡아 오래된 기록을 정정하지만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진짜 충격은 서류 맨 아래</t>
    </r>
    <r>
      <rPr>
        <sz val="10"/>
        <rFont val="Arial"/>
        <family val="0"/>
        <charset val="1"/>
      </rPr>
      <t xml:space="preserve">: Rafael</t>
    </r>
    <r>
      <rPr>
        <sz val="10"/>
        <rFont val="WenQuanYi Zen Hei"/>
        <family val="2"/>
      </rPr>
      <t xml:space="preserve">의 옛 로펌 </t>
    </r>
    <r>
      <rPr>
        <sz val="10"/>
        <rFont val="Arial"/>
        <family val="0"/>
        <charset val="1"/>
      </rPr>
      <t xml:space="preserve">«Aguiar &amp; Salgado»</t>
    </r>
    <r>
      <rPr>
        <sz val="10"/>
        <rFont val="WenQuanYi Zen Hei"/>
        <family val="2"/>
      </rPr>
      <t xml:space="preserve">의 서명이다</t>
    </r>
    <r>
      <rPr>
        <sz val="10"/>
        <rFont val="Arial"/>
        <family val="0"/>
        <charset val="1"/>
      </rPr>
      <t xml:space="preserve">. Rafael</t>
    </r>
    <r>
      <rPr>
        <sz val="10"/>
        <rFont val="WenQuanYi Zen Hei"/>
        <family val="2"/>
      </rPr>
      <t xml:space="preserve">이 얼어붙고 </t>
    </r>
    <r>
      <rPr>
        <sz val="10"/>
        <rFont val="Arial"/>
        <family val="0"/>
        <charset val="1"/>
      </rPr>
      <t xml:space="preserve">Marta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«Senta aí, que eu trago alguma coisa.»</t>
    </r>
    <r>
      <rPr>
        <sz val="10"/>
        <rFont val="WenQuanYi Zen Hei"/>
        <family val="2"/>
      </rPr>
      <t xml:space="preserve">로 분위기를 잇는다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금요일에는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의 이야기가 시작된다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</si>
  <si>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서명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기록 정정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이름 확인</t>
    </r>
  </si>
  <si>
    <r>
      <rPr>
        <sz val="10"/>
        <rFont val="Arial"/>
        <family val="0"/>
        <charset val="1"/>
      </rPr>
      <t xml:space="preserve">Rafael, Marta, Larissa, Dom Pedro, Seu Jurandir(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</si>
  <si>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발단</t>
  </si>
  <si>
    <t xml:space="preserve">Sexta de histórias</t>
  </si>
  <si>
    <t xml:space="preserve">금요일의 이야기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</si>
  <si>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Marta</t>
    </r>
    <r>
      <rPr>
        <sz val="10"/>
        <rFont val="WenQuanYi Zen Hei"/>
        <family val="2"/>
      </rPr>
      <t xml:space="preserve">의 식탁에서 금요일마다 한 사람이 과거를 이야기하는 규칙이 시작된다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에게 왜 로펌을 그만뒀느냐고 묻고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«Vamos por partes.»</t>
    </r>
    <r>
      <rPr>
        <sz val="10"/>
        <rFont val="WenQuanYi Zen Hei"/>
        <family val="2"/>
      </rPr>
      <t xml:space="preserve">로 시작한다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</si>
  <si>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격식체</t>
    </r>
    <r>
      <rPr>
        <sz val="10"/>
        <rFont val="Noto Sans CJK SC"/>
        <family val="2"/>
        <charset val="1"/>
      </rPr>
      <t xml:space="preserve">(o senhor)</t>
    </r>
    <r>
      <rPr>
        <sz val="10"/>
        <rFont val="WenQuanYi Zen Hei"/>
        <family val="2"/>
      </rPr>
      <t xml:space="preserve">와 </t>
    </r>
    <r>
      <rPr>
        <sz val="10"/>
        <rFont val="Noto Sans CJK SC"/>
        <family val="2"/>
        <charset val="1"/>
      </rPr>
      <t xml:space="preserve">você</t>
    </r>
    <r>
      <rPr>
        <sz val="10"/>
        <rFont val="WenQuanYi Zen Hei"/>
        <family val="2"/>
      </rPr>
      <t xml:space="preserve">의 대비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과거 이야기 도입</t>
    </r>
  </si>
  <si>
    <t xml:space="preserve">Larissa, Rafael, Marta, Dom Pedro</t>
  </si>
  <si>
    <t xml:space="preserve">Uma segunda-feira na Faria Lima</t>
  </si>
  <si>
    <t xml:space="preserve">파리아 리마의 월요일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</si>
  <si>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승소율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의 파트너 후보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의 하루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새벽 편의점 앞에서 신문을 사러 나온 </t>
    </r>
    <r>
      <rPr>
        <sz val="10"/>
        <rFont val="Arial"/>
        <family val="0"/>
        <charset val="1"/>
      </rPr>
      <t xml:space="preserve">Machado</t>
    </r>
    <r>
      <rPr>
        <sz val="10"/>
        <rFont val="WenQuanYi Zen Hei"/>
        <family val="2"/>
      </rPr>
      <t xml:space="preserve">와 마주친다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부활 직후의 </t>
    </r>
    <r>
      <rPr>
        <sz val="10"/>
        <rFont val="Arial"/>
        <family val="0"/>
        <charset val="1"/>
      </rPr>
      <t xml:space="preserve">Machado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오늘 자 신문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에 집착한다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상사 </t>
    </r>
    <r>
      <rPr>
        <sz val="10"/>
        <rFont val="Arial"/>
        <family val="0"/>
        <charset val="1"/>
      </rPr>
      <t xml:space="preserve">Salgado(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파트너 승진을 암시한다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</si>
  <si>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로펌 어휘</t>
    </r>
    <r>
      <rPr>
        <sz val="10"/>
        <rFont val="Noto Sans CJK SC"/>
        <family val="2"/>
        <charset val="1"/>
      </rPr>
      <t xml:space="preserve">: sócio, honorários, carteira de clientes</t>
    </r>
  </si>
  <si>
    <r>
      <rPr>
        <sz val="10"/>
        <rFont val="Arial"/>
        <family val="0"/>
        <charset val="1"/>
      </rPr>
      <t xml:space="preserve">Rafael, Machado, Salgado(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</si>
  <si>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O cliente estrela</t>
  </si>
  <si>
    <r>
      <rPr>
        <sz val="10"/>
        <rFont val="Arial"/>
        <family val="0"/>
        <charset val="1"/>
      </rPr>
      <t xml:space="preserve">VIP </t>
    </r>
    <r>
      <rPr>
        <sz val="10"/>
        <rFont val="WenQuanYi Zen Hei"/>
        <family val="2"/>
      </rPr>
      <t xml:space="preserve">고객</t>
    </r>
  </si>
  <si>
    <r>
      <rPr>
        <sz val="10"/>
        <rFont val="WenQuanYi Zen Hei"/>
        <family val="2"/>
      </rPr>
      <t xml:space="preserve">대형 고객 </t>
    </r>
    <r>
      <rPr>
        <sz val="10"/>
        <rFont val="Noto Sans CJK SC"/>
        <family val="2"/>
        <charset val="1"/>
      </rPr>
      <t xml:space="preserve">Grupo Meridiano</t>
    </r>
    <r>
      <rPr>
        <sz val="10"/>
        <rFont val="WenQuanYi Zen Hei"/>
        <family val="2"/>
      </rPr>
      <t xml:space="preserve">의 회장 </t>
    </r>
    <r>
      <rPr>
        <sz val="10"/>
        <rFont val="Noto Sans CJK SC"/>
        <family val="2"/>
        <charset val="1"/>
      </rPr>
      <t xml:space="preserve">Quintela(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를 소개받는다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회의석에는 고객 측 컨설턴트 </t>
    </r>
    <r>
      <rPr>
        <sz val="10"/>
        <rFont val="Noto Sans CJK SC"/>
        <family val="2"/>
        <charset val="1"/>
      </rPr>
      <t xml:space="preserve">Juliana</t>
    </r>
    <r>
      <rPr>
        <sz val="10"/>
        <rFont val="WenQuanYi Zen Hei"/>
        <family val="2"/>
      </rPr>
      <t xml:space="preserve">와 매각 은행 지점장 </t>
    </r>
    <r>
      <rPr>
        <sz val="10"/>
        <rFont val="Noto Sans CJK SC"/>
        <family val="2"/>
        <charset val="1"/>
      </rPr>
      <t xml:space="preserve">Sérgio</t>
    </r>
    <r>
      <rPr>
        <sz val="10"/>
        <rFont val="WenQuanYi Zen Hei"/>
        <family val="2"/>
      </rPr>
      <t xml:space="preserve">가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</si>
  <si>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인수합병 어휘</t>
    </r>
    <r>
      <rPr>
        <sz val="10"/>
        <rFont val="Noto Sans CJK SC"/>
        <family val="2"/>
        <charset val="1"/>
      </rPr>
      <t xml:space="preserve">: aquisição, carteira, cláusula</t>
    </r>
  </si>
  <si>
    <r>
      <rPr>
        <sz val="10"/>
        <rFont val="Arial"/>
        <family val="0"/>
        <charset val="1"/>
      </rPr>
      <t xml:space="preserve">Rafael, Juliana, Sérgio, Quintela(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</si>
  <si>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전개</t>
  </si>
  <si>
    <t xml:space="preserve">A carteira do Bixiga</t>
  </si>
  <si>
    <t xml:space="preserve">비시가 자산 포트폴리오</t>
  </si>
  <si>
    <r>
      <rPr>
        <sz val="10"/>
        <rFont val="WenQuanYi Zen Hei"/>
        <family val="2"/>
      </rPr>
      <t xml:space="preserve">실사</t>
    </r>
    <r>
      <rPr>
        <sz val="10"/>
        <rFont val="Noto Sans CJK SC"/>
        <family val="2"/>
        <charset val="1"/>
      </rPr>
      <t xml:space="preserve">(due diligence). </t>
    </r>
    <r>
      <rPr>
        <sz val="10"/>
        <rFont val="WenQuanYi Zen Hei"/>
        <family val="2"/>
      </rPr>
      <t xml:space="preserve">포트폴리오에 </t>
    </r>
    <r>
      <rPr>
        <sz val="10"/>
        <rFont val="Noto Sans CJK SC"/>
        <family val="2"/>
        <charset val="1"/>
      </rPr>
      <t xml:space="preserve">Bixiga </t>
    </r>
    <r>
      <rPr>
        <sz val="10"/>
        <rFont val="WenQuanYi Zen Hei"/>
        <family val="2"/>
      </rPr>
      <t xml:space="preserve">건물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채가 들어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감사인 </t>
    </r>
    <r>
      <rPr>
        <sz val="10"/>
        <rFont val="Noto Sans CJK SC"/>
        <family val="2"/>
        <charset val="1"/>
      </rPr>
      <t xml:space="preserve">Bruno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«Isso não fecha.»</t>
    </r>
    <r>
      <rPr>
        <sz val="10"/>
        <rFont val="WenQuanYi Zen Hei"/>
        <family val="2"/>
      </rPr>
      <t xml:space="preserve">를 흘리고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헌책방</t>
    </r>
    <r>
      <rPr>
        <sz val="10"/>
        <rFont val="Noto Sans CJK SC"/>
        <family val="2"/>
        <charset val="1"/>
      </rPr>
      <t xml:space="preserve">(sebo)</t>
    </r>
    <r>
      <rPr>
        <sz val="10"/>
        <rFont val="WenQuanYi Zen Hei"/>
        <family val="2"/>
      </rPr>
      <t xml:space="preserve">에서 등기 자료를 찾던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에게 </t>
    </r>
    <r>
      <rPr>
        <sz val="10"/>
        <rFont val="Noto Sans CJK SC"/>
        <family val="2"/>
        <charset val="1"/>
      </rPr>
      <t xml:space="preserve">Freire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«Procure você.»</t>
    </r>
  </si>
  <si>
    <r>
      <rPr>
        <sz val="10"/>
        <rFont val="WenQuanYi Zen Hei"/>
        <family val="2"/>
      </rPr>
      <t xml:space="preserve">실사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부동산 등기</t>
    </r>
    <r>
      <rPr>
        <sz val="10"/>
        <rFont val="Noto Sans CJK SC"/>
        <family val="2"/>
        <charset val="1"/>
      </rPr>
      <t xml:space="preserve">(Cartório de Registro de Imóveis, matrícula), </t>
    </r>
    <r>
      <rPr>
        <sz val="10"/>
        <rFont val="WenQuanYi Zen Hei"/>
        <family val="2"/>
      </rPr>
      <t xml:space="preserve">임차인 명부</t>
    </r>
  </si>
  <si>
    <t xml:space="preserve">Rafael, Bruno, Freire</t>
  </si>
  <si>
    <t xml:space="preserve">Sexta: a rua da Marta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</si>
  <si>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Marta</t>
    </r>
    <r>
      <rPr>
        <sz val="10"/>
        <rFont val="WenQuanYi Zen Hei"/>
        <family val="2"/>
      </rPr>
      <t xml:space="preserve">의 거리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</si>
  <si>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그 포트폴리오에 </t>
    </r>
    <r>
      <rPr>
        <sz val="10"/>
        <rFont val="Arial"/>
        <family val="0"/>
        <charset val="1"/>
      </rPr>
      <t xml:space="preserve">Marta</t>
    </r>
    <r>
      <rPr>
        <sz val="10"/>
        <rFont val="WenQuanYi Zen Hei"/>
        <family val="2"/>
      </rPr>
      <t xml:space="preserve">의 옛 가게가 있던 건물이 들어 있었음이 밝혀진다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는 놀라 </t>
    </r>
    <r>
      <rPr>
        <sz val="10"/>
        <rFont val="Arial"/>
        <family val="0"/>
        <charset val="1"/>
      </rPr>
      <t xml:space="preserve">'o senhor'</t>
    </r>
    <r>
      <rPr>
        <sz val="10"/>
        <rFont val="WenQuanYi Zen Hei"/>
        <family val="2"/>
      </rPr>
      <t xml:space="preserve">를 놓치고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은 잠시 침묵한다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</si>
  <si>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감정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놀람</t>
    </r>
  </si>
  <si>
    <t xml:space="preserve">Marta, Rafael, Larissa</t>
  </si>
  <si>
    <t xml:space="preserve">미드포인트</t>
  </si>
  <si>
    <t xml:space="preserve">A cláusula</t>
  </si>
  <si>
    <t xml:space="preserve">조항</t>
  </si>
  <si>
    <r>
      <rPr>
        <sz val="10"/>
        <rFont val="WenQuanYi Zen Hei"/>
        <family val="2"/>
      </rPr>
      <t xml:space="preserve">임차인을 비우는 가장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깨끗한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방법으로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«retomada para obras»(</t>
    </r>
    <r>
      <rPr>
        <sz val="10"/>
        <rFont val="WenQuanYi Zen Hei"/>
        <family val="2"/>
      </rPr>
      <t xml:space="preserve">리모델링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재건축을 이유로 한 계약 해지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조항을 설계한다</t>
    </r>
    <r>
      <rPr>
        <sz val="10"/>
        <rFont val="Noto Sans CJK SC"/>
        <family val="2"/>
        <charset val="1"/>
      </rPr>
      <t xml:space="preserve">. Juliana</t>
    </r>
    <r>
      <rPr>
        <sz val="10"/>
        <rFont val="WenQuanYi Zen Hei"/>
        <family val="2"/>
      </rPr>
      <t xml:space="preserve">의 재무 모델이 이를 뒷받침한다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</si>
  <si>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임대 해지</t>
    </r>
    <r>
      <rPr>
        <sz val="10"/>
        <rFont val="Noto Sans CJK SC"/>
        <family val="2"/>
        <charset val="1"/>
      </rPr>
      <t xml:space="preserve">(denúncia), </t>
    </r>
    <r>
      <rPr>
        <sz val="10"/>
        <rFont val="WenQuanYi Zen Hei"/>
        <family val="2"/>
      </rPr>
      <t xml:space="preserve">공사 사유 회수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임대차법 제</t>
    </r>
    <r>
      <rPr>
        <sz val="10"/>
        <rFont val="Noto Sans CJK SC"/>
        <family val="2"/>
        <charset val="1"/>
      </rPr>
      <t xml:space="preserve">47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통지 요건</t>
    </r>
  </si>
  <si>
    <r>
      <rPr>
        <sz val="10"/>
        <rFont val="Arial"/>
        <family val="0"/>
        <charset val="1"/>
      </rPr>
      <t xml:space="preserve">Rafael, Juliana, Salgado(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</si>
  <si>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위기</t>
  </si>
  <si>
    <t xml:space="preserve">A assembleia dos moradores</t>
  </si>
  <si>
    <t xml:space="preserve">주민 총회</t>
  </si>
  <si>
    <r>
      <rPr>
        <sz val="10"/>
        <rFont val="WenQuanYi Zen Hei"/>
        <family val="2"/>
      </rPr>
      <t xml:space="preserve">세입자들이 총회를 연다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노조 출신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이 이끌고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응급의 </t>
    </r>
    <r>
      <rPr>
        <sz val="10"/>
        <rFont val="Noto Sans CJK SC"/>
        <family val="2"/>
        <charset val="1"/>
      </rPr>
      <t xml:space="preserve">Camila</t>
    </r>
    <r>
      <rPr>
        <sz val="10"/>
        <rFont val="WenQuanYi Zen Hei"/>
        <family val="2"/>
      </rPr>
      <t xml:space="preserve">가 공황을 일으킨 노인을 돌본다</t>
    </r>
    <r>
      <rPr>
        <sz val="10"/>
        <rFont val="Noto Sans CJK SC"/>
        <family val="2"/>
        <charset val="1"/>
      </rPr>
      <t xml:space="preserve">. Rafael</t>
    </r>
    <r>
      <rPr>
        <sz val="10"/>
        <rFont val="WenQuanYi Zen Hei"/>
        <family val="2"/>
      </rPr>
      <t xml:space="preserve">은 </t>
    </r>
    <r>
      <rPr>
        <sz val="10"/>
        <rFont val="Noto Sans CJK SC"/>
        <family val="2"/>
        <charset val="1"/>
      </rPr>
      <t xml:space="preserve">78</t>
    </r>
    <r>
      <rPr>
        <sz val="10"/>
        <rFont val="WenQuanYi Zen Hei"/>
        <family val="2"/>
      </rPr>
      <t xml:space="preserve">세 </t>
    </r>
    <r>
      <rPr>
        <sz val="10"/>
        <rFont val="Noto Sans CJK SC"/>
        <family val="2"/>
        <charset val="1"/>
      </rPr>
      <t xml:space="preserve">Dona Conceição(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를 만난다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</si>
  <si>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총회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발언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동의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항의 표현</t>
    </r>
  </si>
  <si>
    <r>
      <rPr>
        <sz val="10"/>
        <rFont val="Arial"/>
        <family val="0"/>
        <charset val="1"/>
      </rPr>
      <t xml:space="preserve">Rafael, Edson, Camila, Dona Conceição(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</si>
  <si>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O julgamento</t>
  </si>
  <si>
    <t xml:space="preserve">재판</t>
  </si>
  <si>
    <r>
      <rPr>
        <sz val="10"/>
        <rFont val="WenQuanYi Zen Hei"/>
        <family val="2"/>
      </rPr>
      <t xml:space="preserve">심리</t>
    </r>
    <r>
      <rPr>
        <sz val="10"/>
        <rFont val="Noto Sans CJK SC"/>
        <family val="2"/>
        <charset val="1"/>
      </rPr>
      <t xml:space="preserve">(audiência)</t>
    </r>
    <r>
      <rPr>
        <sz val="10"/>
        <rFont val="WenQuanYi Zen Hei"/>
        <family val="2"/>
      </rPr>
      <t xml:space="preserve">와 판결</t>
    </r>
    <r>
      <rPr>
        <sz val="10"/>
        <rFont val="Noto Sans CJK SC"/>
        <family val="2"/>
        <charset val="1"/>
      </rPr>
      <t xml:space="preserve">. Rafael</t>
    </r>
    <r>
      <rPr>
        <sz val="10"/>
        <rFont val="WenQuanYi Zen Hei"/>
        <family val="2"/>
      </rPr>
      <t xml:space="preserve">이 승소한다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취재하던 </t>
    </r>
    <r>
      <rPr>
        <sz val="10"/>
        <rFont val="Noto Sans CJK SC"/>
        <family val="2"/>
        <charset val="1"/>
      </rPr>
      <t xml:space="preserve">Dumont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«O senhor está orgulhoso?»</t>
    </r>
    <r>
      <rPr>
        <sz val="10"/>
        <rFont val="WenQuanYi Zen Hei"/>
        <family val="2"/>
      </rPr>
      <t xml:space="preserve">라고 묻는다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감사인 </t>
    </r>
    <r>
      <rPr>
        <sz val="10"/>
        <rFont val="Noto Sans CJK SC"/>
        <family val="2"/>
        <charset val="1"/>
      </rPr>
      <t xml:space="preserve">Bruno</t>
    </r>
    <r>
      <rPr>
        <sz val="10"/>
        <rFont val="WenQuanYi Zen Hei"/>
        <family val="2"/>
      </rPr>
      <t xml:space="preserve">는 고객의 장부를 보고 고개를 젓는다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</si>
  <si>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소송 어휘</t>
    </r>
    <r>
      <rPr>
        <sz val="10"/>
        <rFont val="Noto Sans CJK SC"/>
        <family val="2"/>
        <charset val="1"/>
      </rPr>
      <t xml:space="preserve">: petição inicial, audiência, sentença, custas</t>
    </r>
  </si>
  <si>
    <r>
      <rPr>
        <sz val="10"/>
        <rFont val="Arial"/>
        <family val="0"/>
        <charset val="1"/>
      </rPr>
      <t xml:space="preserve">Rafael, Dumont, Bruno, </t>
    </r>
    <r>
      <rPr>
        <sz val="10"/>
        <rFont val="WenQuanYi Zen Hei"/>
        <family val="2"/>
      </rPr>
      <t xml:space="preserve">판사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</si>
  <si>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E1·P3</t>
  </si>
  <si>
    <t xml:space="preserve">Sexta: continua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</si>
  <si>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계속해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</si>
  <si>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Rafael</t>
    </r>
    <r>
      <rPr>
        <sz val="10"/>
        <rFont val="WenQuanYi Zen Hei"/>
        <family val="2"/>
      </rPr>
      <t xml:space="preserve">이 말을 잇지 못하자 </t>
    </r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«Quando eu reinava…»</t>
    </r>
    <r>
      <rPr>
        <sz val="10"/>
        <rFont val="WenQuanYi Zen Hei"/>
        <family val="2"/>
      </rPr>
      <t xml:space="preserve">로 시간을 벌어 주고 </t>
    </r>
    <r>
      <rPr>
        <sz val="10"/>
        <rFont val="Arial"/>
        <family val="0"/>
        <charset val="1"/>
      </rPr>
      <t xml:space="preserve">Marta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«Continua.»</t>
    </r>
    <r>
      <rPr>
        <sz val="10"/>
        <rFont val="WenQuanYi Zen Hei"/>
        <family val="2"/>
      </rPr>
      <t xml:space="preserve">라고 한다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«E ela?»</t>
    </r>
    <r>
      <rPr>
        <sz val="10"/>
        <rFont val="WenQuanYi Zen Hei"/>
        <family val="2"/>
      </rPr>
      <t xml:space="preserve">라고 묻는다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</si>
  <si>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위로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재촉 표현</t>
    </r>
  </si>
  <si>
    <t xml:space="preserve">Rafael, Dom Pedro, Marta, Larissa</t>
  </si>
  <si>
    <t xml:space="preserve">절정</t>
  </si>
  <si>
    <t xml:space="preserve">Um jantar nos Jardins</t>
  </si>
  <si>
    <t xml:space="preserve">자르딘스의 저녁</t>
  </si>
  <si>
    <r>
      <rPr>
        <sz val="10"/>
        <rFont val="WenQuanYi Zen Hei"/>
        <family val="2"/>
      </rPr>
      <t xml:space="preserve">승소 축하 만찬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파트너들이 건배하는 동안 </t>
    </r>
    <r>
      <rPr>
        <sz val="10"/>
        <rFont val="Noto Sans CJK SC"/>
        <family val="2"/>
        <charset val="1"/>
      </rPr>
      <t xml:space="preserve">Quintela</t>
    </r>
    <r>
      <rPr>
        <sz val="10"/>
        <rFont val="WenQuanYi Zen Hei"/>
        <family val="2"/>
      </rPr>
      <t xml:space="preserve">가 다음 포트폴리오를 건넨다</t>
    </r>
    <r>
      <rPr>
        <sz val="10"/>
        <rFont val="Noto Sans CJK SC"/>
        <family val="2"/>
        <charset val="1"/>
      </rPr>
      <t xml:space="preserve">. Rafael</t>
    </r>
    <r>
      <rPr>
        <sz val="10"/>
        <rFont val="WenQuanYi Zen Hei"/>
        <family val="2"/>
      </rPr>
      <t xml:space="preserve">의 휴대전화가 울린다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</si>
  <si>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고급 식당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건배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축하</t>
    </r>
  </si>
  <si>
    <r>
      <rPr>
        <sz val="10"/>
        <rFont val="Arial"/>
        <family val="0"/>
        <charset val="1"/>
      </rPr>
      <t xml:space="preserve">Rafael, Salgado(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Quintela(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Bruno</t>
    </r>
  </si>
  <si>
    <t xml:space="preserve">A neta de Dona Conceição</t>
  </si>
  <si>
    <r>
      <rPr>
        <sz val="10"/>
        <rFont val="Arial"/>
        <family val="0"/>
        <charset val="1"/>
      </rPr>
      <t xml:space="preserve">Dona Conceição</t>
    </r>
    <r>
      <rPr>
        <sz val="10"/>
        <rFont val="WenQuanYi Zen Hei"/>
        <family val="2"/>
      </rPr>
      <t xml:space="preserve">의 손녀</t>
    </r>
  </si>
  <si>
    <r>
      <rPr>
        <sz val="10"/>
        <rFont val="Arial"/>
        <family val="0"/>
        <charset val="1"/>
      </rPr>
      <t xml:space="preserve">Dona Conceição</t>
    </r>
    <r>
      <rPr>
        <sz val="10"/>
        <rFont val="WenQuanYi Zen Hei"/>
        <family val="2"/>
      </rPr>
      <t xml:space="preserve">가 퇴거 석 달 뒤 세상을 떠났다는 소식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손녀 </t>
    </r>
    <r>
      <rPr>
        <sz val="10"/>
        <rFont val="Arial"/>
        <family val="0"/>
        <charset val="1"/>
      </rPr>
      <t xml:space="preserve">Marina(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사무실로 찾아와 조용히 묻는다</t>
    </r>
    <r>
      <rPr>
        <sz val="10"/>
        <rFont val="Arial"/>
        <family val="0"/>
        <charset val="1"/>
      </rPr>
      <t xml:space="preserve">: «O senhor ganhou?»</t>
    </r>
  </si>
  <si>
    <r>
      <rPr>
        <sz val="10"/>
        <rFont val="WenQuanYi Zen Hei"/>
        <family val="2"/>
      </rPr>
      <t xml:space="preserve">조의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항의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문서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사람</t>
    </r>
  </si>
  <si>
    <r>
      <rPr>
        <sz val="10"/>
        <rFont val="Arial"/>
        <family val="0"/>
        <charset val="1"/>
      </rPr>
      <t xml:space="preserve">Rafael, Marina(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</si>
  <si>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</si>
  <si>
    <t xml:space="preserve">Sexta: a demissão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</si>
  <si>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사직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</si>
  <si>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) Rafael</t>
    </r>
    <r>
      <rPr>
        <sz val="10"/>
        <rFont val="WenQuanYi Zen Hei"/>
        <family val="2"/>
      </rPr>
      <t xml:space="preserve">이 다음 포트폴리오 서명을 거부하고 사직서를 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짐 상자를 든 채 응급실 대기실에서 쓰러지고 </t>
    </r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가 그를 진료한다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는 여전히 </t>
    </r>
    <r>
      <rPr>
        <sz val="10"/>
        <rFont val="Arial"/>
        <family val="0"/>
        <charset val="1"/>
      </rPr>
      <t xml:space="preserve">'o senhor'</t>
    </r>
    <r>
      <rPr>
        <sz val="10"/>
        <rFont val="WenQuanYi Zen Hei"/>
        <family val="2"/>
      </rPr>
      <t xml:space="preserve">를 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</si>
  <si>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사직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거절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접속법</t>
    </r>
  </si>
  <si>
    <t xml:space="preserve">Rafael, Camila, Larissa, Marta</t>
  </si>
  <si>
    <t xml:space="preserve">Sexta: os nomes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</si>
  <si>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이름들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</si>
  <si>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Camila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«Isso não é estatística, é uma pessoa.»</t>
    </r>
    <r>
      <rPr>
        <sz val="10"/>
        <rFont val="WenQuanYi Zen Hei"/>
        <family val="2"/>
      </rPr>
      <t xml:space="preserve">라며 이야기를 시작한다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가 계단을 오르내리다 숨을 고르는 것을 </t>
    </r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가 흘끗 본다</t>
    </r>
    <r>
      <rPr>
        <sz val="10"/>
        <rFont val="Arial"/>
        <family val="0"/>
        <charset val="1"/>
      </rPr>
      <t xml:space="preserve">.</t>
    </r>
  </si>
  <si>
    <t xml:space="preserve">의학 어휘 도입</t>
  </si>
  <si>
    <t xml:space="preserve">Camila, Larissa, Dom Pedro, Marta</t>
  </si>
  <si>
    <t xml:space="preserve">Plantão noturno</t>
  </si>
  <si>
    <t xml:space="preserve">야간 당직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</si>
  <si>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) São Bartolomeu </t>
    </r>
    <r>
      <rPr>
        <sz val="10"/>
        <rFont val="WenQuanYi Zen Hei"/>
        <family val="2"/>
      </rPr>
      <t xml:space="preserve">응급실</t>
    </r>
    <r>
      <rPr>
        <sz val="10"/>
        <rFont val="Arial"/>
        <family val="0"/>
        <charset val="1"/>
      </rPr>
      <t xml:space="preserve">(pronto-socorro)</t>
    </r>
    <r>
      <rPr>
        <sz val="10"/>
        <rFont val="WenQuanYi Zen Hei"/>
        <family val="2"/>
      </rPr>
      <t xml:space="preserve">의 야간 당직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위험도 분류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맨체스터 프로토콜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병상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간호사 </t>
    </r>
    <r>
      <rPr>
        <sz val="10"/>
        <rFont val="Arial"/>
        <family val="0"/>
        <charset val="1"/>
      </rPr>
      <t xml:space="preserve">Rosângela(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와의 호흡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가슴 통증으로 실려 온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을 진료한다</t>
    </r>
    <r>
      <rPr>
        <sz val="10"/>
        <rFont val="Arial"/>
        <family val="0"/>
        <charset val="1"/>
      </rPr>
      <t xml:space="preserve">.</t>
    </r>
  </si>
  <si>
    <t xml:space="preserve">classificação de risco, sinais vitais, maca, box</t>
  </si>
  <si>
    <r>
      <rPr>
        <sz val="10"/>
        <rFont val="Arial"/>
        <family val="0"/>
        <charset val="1"/>
      </rPr>
      <t xml:space="preserve">Camila, Rosângela(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Rafael</t>
    </r>
  </si>
  <si>
    <t xml:space="preserve">A onda de calor</t>
  </si>
  <si>
    <t xml:space="preserve">폭염</t>
  </si>
  <si>
    <r>
      <rPr>
        <sz val="10"/>
        <rFont val="WenQuanYi Zen Hei"/>
        <family val="2"/>
      </rPr>
      <t xml:space="preserve">기록적 폭염에 고령 환자가 몰려 응급실이 넘친다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산소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수액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얼음</t>
    </r>
    <r>
      <rPr>
        <sz val="10"/>
        <rFont val="Noto Sans CJK SC"/>
        <family val="2"/>
        <charset val="1"/>
      </rPr>
      <t xml:space="preserve">. Camila</t>
    </r>
    <r>
      <rPr>
        <sz val="10"/>
        <rFont val="WenQuanYi Zen Hei"/>
        <family val="2"/>
      </rPr>
      <t xml:space="preserve">는 밤새 환자 이름을 외운다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</si>
  <si>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열사병</t>
    </r>
    <r>
      <rPr>
        <sz val="10"/>
        <rFont val="Noto Sans CJK SC"/>
        <family val="2"/>
        <charset val="1"/>
      </rPr>
      <t xml:space="preserve">(insolação), </t>
    </r>
    <r>
      <rPr>
        <sz val="10"/>
        <rFont val="WenQuanYi Zen Hei"/>
        <family val="2"/>
      </rPr>
      <t xml:space="preserve">탈수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고령 환자</t>
    </r>
  </si>
  <si>
    <r>
      <rPr>
        <sz val="10"/>
        <rFont val="Arial"/>
        <family val="0"/>
        <charset val="1"/>
      </rPr>
      <t xml:space="preserve">Camila, Rosângela(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</si>
  <si>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S4·S3</t>
  </si>
  <si>
    <t xml:space="preserve">Um contrato que ninguém lê</t>
  </si>
  <si>
    <t xml:space="preserve">아무도 읽지 않는 계약</t>
  </si>
  <si>
    <r>
      <rPr>
        <sz val="10"/>
        <rFont val="WenQuanYi Zen Hei"/>
        <family val="2"/>
      </rPr>
      <t xml:space="preserve">시가 병원 운영을 사회조직</t>
    </r>
    <r>
      <rPr>
        <sz val="10"/>
        <rFont val="Noto Sans CJK SC"/>
        <family val="2"/>
        <charset val="1"/>
      </rPr>
      <t xml:space="preserve">(OSS) Meridiano Saúde</t>
    </r>
    <r>
      <rPr>
        <sz val="10"/>
        <rFont val="WenQuanYi Zen Hei"/>
        <family val="2"/>
      </rPr>
      <t xml:space="preserve">에 위탁한다고 발표한다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원장 회의에서 컨설턴트 </t>
    </r>
    <r>
      <rPr>
        <sz val="10"/>
        <rFont val="Noto Sans CJK SC"/>
        <family val="2"/>
        <charset val="1"/>
      </rPr>
      <t xml:space="preserve">Juliana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효율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발표를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</si>
  <si>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사회조직 위탁 운영</t>
    </r>
    <r>
      <rPr>
        <sz val="10"/>
        <rFont val="Noto Sans CJK SC"/>
        <family val="2"/>
        <charset val="1"/>
      </rPr>
      <t xml:space="preserve">(OSS, Lei 9.637/1998), </t>
    </r>
    <r>
      <rPr>
        <sz val="10"/>
        <rFont val="WenQuanYi Zen Hei"/>
        <family val="2"/>
      </rPr>
      <t xml:space="preserve">관리계약</t>
    </r>
    <r>
      <rPr>
        <sz val="10"/>
        <rFont val="Noto Sans CJK SC"/>
        <family val="2"/>
        <charset val="1"/>
      </rPr>
      <t xml:space="preserve">(contrato de gestão), </t>
    </r>
    <r>
      <rPr>
        <sz val="10"/>
        <rFont val="WenQuanYi Zen Hei"/>
        <family val="2"/>
      </rPr>
      <t xml:space="preserve">예산</t>
    </r>
  </si>
  <si>
    <r>
      <rPr>
        <sz val="10"/>
        <rFont val="Arial"/>
        <family val="0"/>
        <charset val="1"/>
      </rPr>
      <t xml:space="preserve">Camila, </t>
    </r>
    <r>
      <rPr>
        <sz val="10"/>
        <rFont val="WenQuanYi Zen Hei"/>
        <family val="2"/>
      </rPr>
      <t xml:space="preserve">원장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Juliana</t>
    </r>
  </si>
  <si>
    <t xml:space="preserve">S3</t>
  </si>
  <si>
    <t xml:space="preserve">Sexta: a lista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</si>
  <si>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명단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</si>
  <si>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Larissa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의 수첩 명단을 본다</t>
    </r>
    <r>
      <rPr>
        <sz val="10"/>
        <rFont val="Arial"/>
        <family val="0"/>
        <charset val="1"/>
      </rPr>
      <t xml:space="preserve">. Camila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«Já vi coisa pior numa terça qualquer.»</t>
    </r>
    <r>
      <rPr>
        <sz val="10"/>
        <rFont val="WenQuanYi Zen Hei"/>
        <family val="2"/>
      </rPr>
      <t xml:space="preserve">로 넘긴다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는 발목이 부었냐는 물음에 </t>
    </r>
    <r>
      <rPr>
        <sz val="10"/>
        <rFont val="Arial"/>
        <family val="0"/>
        <charset val="1"/>
      </rPr>
      <t xml:space="preserve">«É o sapato.»</t>
    </r>
  </si>
  <si>
    <r>
      <rPr>
        <sz val="10"/>
        <rFont val="WenQuanYi Zen Hei"/>
        <family val="2"/>
      </rPr>
      <t xml:space="preserve">명단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숫자 읽기</t>
    </r>
  </si>
  <si>
    <t xml:space="preserve">Camila, Larissa, Dom Pedro</t>
  </si>
  <si>
    <t xml:space="preserve">A primeira da lista</t>
  </si>
  <si>
    <t xml:space="preserve">명단의 첫 번째</t>
  </si>
  <si>
    <r>
      <rPr>
        <sz val="10"/>
        <rFont val="WenQuanYi Zen Hei"/>
        <family val="2"/>
      </rPr>
      <t xml:space="preserve">서류 없는 </t>
    </r>
    <r>
      <rPr>
        <sz val="10"/>
        <rFont val="Noto Sans CJK SC"/>
        <family val="2"/>
        <charset val="1"/>
      </rPr>
      <t xml:space="preserve">20</t>
    </r>
    <r>
      <rPr>
        <sz val="10"/>
        <rFont val="WenQuanYi Zen Hei"/>
        <family val="2"/>
      </rPr>
      <t xml:space="preserve">대 볼리비아 출신 봉제 노동자가 패혈증으로 실려 오지만 병상 배정</t>
    </r>
    <r>
      <rPr>
        <sz val="10"/>
        <rFont val="Noto Sans CJK SC"/>
        <family val="2"/>
        <charset val="1"/>
      </rPr>
      <t xml:space="preserve">(regulação)</t>
    </r>
    <r>
      <rPr>
        <sz val="10"/>
        <rFont val="WenQuanYi Zen Hei"/>
        <family val="2"/>
      </rPr>
      <t xml:space="preserve">이 아홉 시간 지연되어 숨진다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위탁 업체가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비용 검토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중이었다</t>
    </r>
    <r>
      <rPr>
        <sz val="10"/>
        <rFont val="Noto Sans CJK SC"/>
        <family val="2"/>
        <charset val="1"/>
      </rPr>
      <t xml:space="preserve">. Camila</t>
    </r>
    <r>
      <rPr>
        <sz val="10"/>
        <rFont val="WenQuanYi Zen Hei"/>
        <family val="2"/>
      </rPr>
      <t xml:space="preserve">가 수첩에 첫 이름을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</si>
  <si>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패혈증</t>
    </r>
    <r>
      <rPr>
        <sz val="10"/>
        <rFont val="Noto Sans CJK SC"/>
        <family val="2"/>
        <charset val="1"/>
      </rPr>
      <t xml:space="preserve">(sepse), </t>
    </r>
    <r>
      <rPr>
        <sz val="10"/>
        <rFont val="WenQuanYi Zen Hei"/>
        <family val="2"/>
      </rPr>
      <t xml:space="preserve">병상 배정 규제</t>
    </r>
    <r>
      <rPr>
        <sz val="10"/>
        <rFont val="Noto Sans CJK SC"/>
        <family val="2"/>
        <charset val="1"/>
      </rPr>
      <t xml:space="preserve">(regulação de vagas), SUS</t>
    </r>
    <r>
      <rPr>
        <sz val="10"/>
        <rFont val="WenQuanYi Zen Hei"/>
        <family val="2"/>
      </rPr>
      <t xml:space="preserve">는 서류와 무관한 보편 접근권</t>
    </r>
  </si>
  <si>
    <r>
      <rPr>
        <sz val="10"/>
        <rFont val="Arial"/>
        <family val="0"/>
        <charset val="1"/>
      </rPr>
      <t xml:space="preserve">Camila, Rosângela(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원장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</si>
  <si>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S2·S3</t>
  </si>
  <si>
    <t xml:space="preserve">Os números do diretor</t>
  </si>
  <si>
    <t xml:space="preserve">원장의 숫자</t>
  </si>
  <si>
    <r>
      <rPr>
        <sz val="10"/>
        <rFont val="WenQuanYi Zen Hei"/>
        <family val="2"/>
      </rPr>
      <t xml:space="preserve">원장이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대기 시간 개선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통계를 발표한다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위탁 업체의 재무를 자문하는 </t>
    </r>
    <r>
      <rPr>
        <sz val="10"/>
        <rFont val="Noto Sans CJK SC"/>
        <family val="2"/>
        <charset val="1"/>
      </rPr>
      <t xml:space="preserve">Bruno</t>
    </r>
    <r>
      <rPr>
        <sz val="10"/>
        <rFont val="WenQuanYi Zen Hei"/>
        <family val="2"/>
      </rPr>
      <t xml:space="preserve">가 배석한다</t>
    </r>
    <r>
      <rPr>
        <sz val="10"/>
        <rFont val="Noto Sans CJK SC"/>
        <family val="2"/>
        <charset val="1"/>
      </rPr>
      <t xml:space="preserve">. Camila</t>
    </r>
    <r>
      <rPr>
        <sz val="10"/>
        <rFont val="WenQuanYi Zen Hei"/>
        <family val="2"/>
      </rPr>
      <t xml:space="preserve">가 내부 사망 사례 보고서를 제출한다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</si>
  <si>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통계 읽기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보고서 어휘</t>
    </r>
  </si>
  <si>
    <r>
      <rPr>
        <sz val="10"/>
        <rFont val="Arial"/>
        <family val="0"/>
        <charset val="1"/>
      </rPr>
      <t xml:space="preserve">Camila, </t>
    </r>
    <r>
      <rPr>
        <sz val="10"/>
        <rFont val="WenQuanYi Zen Hei"/>
        <family val="2"/>
      </rPr>
      <t xml:space="preserve">원장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Bruno</t>
    </r>
  </si>
  <si>
    <t xml:space="preserve">P3</t>
  </si>
  <si>
    <t xml:space="preserve">A sindicância</t>
  </si>
  <si>
    <t xml:space="preserve">징계 조사</t>
  </si>
  <si>
    <r>
      <rPr>
        <sz val="10"/>
        <rFont val="WenQuanYi Zen Hei"/>
        <family val="2"/>
      </rPr>
      <t xml:space="preserve">보고서 유출 의혹으로 징계 조사</t>
    </r>
    <r>
      <rPr>
        <sz val="10"/>
        <rFont val="Noto Sans CJK SC"/>
        <family val="2"/>
        <charset val="1"/>
      </rPr>
      <t xml:space="preserve">(sindicância)</t>
    </r>
    <r>
      <rPr>
        <sz val="10"/>
        <rFont val="WenQuanYi Zen Hei"/>
        <family val="2"/>
      </rPr>
      <t xml:space="preserve">가 시작된다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취재하는 </t>
    </r>
    <r>
      <rPr>
        <sz val="10"/>
        <rFont val="Noto Sans CJK SC"/>
        <family val="2"/>
        <charset val="1"/>
      </rPr>
      <t xml:space="preserve">Dumont</t>
    </r>
    <r>
      <rPr>
        <sz val="10"/>
        <rFont val="WenQuanYi Zen Hei"/>
        <family val="2"/>
      </rPr>
      <t xml:space="preserve">에게 </t>
    </r>
    <r>
      <rPr>
        <sz val="10"/>
        <rFont val="Noto Sans CJK SC"/>
        <family val="2"/>
        <charset val="1"/>
      </rPr>
      <t xml:space="preserve">Camila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«Isso não sai daqui.»</t>
    </r>
    <r>
      <rPr>
        <sz val="10"/>
        <rFont val="WenQuanYi Zen Hei"/>
        <family val="2"/>
      </rPr>
      <t xml:space="preserve">라는 말을 듣는다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</si>
  <si>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징계 조사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행정 징계 절차</t>
    </r>
    <r>
      <rPr>
        <sz val="10"/>
        <rFont val="Noto Sans CJK SC"/>
        <family val="2"/>
        <charset val="1"/>
      </rPr>
      <t xml:space="preserve">(PAD), </t>
    </r>
    <r>
      <rPr>
        <sz val="10"/>
        <rFont val="WenQuanYi Zen Hei"/>
        <family val="2"/>
      </rPr>
      <t xml:space="preserve">의료윤리</t>
    </r>
    <r>
      <rPr>
        <sz val="10"/>
        <rFont val="Noto Sans CJK SC"/>
        <family val="2"/>
        <charset val="1"/>
      </rPr>
      <t xml:space="preserve">(CRM), </t>
    </r>
    <r>
      <rPr>
        <sz val="10"/>
        <rFont val="WenQuanYi Zen Hei"/>
        <family val="2"/>
      </rPr>
      <t xml:space="preserve">비밀유지</t>
    </r>
  </si>
  <si>
    <r>
      <rPr>
        <sz val="10"/>
        <rFont val="Arial"/>
        <family val="0"/>
        <charset val="1"/>
      </rPr>
      <t xml:space="preserve">Camila, Dumont, </t>
    </r>
    <r>
      <rPr>
        <sz val="10"/>
        <rFont val="WenQuanYi Zen Hei"/>
        <family val="2"/>
      </rPr>
      <t xml:space="preserve">원장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</si>
  <si>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Sexta: e como isso faz você se sentir?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</si>
  <si>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기분이 어때요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</si>
  <si>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Isabel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에게 감정을 되묻는다</t>
    </r>
    <r>
      <rPr>
        <sz val="10"/>
        <rFont val="Arial"/>
        <family val="0"/>
        <charset val="1"/>
      </rPr>
      <t xml:space="preserve">. Camila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«Primeiro, respira.»</t>
    </r>
    <r>
      <rPr>
        <sz val="10"/>
        <rFont val="WenQuanYi Zen Hei"/>
        <family val="2"/>
      </rPr>
      <t xml:space="preserve">로 받아친다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Isabel</t>
    </r>
    <r>
      <rPr>
        <sz val="10"/>
        <rFont val="WenQuanYi Zen Hei"/>
        <family val="2"/>
      </rPr>
      <t xml:space="preserve">의 화법을 흉내 낸다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</si>
  <si>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감정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되받기 화법</t>
    </r>
  </si>
  <si>
    <t xml:space="preserve">Camila, Isabel, Larissa</t>
  </si>
  <si>
    <t xml:space="preserve">Uma noite sem leitos</t>
  </si>
  <si>
    <t xml:space="preserve">병상 없는 밤</t>
  </si>
  <si>
    <r>
      <rPr>
        <sz val="10"/>
        <rFont val="WenQuanYi Zen Hei"/>
        <family val="2"/>
      </rPr>
      <t xml:space="preserve">버스 사고와 폭염이 겹친 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병상이 없어 복도까지 환자가 찬다</t>
    </r>
    <r>
      <rPr>
        <sz val="10"/>
        <rFont val="Noto Sans CJK SC"/>
        <family val="2"/>
        <charset val="1"/>
      </rPr>
      <t xml:space="preserve">. Camila</t>
    </r>
    <r>
      <rPr>
        <sz val="10"/>
        <rFont val="WenQuanYi Zen Hei"/>
        <family val="2"/>
      </rPr>
      <t xml:space="preserve">가 즉흥으로 일곱 명을 살리고 한 명을 잃는다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</si>
  <si>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다수 사상자</t>
    </r>
    <r>
      <rPr>
        <sz val="10"/>
        <rFont val="Noto Sans CJK SC"/>
        <family val="2"/>
        <charset val="1"/>
      </rPr>
      <t xml:space="preserve">(múltiplas vítimas), </t>
    </r>
    <r>
      <rPr>
        <sz val="10"/>
        <rFont val="WenQuanYi Zen Hei"/>
        <family val="2"/>
      </rPr>
      <t xml:space="preserve">우선순위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명령형</t>
    </r>
  </si>
  <si>
    <t xml:space="preserve">S4</t>
  </si>
  <si>
    <t xml:space="preserve">A demissão da doutora</t>
  </si>
  <si>
    <t xml:space="preserve">의사의 사직</t>
  </si>
  <si>
    <r>
      <rPr>
        <sz val="10"/>
        <rFont val="WenQuanYi Zen Hei"/>
        <family val="2"/>
      </rPr>
      <t xml:space="preserve">징계 통보와 마지막 근무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수첩을 덮고 사직서를 낸다</t>
    </r>
    <r>
      <rPr>
        <sz val="10"/>
        <rFont val="Noto Sans CJK SC"/>
        <family val="2"/>
        <charset val="1"/>
      </rPr>
      <t xml:space="preserve">. Rosângela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«Doutora, não vai embora.»</t>
    </r>
  </si>
  <si>
    <r>
      <rPr>
        <sz val="10"/>
        <rFont val="WenQuanYi Zen Hei"/>
        <family val="2"/>
      </rPr>
      <t xml:space="preserve">사직서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작별</t>
    </r>
  </si>
  <si>
    <t xml:space="preserve">Sexta: uma assinatura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</si>
  <si>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한 사람의 서명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</si>
  <si>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Camila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«O parecer da auditoria do contrato tinha uma assinatura.»</t>
    </r>
    <r>
      <rPr>
        <sz val="10"/>
        <rFont val="WenQuanYi Zen Hei"/>
        <family val="2"/>
      </rPr>
      <t xml:space="preserve">라고 말한다</t>
    </r>
    <r>
      <rPr>
        <sz val="10"/>
        <rFont val="Arial"/>
        <family val="0"/>
        <charset val="1"/>
      </rPr>
      <t xml:space="preserve">. Bruno</t>
    </r>
    <r>
      <rPr>
        <sz val="10"/>
        <rFont val="WenQuanYi Zen Hei"/>
        <family val="2"/>
      </rPr>
      <t xml:space="preserve">가 조용히 </t>
    </r>
    <r>
      <rPr>
        <sz val="10"/>
        <rFont val="Arial"/>
        <family val="0"/>
        <charset val="1"/>
      </rPr>
      <t xml:space="preserve">«Minha vez.»</t>
    </r>
  </si>
  <si>
    <r>
      <rPr>
        <sz val="10"/>
        <rFont val="WenQuanYi Zen Hei"/>
        <family val="2"/>
      </rPr>
      <t xml:space="preserve">서명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책임 표현</t>
    </r>
  </si>
  <si>
    <t xml:space="preserve">Camila, Bruno, Larissa, Dom Pedro</t>
  </si>
  <si>
    <t xml:space="preserve">Sexta: eu assinei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</si>
  <si>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내가 서명했다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</si>
  <si>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Bruno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«Deixa eu ver os papéis.»</t>
    </r>
    <r>
      <rPr>
        <sz val="10"/>
        <rFont val="WenQuanYi Zen Hei"/>
        <family val="2"/>
      </rPr>
      <t xml:space="preserve">를 습관처럼 하다가 </t>
    </r>
    <r>
      <rPr>
        <sz val="10"/>
        <rFont val="Arial"/>
        <family val="0"/>
        <charset val="1"/>
      </rPr>
      <t xml:space="preserve">«Eu assinei.»</t>
    </r>
    <r>
      <rPr>
        <sz val="10"/>
        <rFont val="WenQuanYi Zen Hei"/>
        <family val="2"/>
      </rPr>
      <t xml:space="preserve">라고 시작한다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가 숫자를 못 읽어 질문한다</t>
    </r>
    <r>
      <rPr>
        <sz val="10"/>
        <rFont val="Arial"/>
        <family val="0"/>
        <charset val="1"/>
      </rPr>
      <t xml:space="preserve">.</t>
    </r>
  </si>
  <si>
    <t xml:space="preserve">회계 어휘 도입</t>
  </si>
  <si>
    <t xml:space="preserve">Bruno, Larissa, Camila, Dom Pedro</t>
  </si>
  <si>
    <t xml:space="preserve">Fechamento do exercício</t>
  </si>
  <si>
    <t xml:space="preserve">결산 마감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</si>
  <si>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) Barros &amp; Teixeira</t>
    </r>
    <r>
      <rPr>
        <sz val="10"/>
        <rFont val="WenQuanYi Zen Hei"/>
        <family val="2"/>
      </rPr>
      <t xml:space="preserve">의 결산 감사 마감 주간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표본추출</t>
    </r>
    <r>
      <rPr>
        <sz val="10"/>
        <rFont val="Arial"/>
        <family val="0"/>
        <charset val="1"/>
      </rPr>
      <t xml:space="preserve">(amostragem)</t>
    </r>
    <r>
      <rPr>
        <sz val="10"/>
        <rFont val="WenQuanYi Zen Hei"/>
        <family val="2"/>
      </rPr>
      <t xml:space="preserve">과 중요성</t>
    </r>
    <r>
      <rPr>
        <sz val="10"/>
        <rFont val="Arial"/>
        <family val="0"/>
        <charset val="1"/>
      </rPr>
      <t xml:space="preserve">(materialidade). Bruno</t>
    </r>
    <r>
      <rPr>
        <sz val="10"/>
        <rFont val="WenQuanYi Zen Hei"/>
        <family val="2"/>
      </rPr>
      <t xml:space="preserve">의 정확성과 냉소</t>
    </r>
    <r>
      <rPr>
        <sz val="10"/>
        <rFont val="Arial"/>
        <family val="0"/>
        <charset val="1"/>
      </rPr>
      <t xml:space="preserve">.</t>
    </r>
  </si>
  <si>
    <t xml:space="preserve">감사 절차 어휘</t>
  </si>
  <si>
    <r>
      <rPr>
        <sz val="10"/>
        <rFont val="Arial"/>
        <family val="0"/>
        <charset val="1"/>
      </rPr>
      <t xml:space="preserve">Bruno, Barros(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후배 감사인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</si>
  <si>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O cliente que paga bem</t>
  </si>
  <si>
    <t xml:space="preserve">돈 잘 주는 고객</t>
  </si>
  <si>
    <r>
      <rPr>
        <sz val="10"/>
        <rFont val="Arial"/>
        <family val="0"/>
        <charset val="1"/>
      </rPr>
      <t xml:space="preserve">Grupo Meridiano</t>
    </r>
    <r>
      <rPr>
        <sz val="10"/>
        <rFont val="WenQuanYi Zen Hei"/>
        <family val="2"/>
      </rPr>
      <t xml:space="preserve">가 회사 수임료의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를 차지한다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독립성과 감사인 순환 규정이 문제가 된다</t>
    </r>
    <r>
      <rPr>
        <sz val="10"/>
        <rFont val="Arial"/>
        <family val="0"/>
        <charset val="1"/>
      </rPr>
      <t xml:space="preserve">. Barros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관계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를 강조한다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</si>
  <si>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독립성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수임료 집중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감사인 순환</t>
    </r>
    <r>
      <rPr>
        <sz val="10"/>
        <rFont val="Noto Sans CJK SC"/>
        <family val="2"/>
        <charset val="1"/>
      </rPr>
      <t xml:space="preserve">(CVM </t>
    </r>
    <r>
      <rPr>
        <sz val="10"/>
        <rFont val="WenQuanYi Zen Hei"/>
        <family val="2"/>
      </rPr>
      <t xml:space="preserve">규정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</si>
  <si>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Bruno, Barros(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</si>
  <si>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Isso não fecha</t>
  </si>
  <si>
    <t xml:space="preserve">이건 안 맞아</t>
  </si>
  <si>
    <r>
      <rPr>
        <sz val="10"/>
        <rFont val="WenQuanYi Zen Hei"/>
        <family val="2"/>
      </rPr>
      <t xml:space="preserve">특수관계자 대출이 케이맨 제도의 펀드로 흘러간 흔적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은행 자료를 보내 준 </t>
    </r>
    <r>
      <rPr>
        <sz val="10"/>
        <rFont val="Noto Sans CJK SC"/>
        <family val="2"/>
        <charset val="1"/>
      </rPr>
      <t xml:space="preserve">Sérgio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«Siga o dinheiro.»</t>
    </r>
  </si>
  <si>
    <r>
      <rPr>
        <sz val="10"/>
        <rFont val="WenQuanYi Zen Hei"/>
        <family val="2"/>
      </rPr>
      <t xml:space="preserve">특수관계자 거래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조세 회피처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역외 펀드</t>
    </r>
  </si>
  <si>
    <t xml:space="preserve">Bruno, Sérgio</t>
  </si>
  <si>
    <t xml:space="preserve">Sexta: o pai do Bruno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</si>
  <si>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Bruno</t>
    </r>
    <r>
      <rPr>
        <sz val="10"/>
        <rFont val="WenQuanYi Zen Hei"/>
        <family val="2"/>
      </rPr>
      <t xml:space="preserve">의 아버지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</si>
  <si>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정직한 장부를 지키다 해고된 아버지 이야기</t>
    </r>
    <r>
      <rPr>
        <sz val="10"/>
        <rFont val="Arial"/>
        <family val="0"/>
        <charset val="1"/>
      </rPr>
      <t xml:space="preserve">. «Mostra os números e eu digo quem você é.»</t>
    </r>
    <r>
      <rPr>
        <sz val="10"/>
        <rFont val="WenQuanYi Zen Hei"/>
        <family val="2"/>
      </rPr>
      <t xml:space="preserve">의 기원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</si>
  <si>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가족 이야기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과거</t>
    </r>
  </si>
  <si>
    <t xml:space="preserve">Bruno, Larissa, Marta</t>
  </si>
  <si>
    <t xml:space="preserve">A reunião de sócios</t>
  </si>
  <si>
    <t xml:space="preserve">파트너 회의</t>
  </si>
  <si>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한정 의견</t>
    </r>
    <r>
      <rPr>
        <sz val="10"/>
        <rFont val="Arial"/>
        <family val="0"/>
        <charset val="1"/>
      </rPr>
      <t xml:space="preserve">(com ressalva)'</t>
    </r>
    <r>
      <rPr>
        <sz val="10"/>
        <rFont val="WenQuanYi Zen Hei"/>
        <family val="2"/>
      </rPr>
      <t xml:space="preserve">을 주장하자 파트너들이 승진과 고객 유지를 들어 설득한다</t>
    </r>
    <r>
      <rPr>
        <sz val="10"/>
        <rFont val="Arial"/>
        <family val="0"/>
        <charset val="1"/>
      </rPr>
      <t xml:space="preserve">. Bruno</t>
    </r>
    <r>
      <rPr>
        <sz val="10"/>
        <rFont val="WenQuanYi Zen Hei"/>
        <family val="2"/>
      </rPr>
      <t xml:space="preserve">는 리스크 위원회로 사안을 올린다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</si>
  <si>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의견 종류</t>
    </r>
    <r>
      <rPr>
        <sz val="10"/>
        <rFont val="Noto Sans CJK SC"/>
        <family val="2"/>
        <charset val="1"/>
      </rPr>
      <t xml:space="preserve">: sem ressalva, com ressalva, adversa, abstenção de opinião</t>
    </r>
  </si>
  <si>
    <r>
      <rPr>
        <sz val="10"/>
        <rFont val="Arial"/>
        <family val="0"/>
        <charset val="1"/>
      </rPr>
      <t xml:space="preserve">Bruno, Barros(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파트너들</t>
    </r>
  </si>
  <si>
    <t xml:space="preserve">O comitê de riscos</t>
  </si>
  <si>
    <t xml:space="preserve">리스크 위원회</t>
  </si>
  <si>
    <r>
      <rPr>
        <sz val="10"/>
        <rFont val="Arial"/>
        <family val="0"/>
        <charset val="1"/>
      </rPr>
      <t xml:space="preserve">GM </t>
    </r>
    <r>
      <rPr>
        <sz val="10"/>
        <rFont val="WenQuanYi Zen Hei"/>
        <family val="2"/>
      </rPr>
      <t xml:space="preserve">측 변호사 서한이 도착한다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고객 측 변호사는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의 옛 동료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위원회는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증거 불충분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결정한다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</si>
  <si>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변호사 서한</t>
    </r>
    <r>
      <rPr>
        <sz val="10"/>
        <rFont val="Noto Sans CJK SC"/>
        <family val="2"/>
        <charset val="1"/>
      </rPr>
      <t xml:space="preserve">(notificação extrajudicial), </t>
    </r>
    <r>
      <rPr>
        <sz val="10"/>
        <rFont val="WenQuanYi Zen Hei"/>
        <family val="2"/>
      </rPr>
      <t xml:space="preserve">충분한 증거</t>
    </r>
  </si>
  <si>
    <r>
      <rPr>
        <sz val="10"/>
        <rFont val="Arial"/>
        <family val="0"/>
        <charset val="1"/>
      </rPr>
      <t xml:space="preserve">Bruno, </t>
    </r>
    <r>
      <rPr>
        <sz val="10"/>
        <rFont val="WenQuanYi Zen Hei"/>
        <family val="2"/>
      </rPr>
      <t xml:space="preserve">위원회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</si>
  <si>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Um almoço nos Jardins</t>
  </si>
  <si>
    <t xml:space="preserve">자르딘스의 점심</t>
  </si>
  <si>
    <r>
      <rPr>
        <sz val="10"/>
        <rFont val="Arial"/>
        <family val="0"/>
        <charset val="1"/>
      </rPr>
      <t xml:space="preserve">Quintela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에게 점심을 산다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정중한 위협과 제안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파트너 승진과 개인 컨설팅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팟캐스트를 준비하던 </t>
    </r>
    <r>
      <rPr>
        <sz val="10"/>
        <rFont val="Arial"/>
        <family val="0"/>
        <charset val="1"/>
      </rPr>
      <t xml:space="preserve">Dumont</t>
    </r>
    <r>
      <rPr>
        <sz val="10"/>
        <rFont val="WenQuanYi Zen Hei"/>
        <family val="2"/>
      </rPr>
      <t xml:space="preserve">의 전화가 온다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</si>
  <si>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완곡한 압박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접속법 조건</t>
    </r>
  </si>
  <si>
    <r>
      <rPr>
        <sz val="10"/>
        <rFont val="Arial"/>
        <family val="0"/>
        <charset val="1"/>
      </rPr>
      <t xml:space="preserve">Bruno, Quintela(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Dumont</t>
    </r>
  </si>
  <si>
    <t xml:space="preserve">Sexta: e assinou?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</si>
  <si>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서명했어요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</si>
  <si>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Larissa</t>
    </r>
    <r>
      <rPr>
        <sz val="10"/>
        <rFont val="WenQuanYi Zen Hei"/>
        <family val="2"/>
      </rPr>
      <t xml:space="preserve">가 묻고 </t>
    </r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«Espera.»</t>
    </r>
    <r>
      <rPr>
        <sz val="10"/>
        <rFont val="WenQuanYi Zen Hei"/>
        <family val="2"/>
      </rPr>
      <t xml:space="preserve">라고 한다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«Todos nós já assinamos alguma coisa.»</t>
    </r>
    <r>
      <rPr>
        <sz val="10"/>
        <rFont val="WenQuanYi Zen Hei"/>
        <family val="2"/>
      </rPr>
      <t xml:space="preserve">라고 말하고 </t>
    </r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가 눈을 감는다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</si>
  <si>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재촉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회피</t>
    </r>
  </si>
  <si>
    <t xml:space="preserve">Bruno, Larissa, Dom Pedro, Camila</t>
  </si>
  <si>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적정</t>
    </r>
    <r>
      <rPr>
        <sz val="10"/>
        <rFont val="Arial"/>
        <family val="0"/>
        <charset val="1"/>
      </rPr>
      <t xml:space="preserve">(sem ressalva)' </t>
    </r>
    <r>
      <rPr>
        <sz val="10"/>
        <rFont val="WenQuanYi Zen Hei"/>
        <family val="2"/>
      </rPr>
      <t xml:space="preserve">의견서에 서명한다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서명 후 그는 복사본 </t>
    </r>
    <r>
      <rPr>
        <sz val="10"/>
        <rFont val="Arial"/>
        <family val="0"/>
        <charset val="1"/>
      </rPr>
      <t xml:space="preserve">USB</t>
    </r>
    <r>
      <rPr>
        <sz val="10"/>
        <rFont val="WenQuanYi Zen Hei"/>
        <family val="2"/>
      </rPr>
      <t xml:space="preserve">를 챙긴다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</si>
  <si>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서명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감사 의견서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책임</t>
    </r>
  </si>
  <si>
    <t xml:space="preserve">Depois da assinatura</t>
  </si>
  <si>
    <t xml:space="preserve">서명 이후</t>
  </si>
  <si>
    <r>
      <rPr>
        <sz val="10"/>
        <rFont val="WenQuanYi Zen Hei"/>
        <family val="2"/>
      </rPr>
      <t xml:space="preserve">그 의견서로 병원 위탁 계약이 확정되고</t>
    </r>
    <r>
      <rPr>
        <sz val="10"/>
        <rFont val="Noto Sans CJK SC"/>
        <family val="2"/>
        <charset val="1"/>
      </rPr>
      <t xml:space="preserve">(3</t>
    </r>
    <r>
      <rPr>
        <sz val="10"/>
        <rFont val="WenQuanYi Zen Hei"/>
        <family val="2"/>
      </rPr>
      <t xml:space="preserve">부의 계약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구조조정 컨설팅이 시작된다는 통보를 받는다</t>
    </r>
    <r>
      <rPr>
        <sz val="10"/>
        <rFont val="Noto Sans CJK SC"/>
        <family val="2"/>
        <charset val="1"/>
      </rPr>
      <t xml:space="preserve">. Bruno</t>
    </r>
    <r>
      <rPr>
        <sz val="10"/>
        <rFont val="WenQuanYi Zen Hei"/>
        <family val="2"/>
      </rPr>
      <t xml:space="preserve">는 사직하고 다시는 서명하지 않겠다고 다짐한다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</si>
  <si>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책임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사직</t>
    </r>
  </si>
  <si>
    <r>
      <rPr>
        <sz val="10"/>
        <rFont val="Arial"/>
        <family val="0"/>
        <charset val="1"/>
      </rPr>
      <t xml:space="preserve">Bruno, Barros(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Juliana</t>
    </r>
  </si>
  <si>
    <t xml:space="preserve">Sexta: a lista da Juliana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</si>
  <si>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Juliana</t>
    </r>
    <r>
      <rPr>
        <sz val="10"/>
        <rFont val="WenQuanYi Zen Hei"/>
        <family val="2"/>
      </rPr>
      <t xml:space="preserve">의 명단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</si>
  <si>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Bruno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USB</t>
    </r>
    <r>
      <rPr>
        <sz val="10"/>
        <rFont val="WenQuanYi Zen Hei"/>
        <family val="2"/>
      </rPr>
      <t xml:space="preserve">를 꺼내지 않은 채 식탁에 놓고</t>
    </r>
    <r>
      <rPr>
        <sz val="10"/>
        <rFont val="Arial"/>
        <family val="0"/>
        <charset val="1"/>
      </rPr>
      <t xml:space="preserve">, Juliana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«Era eu que fazia a lista.»</t>
    </r>
    <r>
      <rPr>
        <sz val="10"/>
        <rFont val="WenQuanYi Zen Hei"/>
        <family val="2"/>
      </rPr>
      <t xml:space="preserve">라고 말한다</t>
    </r>
    <r>
      <rPr>
        <sz val="10"/>
        <rFont val="Arial"/>
        <family val="0"/>
        <charset val="1"/>
      </rPr>
      <t xml:space="preserve">.</t>
    </r>
  </si>
  <si>
    <t xml:space="preserve">고백</t>
  </si>
  <si>
    <t xml:space="preserve">Bruno, Juliana, Larissa, Marta</t>
  </si>
  <si>
    <t xml:space="preserve">Sexta: numa matriz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</si>
  <si>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매트릭스로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</si>
  <si>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Juliana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«Vamos colocar isso numa matriz.»</t>
    </r>
    <r>
      <rPr>
        <sz val="10"/>
        <rFont val="WenQuanYi Zen Hei"/>
        <family val="2"/>
      </rPr>
      <t xml:space="preserve">로 시작하다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에게 제지당한다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</si>
  <si>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경영 어휘 도입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쉬운 말로 바꾸기</t>
    </r>
  </si>
  <si>
    <t xml:space="preserve">Juliana, Larissa, Dom Pedro</t>
  </si>
  <si>
    <t xml:space="preserve">Zênite, 32º andar</t>
  </si>
  <si>
    <r>
      <rPr>
        <sz val="10"/>
        <rFont val="Arial"/>
        <family val="0"/>
        <charset val="1"/>
      </rPr>
      <t xml:space="preserve">Zênite, 32</t>
    </r>
    <r>
      <rPr>
        <sz val="10"/>
        <rFont val="WenQuanYi Zen Hei"/>
        <family val="2"/>
      </rPr>
      <t xml:space="preserve">층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</si>
  <si>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) Faria Lima</t>
    </r>
    <r>
      <rPr>
        <sz val="10"/>
        <rFont val="WenQuanYi Zen Hei"/>
        <family val="2"/>
      </rPr>
      <t xml:space="preserve">의 컨설팅 회사 문화</t>
    </r>
    <r>
      <rPr>
        <sz val="10"/>
        <rFont val="Arial"/>
        <family val="0"/>
        <charset val="1"/>
      </rPr>
      <t xml:space="preserve">: up-or-out, </t>
    </r>
    <r>
      <rPr>
        <sz val="10"/>
        <rFont val="WenQuanYi Zen Hei"/>
        <family val="2"/>
      </rPr>
      <t xml:space="preserve">야근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영어가 반쯤 섞인 포르투갈어</t>
    </r>
    <r>
      <rPr>
        <sz val="10"/>
        <rFont val="Arial"/>
        <family val="0"/>
        <charset val="1"/>
      </rPr>
      <t xml:space="preserve">. Juliana</t>
    </r>
    <r>
      <rPr>
        <sz val="10"/>
        <rFont val="WenQuanYi Zen Hei"/>
        <family val="2"/>
      </rPr>
      <t xml:space="preserve">의 초고속 승진</t>
    </r>
    <r>
      <rPr>
        <sz val="10"/>
        <rFont val="Arial"/>
        <family val="0"/>
        <charset val="1"/>
      </rPr>
      <t xml:space="preserve">.</t>
    </r>
  </si>
  <si>
    <t xml:space="preserve">alinhar, escalar, impacto, stakeholders, deadline</t>
  </si>
  <si>
    <r>
      <rPr>
        <sz val="10"/>
        <rFont val="Arial"/>
        <family val="0"/>
        <charset val="1"/>
      </rPr>
      <t xml:space="preserve">Juliana, </t>
    </r>
    <r>
      <rPr>
        <sz val="10"/>
        <rFont val="WenQuanYi Zen Hei"/>
        <family val="2"/>
      </rPr>
      <t xml:space="preserve">파트너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</si>
  <si>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A oficina dos Tavares</t>
  </si>
  <si>
    <r>
      <rPr>
        <sz val="10"/>
        <rFont val="Arial"/>
        <family val="0"/>
        <charset val="1"/>
      </rPr>
      <t xml:space="preserve">Tavares </t>
    </r>
    <r>
      <rPr>
        <sz val="10"/>
        <rFont val="WenQuanYi Zen Hei"/>
        <family val="2"/>
      </rPr>
      <t xml:space="preserve">가족의 공방</t>
    </r>
  </si>
  <si>
    <r>
      <rPr>
        <sz val="10"/>
        <rFont val="WenQuanYi Zen Hei"/>
        <family val="2"/>
      </rPr>
      <t xml:space="preserve">영세 제조업체 컨설팅</t>
    </r>
    <r>
      <rPr>
        <sz val="10"/>
        <rFont val="Noto Sans CJK SC"/>
        <family val="2"/>
        <charset val="1"/>
      </rPr>
      <t xml:space="preserve">. Juliana</t>
    </r>
    <r>
      <rPr>
        <sz val="10"/>
        <rFont val="WenQuanYi Zen Hei"/>
        <family val="2"/>
      </rPr>
      <t xml:space="preserve">의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규모 키우기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권고가 현실과 맞지 않아 실패한다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생산성은 조언이 아니라 구조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비공식 고용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신용 접근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의 문제임을 처음 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</si>
  <si>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영세 사업자</t>
    </r>
    <r>
      <rPr>
        <sz val="10"/>
        <rFont val="Noto Sans CJK SC"/>
        <family val="2"/>
        <charset val="1"/>
      </rPr>
      <t xml:space="preserve">(MEI·microempresa), </t>
    </r>
    <r>
      <rPr>
        <sz val="10"/>
        <rFont val="WenQuanYi Zen Hei"/>
        <family val="2"/>
      </rPr>
      <t xml:space="preserve">비공식 경제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생산성</t>
    </r>
  </si>
  <si>
    <r>
      <rPr>
        <sz val="10"/>
        <rFont val="Arial"/>
        <family val="0"/>
        <charset val="1"/>
      </rPr>
      <t xml:space="preserve">Juliana, Tavares(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</si>
  <si>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E2</t>
  </si>
  <si>
    <t xml:space="preserve">Projeto Ícaro</t>
  </si>
  <si>
    <t xml:space="preserve">이카루스 프로젝트</t>
  </si>
  <si>
    <r>
      <rPr>
        <sz val="10"/>
        <rFont val="Arial"/>
        <family val="0"/>
        <charset val="1"/>
      </rPr>
      <t xml:space="preserve">GM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Zênite</t>
    </r>
    <r>
      <rPr>
        <sz val="10"/>
        <rFont val="WenQuanYi Zen Hei"/>
        <family val="2"/>
      </rPr>
      <t xml:space="preserve">에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비용 </t>
    </r>
    <r>
      <rPr>
        <sz val="10"/>
        <rFont val="Arial"/>
        <family val="0"/>
        <charset val="1"/>
      </rPr>
      <t xml:space="preserve">18% </t>
    </r>
    <r>
      <rPr>
        <sz val="10"/>
        <rFont val="WenQuanYi Zen Hei"/>
        <family val="2"/>
      </rPr>
      <t xml:space="preserve">절감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의뢰한다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킥오프 회의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</si>
  <si>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프로젝트 관리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목표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절감</t>
    </r>
  </si>
  <si>
    <r>
      <rPr>
        <sz val="10"/>
        <rFont val="Arial"/>
        <family val="0"/>
        <charset val="1"/>
      </rPr>
      <t xml:space="preserve">Juliana, </t>
    </r>
    <r>
      <rPr>
        <sz val="10"/>
        <rFont val="WenQuanYi Zen Hei"/>
        <family val="2"/>
      </rPr>
      <t xml:space="preserve">파트너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GM </t>
    </r>
    <r>
      <rPr>
        <sz val="10"/>
        <rFont val="WenQuanYi Zen Hei"/>
        <family val="2"/>
      </rPr>
      <t xml:space="preserve">임원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</si>
  <si>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Sexta: uma planilha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</si>
  <si>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스프레드시트 한 장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</si>
  <si>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Juliana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«Eu não demitia gente; eu mexia em células.»</t>
    </r>
    <r>
      <rPr>
        <sz val="10"/>
        <rFont val="WenQuanYi Zen Hei"/>
        <family val="2"/>
      </rPr>
      <t xml:space="preserve">라고 말한다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«E quantas células?»</t>
    </r>
  </si>
  <si>
    <r>
      <rPr>
        <sz val="10"/>
        <rFont val="WenQuanYi Zen Hei"/>
        <family val="2"/>
      </rPr>
      <t xml:space="preserve">질문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죄책 표현</t>
    </r>
  </si>
  <si>
    <t xml:space="preserve">Juliana, Larissa, Bruno</t>
  </si>
  <si>
    <t xml:space="preserve">A célula C47</t>
  </si>
  <si>
    <r>
      <rPr>
        <sz val="10"/>
        <rFont val="Arial"/>
        <family val="0"/>
        <charset val="1"/>
      </rPr>
      <t xml:space="preserve">C47 </t>
    </r>
    <r>
      <rPr>
        <sz val="10"/>
        <rFont val="WenQuanYi Zen Hei"/>
        <family val="2"/>
      </rPr>
      <t xml:space="preserve">셀</t>
    </r>
  </si>
  <si>
    <r>
      <rPr>
        <sz val="10"/>
        <rFont val="WenQuanYi Zen Hei"/>
        <family val="2"/>
      </rPr>
      <t xml:space="preserve">모델이 완성되고 승인이 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셀 하나가 </t>
    </r>
    <r>
      <rPr>
        <sz val="10"/>
        <rFont val="Noto Sans CJK SC"/>
        <family val="2"/>
        <charset val="1"/>
      </rPr>
      <t xml:space="preserve">412</t>
    </r>
    <r>
      <rPr>
        <sz val="10"/>
        <rFont val="WenQuanYi Zen Hei"/>
        <family val="2"/>
      </rPr>
      <t xml:space="preserve">개 일자리다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팀은 샴페인을 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</si>
  <si>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모델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시나리오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인원 감축</t>
    </r>
  </si>
  <si>
    <r>
      <rPr>
        <sz val="10"/>
        <rFont val="Arial"/>
        <family val="0"/>
        <charset val="1"/>
      </rPr>
      <t xml:space="preserve">Juliana, </t>
    </r>
    <r>
      <rPr>
        <sz val="10"/>
        <rFont val="WenQuanYi Zen Hei"/>
        <family val="2"/>
      </rPr>
      <t xml:space="preserve">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</si>
  <si>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A mesa de negociação</t>
  </si>
  <si>
    <t xml:space="preserve">협상 테이블</t>
  </si>
  <si>
    <r>
      <rPr>
        <sz val="10"/>
        <rFont val="WenQuanYi Zen Hei"/>
        <family val="2"/>
      </rPr>
      <t xml:space="preserve">대량 해고 전 노조와의 사전 협상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노조 대표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«Atrás de cada célula tem uma pessoa.»</t>
    </r>
  </si>
  <si>
    <r>
      <rPr>
        <sz val="10"/>
        <rFont val="WenQuanYi Zen Hei"/>
        <family val="2"/>
      </rPr>
      <t xml:space="preserve">대량 해고</t>
    </r>
    <r>
      <rPr>
        <sz val="10"/>
        <rFont val="Arial"/>
        <family val="0"/>
        <charset val="1"/>
      </rPr>
      <t xml:space="preserve">(dispensa em massa), </t>
    </r>
    <r>
      <rPr>
        <sz val="10"/>
        <rFont val="WenQuanYi Zen Hei"/>
        <family val="2"/>
      </rPr>
      <t xml:space="preserve">사전 노조 협상</t>
    </r>
    <r>
      <rPr>
        <sz val="10"/>
        <rFont val="Arial"/>
        <family val="0"/>
        <charset val="1"/>
      </rPr>
      <t xml:space="preserve">(STF 2022 </t>
    </r>
    <r>
      <rPr>
        <sz val="10"/>
        <rFont val="WenQuanYi Zen Hei"/>
        <family val="2"/>
      </rPr>
      <t xml:space="preserve">판결</t>
    </r>
    <r>
      <rPr>
        <sz val="10"/>
        <rFont val="Arial"/>
        <family val="0"/>
        <charset val="1"/>
      </rPr>
      <t xml:space="preserve">), CLT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477-A</t>
    </r>
    <r>
      <rPr>
        <sz val="10"/>
        <rFont val="WenQuanYi Zen Hei"/>
        <family val="2"/>
      </rPr>
      <t xml:space="preserve">조와의 충돌</t>
    </r>
  </si>
  <si>
    <r>
      <rPr>
        <sz val="10"/>
        <rFont val="Arial"/>
        <family val="0"/>
        <charset val="1"/>
      </rPr>
      <t xml:space="preserve">Juliana, Edson, </t>
    </r>
    <r>
      <rPr>
        <sz val="10"/>
        <rFont val="WenQuanYi Zen Hei"/>
        <family val="2"/>
      </rPr>
      <t xml:space="preserve">노무 담당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</si>
  <si>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O e-mail errado</t>
  </si>
  <si>
    <t xml:space="preserve">잘못 보낸 이메일</t>
  </si>
  <si>
    <r>
      <rPr>
        <sz val="10"/>
        <rFont val="Arial"/>
        <family val="0"/>
        <charset val="1"/>
      </rPr>
      <t xml:space="preserve">Juliana</t>
    </r>
    <r>
      <rPr>
        <sz val="10"/>
        <rFont val="WenQuanYi Zen Hei"/>
        <family val="2"/>
      </rPr>
      <t xml:space="preserve">가 이름이 든 파일을 잘못 보낸다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외주</t>
    </r>
    <r>
      <rPr>
        <sz val="10"/>
        <rFont val="Arial"/>
        <family val="0"/>
        <charset val="1"/>
      </rPr>
      <t xml:space="preserve">·PJ </t>
    </r>
    <r>
      <rPr>
        <sz val="10"/>
        <rFont val="WenQuanYi Zen Hei"/>
        <family val="2"/>
      </rPr>
      <t xml:space="preserve">계약자와 청년이 먼저 잘려 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번아웃 상담에서 </t>
    </r>
    <r>
      <rPr>
        <sz val="10"/>
        <rFont val="Arial"/>
        <family val="0"/>
        <charset val="1"/>
      </rPr>
      <t xml:space="preserve">Isabel</t>
    </r>
    <r>
      <rPr>
        <sz val="10"/>
        <rFont val="WenQuanYi Zen Hei"/>
        <family val="2"/>
      </rPr>
      <t xml:space="preserve">을 만난다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그녀는 생명존중 상담 전화 자원봉사자다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</si>
  <si>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외주</t>
    </r>
    <r>
      <rPr>
        <sz val="10"/>
        <rFont val="Noto Sans CJK SC"/>
        <family val="2"/>
        <charset val="1"/>
      </rPr>
      <t xml:space="preserve">(terceirização)·PJ </t>
    </r>
    <r>
      <rPr>
        <sz val="10"/>
        <rFont val="WenQuanYi Zen Hei"/>
        <family val="2"/>
      </rPr>
      <t xml:space="preserve">계약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청년 우선 해고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번아웃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죄책감</t>
    </r>
  </si>
  <si>
    <t xml:space="preserve">Juliana, Isabel</t>
  </si>
  <si>
    <t xml:space="preserve">Sexta: quatrocentos e doze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</si>
  <si>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412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</si>
  <si>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«Quatrocentos e doze.» Larissa</t>
    </r>
    <r>
      <rPr>
        <sz val="10"/>
        <rFont val="WenQuanYi Zen Hei"/>
        <family val="2"/>
      </rPr>
      <t xml:space="preserve">가 말을 잃고 </t>
    </r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«Pelo menos disse sem slides.»</t>
    </r>
  </si>
  <si>
    <t xml:space="preserve">숫자 낭독</t>
  </si>
  <si>
    <t xml:space="preserve">A greve</t>
  </si>
  <si>
    <t xml:space="preserve">파업</t>
  </si>
  <si>
    <r>
      <rPr>
        <sz val="10"/>
        <rFont val="WenQuanYi Zen Hei"/>
        <family val="2"/>
      </rPr>
      <t xml:space="preserve">파업이 벌어지고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이 해고되어 블랙리스트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불법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에 오른다</t>
    </r>
    <r>
      <rPr>
        <sz val="10"/>
        <rFont val="Noto Sans CJK SC"/>
        <family val="2"/>
        <charset val="1"/>
      </rPr>
      <t xml:space="preserve">. Juliana</t>
    </r>
    <r>
      <rPr>
        <sz val="10"/>
        <rFont val="WenQuanYi Zen Hei"/>
        <family val="2"/>
      </rPr>
      <t xml:space="preserve">는 유리창 너머로 그것을 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</si>
  <si>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파업권</t>
    </r>
    <r>
      <rPr>
        <sz val="10"/>
        <rFont val="Noto Sans CJK SC"/>
        <family val="2"/>
        <charset val="1"/>
      </rPr>
      <t xml:space="preserve">(Lei 7.783/1989), </t>
    </r>
    <r>
      <rPr>
        <sz val="10"/>
        <rFont val="WenQuanYi Zen Hei"/>
        <family val="2"/>
      </rPr>
      <t xml:space="preserve">해고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블랙리스트</t>
    </r>
  </si>
  <si>
    <t xml:space="preserve">Juliana, Edson</t>
  </si>
  <si>
    <t xml:space="preserve">A última reunião</t>
  </si>
  <si>
    <t xml:space="preserve">마지막 회의</t>
  </si>
  <si>
    <r>
      <rPr>
        <sz val="10"/>
        <rFont val="WenQuanYi Zen Hei"/>
        <family val="2"/>
      </rPr>
      <t xml:space="preserve">성과급</t>
    </r>
    <r>
      <rPr>
        <sz val="10"/>
        <rFont val="Noto Sans CJK SC"/>
        <family val="2"/>
        <charset val="1"/>
      </rPr>
      <t xml:space="preserve">(PLR) </t>
    </r>
    <r>
      <rPr>
        <sz val="10"/>
        <rFont val="WenQuanYi Zen Hei"/>
        <family val="2"/>
      </rPr>
      <t xml:space="preserve">지급 회의</t>
    </r>
    <r>
      <rPr>
        <sz val="10"/>
        <rFont val="Noto Sans CJK SC"/>
        <family val="2"/>
        <charset val="1"/>
      </rPr>
      <t xml:space="preserve">. Juliana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이카루스 </t>
    </r>
    <r>
      <rPr>
        <sz val="10"/>
        <rFont val="Noto Sans CJK SC"/>
        <family val="2"/>
        <charset val="1"/>
      </rPr>
      <t xml:space="preserve">2'</t>
    </r>
    <r>
      <rPr>
        <sz val="10"/>
        <rFont val="WenQuanYi Zen Hei"/>
        <family val="2"/>
      </rPr>
      <t xml:space="preserve">를 거절하고 사직한다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</si>
  <si>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성과급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거절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사직</t>
    </r>
  </si>
  <si>
    <t xml:space="preserve">Sexta: uma terça no Brás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</si>
  <si>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브라스의 화요일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</si>
  <si>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네 명이 같은 강당에 모이게 된 화요일을 </t>
    </r>
    <r>
      <rPr>
        <sz val="10"/>
        <rFont val="Arial"/>
        <family val="0"/>
        <charset val="1"/>
      </rPr>
      <t xml:space="preserve">Marta</t>
    </r>
    <r>
      <rPr>
        <sz val="10"/>
        <rFont val="WenQuanYi Zen Hei"/>
        <family val="2"/>
      </rPr>
      <t xml:space="preserve">가 설명하며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부를 예고한다</t>
    </r>
    <r>
      <rPr>
        <sz val="10"/>
        <rFont val="Arial"/>
        <family val="0"/>
        <charset val="1"/>
      </rPr>
      <t xml:space="preserve">.</t>
    </r>
  </si>
  <si>
    <t xml:space="preserve">다음 이야기 예고</t>
  </si>
  <si>
    <t xml:space="preserve">Juliana, Marta, Rafael, Camila, Bruno</t>
  </si>
  <si>
    <t xml:space="preserve">Uma terça no Brás</t>
  </si>
  <si>
    <t xml:space="preserve">브라스의 화요일</t>
  </si>
  <si>
    <r>
      <rPr>
        <sz val="10"/>
        <rFont val="WenQuanYi Zen Hei"/>
        <family val="2"/>
      </rPr>
      <t xml:space="preserve">네 사람이 각자 다른 이유로 </t>
    </r>
    <r>
      <rPr>
        <sz val="10"/>
        <rFont val="Noto Sans CJK SC"/>
        <family val="2"/>
        <charset val="1"/>
      </rPr>
      <t xml:space="preserve">Brás</t>
    </r>
    <r>
      <rPr>
        <sz val="10"/>
        <rFont val="WenQuanYi Zen Hei"/>
        <family val="2"/>
      </rPr>
      <t xml:space="preserve">의 같은 세입자 총회에 도착한다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손녀 </t>
    </r>
    <r>
      <rPr>
        <sz val="10"/>
        <rFont val="Noto Sans CJK SC"/>
        <family val="2"/>
        <charset val="1"/>
      </rPr>
      <t xml:space="preserve">Marina(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와 </t>
    </r>
    <r>
      <rPr>
        <sz val="10"/>
        <rFont val="Noto Sans CJK SC"/>
        <family val="2"/>
        <charset val="1"/>
      </rPr>
      <t xml:space="preserve">23</t>
    </r>
    <r>
      <rPr>
        <sz val="10"/>
        <rFont val="WenQuanYi Zen Hei"/>
        <family val="2"/>
      </rPr>
      <t xml:space="preserve">세 세입자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가 맞이한다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</si>
  <si>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총회 공고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자기소개</t>
    </r>
  </si>
  <si>
    <r>
      <rPr>
        <sz val="10"/>
        <rFont val="Arial"/>
        <family val="0"/>
        <charset val="1"/>
      </rPr>
      <t xml:space="preserve">Rafael, Camila, Bruno, Juliana, Marina(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Larissa</t>
    </r>
  </si>
  <si>
    <t xml:space="preserve">Quatro desconhecidos</t>
  </si>
  <si>
    <t xml:space="preserve">네 명의 낯선 사람</t>
  </si>
  <si>
    <r>
      <rPr>
        <sz val="10"/>
        <rFont val="WenQuanYi Zen Hei"/>
        <family val="2"/>
      </rPr>
      <t xml:space="preserve">서로 아는 척하지 않는다</t>
    </r>
    <r>
      <rPr>
        <sz val="10"/>
        <rFont val="Noto Sans CJK SC"/>
        <family val="2"/>
        <charset val="1"/>
      </rPr>
      <t xml:space="preserve">. Rafael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Bruno</t>
    </r>
    <r>
      <rPr>
        <sz val="10"/>
        <rFont val="WenQuanYi Zen Hei"/>
        <family val="2"/>
      </rPr>
      <t xml:space="preserve">는 서로의 이름 </t>
    </r>
    <r>
      <rPr>
        <sz val="10"/>
        <rFont val="Noto Sans CJK SC"/>
        <family val="2"/>
        <charset val="1"/>
      </rPr>
      <t xml:space="preserve">«Aguiar &amp; Salgado», «Barros &amp; Teixeira»</t>
    </r>
    <r>
      <rPr>
        <sz val="10"/>
        <rFont val="WenQuanYi Zen Hei"/>
        <family val="2"/>
      </rPr>
      <t xml:space="preserve">에서 흠칫한다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</si>
  <si>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긴장 대화</t>
    </r>
    <r>
      <rPr>
        <sz val="10"/>
        <rFont val="Noto Sans CJK SC"/>
        <family val="2"/>
        <charset val="1"/>
      </rPr>
      <t xml:space="preserve">, o senhor / a senhora</t>
    </r>
  </si>
  <si>
    <t xml:space="preserve">Rafael, Camila, Bruno, Juliana, Larissa</t>
  </si>
  <si>
    <t xml:space="preserve">O Bloco 14</t>
  </si>
  <si>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번 블록</t>
    </r>
  </si>
  <si>
    <r>
      <rPr>
        <sz val="10"/>
        <rFont val="WenQuanYi Zen Hei"/>
        <family val="2"/>
      </rPr>
      <t xml:space="preserve">건물을 돌아본다</t>
    </r>
    <r>
      <rPr>
        <sz val="10"/>
        <rFont val="Noto Sans CJK SC"/>
        <family val="2"/>
        <charset val="1"/>
      </rPr>
      <t xml:space="preserve">. 22</t>
    </r>
    <r>
      <rPr>
        <sz val="10"/>
        <rFont val="WenQuanYi Zen Hei"/>
        <family val="2"/>
      </rPr>
      <t xml:space="preserve">가구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물이 새는 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동네 보건소 폐쇄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이웃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계단 반장</t>
    </r>
    <r>
      <rPr>
        <sz val="10"/>
        <rFont val="Noto Sans CJK SC"/>
        <family val="2"/>
        <charset val="1"/>
      </rPr>
      <t xml:space="preserve">' Zumbi</t>
    </r>
    <r>
      <rPr>
        <sz val="10"/>
        <rFont val="WenQuanYi Zen Hei"/>
        <family val="2"/>
      </rPr>
      <t xml:space="preserve">가 안내한다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</si>
  <si>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건물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거주 표현</t>
    </r>
  </si>
  <si>
    <t xml:space="preserve">Rafael, Camila, Bruno, Juliana, Edson, Zumbi, Larissa</t>
  </si>
  <si>
    <t xml:space="preserve">A noite da escada</t>
  </si>
  <si>
    <t xml:space="preserve">계단의 밤</t>
  </si>
  <si>
    <r>
      <rPr>
        <sz val="10"/>
        <rFont val="WenQuanYi Zen Hei"/>
        <family val="2"/>
      </rPr>
      <t xml:space="preserve">야간 퇴거 통지 소문에 함께 밤샘한다</t>
    </r>
    <r>
      <rPr>
        <sz val="10"/>
        <rFont val="Noto Sans CJK SC"/>
        <family val="2"/>
        <charset val="1"/>
      </rPr>
      <t xml:space="preserve">. Marta</t>
    </r>
    <r>
      <rPr>
        <sz val="10"/>
        <rFont val="WenQuanYi Zen Hei"/>
        <family val="2"/>
      </rPr>
      <t xml:space="preserve">의 음식과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의 커피 불평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처음으로 조금씩 속내를 꺼낸다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</si>
  <si>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밤샘 대화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위로</t>
    </r>
  </si>
  <si>
    <t xml:space="preserve">Rafael, Camila, Bruno, Juliana, Marta, Dom Pedro, Zumbi</t>
  </si>
  <si>
    <t xml:space="preserve">Os papéis do Bruno</t>
  </si>
  <si>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의 서류</t>
    </r>
  </si>
  <si>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USB</t>
    </r>
    <r>
      <rPr>
        <sz val="10"/>
        <rFont val="WenQuanYi Zen Hei"/>
        <family val="2"/>
      </rPr>
      <t xml:space="preserve">를 꺼내 </t>
    </r>
    <r>
      <rPr>
        <sz val="10"/>
        <rFont val="Arial"/>
        <family val="0"/>
        <charset val="1"/>
      </rPr>
      <t xml:space="preserve">Fundo Cardeal(</t>
    </r>
    <r>
      <rPr>
        <sz val="10"/>
        <rFont val="WenQuanYi Zen Hei"/>
        <family val="2"/>
      </rPr>
      <t xml:space="preserve">부동산 펀드</t>
    </r>
    <r>
      <rPr>
        <sz val="10"/>
        <rFont val="Arial"/>
        <family val="0"/>
        <charset val="1"/>
      </rPr>
      <t xml:space="preserve">) – Grupo Meridiano – Meridiano Saúde</t>
    </r>
    <r>
      <rPr>
        <sz val="10"/>
        <rFont val="WenQuanYi Zen Hei"/>
        <family val="2"/>
      </rPr>
      <t xml:space="preserve">의 연결을 보여 준다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변호사가 필요하다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</si>
  <si>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서류 브리핑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지분 구조</t>
    </r>
  </si>
  <si>
    <t xml:space="preserve">Bruno, Rafael, Larissa</t>
  </si>
  <si>
    <t xml:space="preserve">Um mesmo nome</t>
  </si>
  <si>
    <t xml:space="preserve">같은 이름</t>
  </si>
  <si>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의 퇴거</t>
    </r>
    <r>
      <rPr>
        <sz val="10"/>
        <rFont val="Arial"/>
        <family val="0"/>
        <charset val="1"/>
      </rPr>
      <t xml:space="preserve">, Camila</t>
    </r>
    <r>
      <rPr>
        <sz val="10"/>
        <rFont val="WenQuanYi Zen Hei"/>
        <family val="2"/>
      </rPr>
      <t xml:space="preserve">의 위탁</t>
    </r>
    <r>
      <rPr>
        <sz val="10"/>
        <rFont val="Arial"/>
        <family val="0"/>
        <charset val="1"/>
      </rPr>
      <t xml:space="preserve">, Bruno</t>
    </r>
    <r>
      <rPr>
        <sz val="10"/>
        <rFont val="WenQuanYi Zen Hei"/>
        <family val="2"/>
      </rPr>
      <t xml:space="preserve">의 감사</t>
    </r>
    <r>
      <rPr>
        <sz val="10"/>
        <rFont val="Arial"/>
        <family val="0"/>
        <charset val="1"/>
      </rPr>
      <t xml:space="preserve">, Juliana</t>
    </r>
    <r>
      <rPr>
        <sz val="10"/>
        <rFont val="WenQuanYi Zen Hei"/>
        <family val="2"/>
      </rPr>
      <t xml:space="preserve">의 구조조정이 모두 </t>
    </r>
    <r>
      <rPr>
        <sz val="10"/>
        <rFont val="Arial"/>
        <family val="0"/>
        <charset val="1"/>
      </rPr>
      <t xml:space="preserve">Grupo Meridiano</t>
    </r>
    <r>
      <rPr>
        <sz val="10"/>
        <rFont val="WenQuanYi Zen Hei"/>
        <family val="2"/>
      </rPr>
      <t xml:space="preserve">였다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각자 </t>
    </r>
    <r>
      <rPr>
        <sz val="10"/>
        <rFont val="Arial"/>
        <family val="0"/>
        <charset val="1"/>
      </rPr>
      <t xml:space="preserve">«meu cliente / meu contrato / meu parecer / meu plano.»</t>
    </r>
  </si>
  <si>
    <r>
      <rPr>
        <sz val="10"/>
        <rFont val="WenQuanYi Zen Hei"/>
        <family val="2"/>
      </rPr>
      <t xml:space="preserve">책임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접속법</t>
    </r>
  </si>
  <si>
    <t xml:space="preserve">Rafael, Camila, Bruno, Juliana</t>
  </si>
  <si>
    <t xml:space="preserve">Acusações</t>
  </si>
  <si>
    <t xml:space="preserve">서로에 대한 비난</t>
  </si>
  <si>
    <r>
      <rPr>
        <sz val="10"/>
        <rFont val="WenQuanYi Zen Hei"/>
        <family val="2"/>
      </rPr>
      <t xml:space="preserve">공모라고 서로를 몰아세운다</t>
    </r>
    <r>
      <rPr>
        <sz val="10"/>
        <rFont val="Noto Sans CJK SC"/>
        <family val="2"/>
        <charset val="1"/>
      </rPr>
      <t xml:space="preserve">. Rafael</t>
    </r>
    <r>
      <rPr>
        <sz val="10"/>
        <rFont val="WenQuanYi Zen Hei"/>
        <family val="2"/>
      </rPr>
      <t xml:space="preserve">이 나가 버리고 </t>
    </r>
    <r>
      <rPr>
        <sz val="10"/>
        <rFont val="Noto Sans CJK SC"/>
        <family val="2"/>
        <charset val="1"/>
      </rPr>
      <t xml:space="preserve">Camila</t>
    </r>
    <r>
      <rPr>
        <sz val="10"/>
        <rFont val="WenQuanYi Zen Hei"/>
        <family val="2"/>
      </rPr>
      <t xml:space="preserve">가 막아선다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</si>
  <si>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다툼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비난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사과</t>
    </r>
  </si>
  <si>
    <t xml:space="preserve">Hora zero</t>
  </si>
  <si>
    <t xml:space="preserve">영시</t>
  </si>
  <si>
    <r>
      <rPr>
        <sz val="10"/>
        <rFont val="WenQuanYi Zen Hei"/>
        <family val="2"/>
      </rPr>
      <t xml:space="preserve">퇴거 집행 날 새벽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서로의 전문성을 처음 합친다</t>
    </r>
    <r>
      <rPr>
        <sz val="10"/>
        <rFont val="Noto Sans CJK SC"/>
        <family val="2"/>
        <charset val="1"/>
      </rPr>
      <t xml:space="preserve">: Rafael</t>
    </r>
    <r>
      <rPr>
        <sz val="10"/>
        <rFont val="WenQuanYi Zen Hei"/>
        <family val="2"/>
      </rPr>
      <t xml:space="preserve">은 가처분 신청</t>
    </r>
    <r>
      <rPr>
        <sz val="10"/>
        <rFont val="Noto Sans CJK SC"/>
        <family val="2"/>
        <charset val="1"/>
      </rPr>
      <t xml:space="preserve">, Bruno</t>
    </r>
    <r>
      <rPr>
        <sz val="10"/>
        <rFont val="WenQuanYi Zen Hei"/>
        <family val="2"/>
      </rPr>
      <t xml:space="preserve">는 서류</t>
    </r>
    <r>
      <rPr>
        <sz val="10"/>
        <rFont val="Noto Sans CJK SC"/>
        <family val="2"/>
        <charset val="1"/>
      </rPr>
      <t xml:space="preserve">, Juliana</t>
    </r>
    <r>
      <rPr>
        <sz val="10"/>
        <rFont val="WenQuanYi Zen Hei"/>
        <family val="2"/>
      </rPr>
      <t xml:space="preserve">는 동선</t>
    </r>
    <r>
      <rPr>
        <sz val="10"/>
        <rFont val="Noto Sans CJK SC"/>
        <family val="2"/>
        <charset val="1"/>
      </rPr>
      <t xml:space="preserve">, Camila</t>
    </r>
    <r>
      <rPr>
        <sz val="10"/>
        <rFont val="WenQuanYi Zen Hei"/>
        <family val="2"/>
      </rPr>
      <t xml:space="preserve">는 취약계층 진단서</t>
    </r>
    <r>
      <rPr>
        <sz val="10"/>
        <rFont val="Noto Sans CJK SC"/>
        <family val="2"/>
        <charset val="1"/>
      </rPr>
      <t xml:space="preserve">. Dumont</t>
    </r>
    <r>
      <rPr>
        <sz val="10"/>
        <rFont val="WenQuanYi Zen Hei"/>
        <family val="2"/>
      </rPr>
      <t xml:space="preserve">이 휴대전화로 생중계하고 </t>
    </r>
    <r>
      <rPr>
        <sz val="10"/>
        <rFont val="Noto Sans CJK SC"/>
        <family val="2"/>
        <charset val="1"/>
      </rPr>
      <t xml:space="preserve">Freire</t>
    </r>
    <r>
      <rPr>
        <sz val="10"/>
        <rFont val="WenQuanYi Zen Hei"/>
        <family val="2"/>
      </rPr>
      <t xml:space="preserve">가 서류 위치를 알려 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</si>
  <si>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긴급 가처분</t>
    </r>
    <r>
      <rPr>
        <sz val="10"/>
        <rFont val="Noto Sans CJK SC"/>
        <family val="2"/>
        <charset val="1"/>
      </rPr>
      <t xml:space="preserve">(tutela de urgência), </t>
    </r>
    <r>
      <rPr>
        <sz val="10"/>
        <rFont val="WenQuanYi Zen Hei"/>
        <family val="2"/>
      </rPr>
      <t xml:space="preserve">진단서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생중계</t>
    </r>
  </si>
  <si>
    <t xml:space="preserve">Rafael, Camila, Bruno, Juliana, Dumont, Freire, Zumbi</t>
  </si>
  <si>
    <t xml:space="preserve">E1·S2</t>
  </si>
  <si>
    <t xml:space="preserve">A primeira suspensão</t>
  </si>
  <si>
    <t xml:space="preserve">첫 정지</t>
  </si>
  <si>
    <r>
      <rPr>
        <sz val="10"/>
        <rFont val="WenQuanYi Zen Hei"/>
        <family val="2"/>
      </rPr>
      <t xml:space="preserve">법원이 집행을 정지한다</t>
    </r>
    <r>
      <rPr>
        <sz val="10"/>
        <rFont val="Noto Sans CJK SC"/>
        <family val="2"/>
        <charset val="1"/>
      </rPr>
      <t xml:space="preserve">. Machado</t>
    </r>
    <r>
      <rPr>
        <sz val="10"/>
        <rFont val="WenQuanYi Zen Hei"/>
        <family val="2"/>
      </rPr>
      <t xml:space="preserve">의 서툰 첫 연설이 군중을 울리고 </t>
    </r>
    <r>
      <rPr>
        <sz val="10"/>
        <rFont val="Noto Sans CJK SC"/>
        <family val="2"/>
        <charset val="1"/>
      </rPr>
      <t xml:space="preserve">Isabel</t>
    </r>
    <r>
      <rPr>
        <sz val="10"/>
        <rFont val="WenQuanYi Zen Hei"/>
        <family val="2"/>
      </rPr>
      <t xml:space="preserve">이 아이들을 달랜다</t>
    </r>
    <r>
      <rPr>
        <sz val="10"/>
        <rFont val="Noto Sans CJK SC"/>
        <family val="2"/>
        <charset val="1"/>
      </rPr>
      <t xml:space="preserve">. Fátima </t>
    </r>
    <r>
      <rPr>
        <sz val="10"/>
        <rFont val="WenQuanYi Zen Hei"/>
        <family val="2"/>
      </rPr>
      <t xml:space="preserve">가족이 인사한다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</si>
  <si>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안도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감사 표현</t>
    </r>
  </si>
  <si>
    <r>
      <rPr>
        <sz val="10"/>
        <rFont val="Arial"/>
        <family val="0"/>
        <charset val="1"/>
      </rPr>
      <t xml:space="preserve">Rafael, Camila, Bruno, Juliana, Machado, Isabel, Larissa, Fátima(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</si>
  <si>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S2·E1</t>
  </si>
  <si>
    <t xml:space="preserve">Um ponto no Bixiga</t>
  </si>
  <si>
    <t xml:space="preserve">비시가의 가게</t>
  </si>
  <si>
    <r>
      <rPr>
        <sz val="10"/>
        <rFont val="WenQuanYi Zen Hei"/>
        <family val="2"/>
      </rPr>
      <t xml:space="preserve">사무실 자리를 찾는다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소규모 집주인이 월세를 낮춰 주고 </t>
    </r>
    <r>
      <rPr>
        <sz val="10"/>
        <rFont val="Noto Sans CJK SC"/>
        <family val="2"/>
        <charset val="1"/>
      </rPr>
      <t xml:space="preserve">Marta</t>
    </r>
    <r>
      <rPr>
        <sz val="10"/>
        <rFont val="WenQuanYi Zen Hei"/>
        <family val="2"/>
      </rPr>
      <t xml:space="preserve">의 새 바가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층에 들어선다</t>
    </r>
    <r>
      <rPr>
        <sz val="10"/>
        <rFont val="Noto Sans CJK SC"/>
        <family val="2"/>
        <charset val="1"/>
      </rPr>
      <t xml:space="preserve">. Sérgio</t>
    </r>
    <r>
      <rPr>
        <sz val="10"/>
        <rFont val="WenQuanYi Zen Hei"/>
        <family val="2"/>
      </rPr>
      <t xml:space="preserve">가 계좌 도움을 자청한다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</si>
  <si>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임대 협상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소규모 임대인</t>
    </r>
  </si>
  <si>
    <t xml:space="preserve">Rafael, Camila, Bruno, Juliana, Marta, Sérgio</t>
  </si>
  <si>
    <t xml:space="preserve">As regras da mesa</t>
  </si>
  <si>
    <t xml:space="preserve">식탁의 규칙</t>
  </si>
  <si>
    <r>
      <rPr>
        <sz val="10"/>
        <rFont val="WenQuanYi Zen Hei"/>
        <family val="2"/>
      </rPr>
      <t xml:space="preserve">규칙을 정한다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가난한 사람에게는 수임료 없음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금요일마다 한 명씩 과거를 이야기함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«Posso ficar?» Dom Pedro</t>
    </r>
    <r>
      <rPr>
        <sz val="10"/>
        <rFont val="WenQuanYi Zen Hei"/>
        <family val="2"/>
      </rPr>
      <t xml:space="preserve">는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청하지 않은 고문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을 자처한다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</si>
  <si>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규칙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약속 표현</t>
    </r>
  </si>
  <si>
    <t xml:space="preserve">전원</t>
  </si>
  <si>
    <t xml:space="preserve">A placa</t>
  </si>
  <si>
    <t xml:space="preserve">간판</t>
  </si>
  <si>
    <r>
      <rPr>
        <sz val="10"/>
        <rFont val="WenQuanYi Zen Hei"/>
        <family val="2"/>
      </rPr>
      <t xml:space="preserve">간판이 걸린다</t>
    </r>
    <r>
      <rPr>
        <sz val="10"/>
        <rFont val="Noto Sans CJK SC"/>
        <family val="2"/>
        <charset val="1"/>
      </rPr>
      <t xml:space="preserve">. Marta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«Amanhã, às cinco.» </t>
    </r>
    <r>
      <rPr>
        <sz val="10"/>
        <rFont val="WenQuanYi Zen Hei"/>
        <family val="2"/>
      </rPr>
      <t xml:space="preserve">원이 닫히며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화로 이어진다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</si>
  <si>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시간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마무리</t>
    </r>
  </si>
  <si>
    <t xml:space="preserve">Um ano depois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</si>
  <si>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년 후</t>
    </r>
  </si>
  <si>
    <r>
      <rPr>
        <sz val="10"/>
        <rFont val="WenQuanYi Zen Hei"/>
        <family val="2"/>
      </rPr>
      <t xml:space="preserve">사무소가 커졌다</t>
    </r>
    <r>
      <rPr>
        <sz val="10"/>
        <rFont val="Noto Sans CJK SC"/>
        <family val="2"/>
        <charset val="1"/>
      </rPr>
      <t xml:space="preserve">. Marta</t>
    </r>
    <r>
      <rPr>
        <sz val="10"/>
        <rFont val="WenQuanYi Zen Hei"/>
        <family val="2"/>
      </rPr>
      <t xml:space="preserve">가 팀 이름을 호명하며 역할을 소개한다</t>
    </r>
    <r>
      <rPr>
        <sz val="10"/>
        <rFont val="Noto Sans CJK SC"/>
        <family val="2"/>
        <charset val="1"/>
      </rPr>
      <t xml:space="preserve">: Zumbi </t>
    </r>
    <r>
      <rPr>
        <sz val="10"/>
        <rFont val="WenQuanYi Zen Hei"/>
        <family val="2"/>
      </rPr>
      <t xml:space="preserve">현장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로지스틱스</t>
    </r>
    <r>
      <rPr>
        <sz val="10"/>
        <rFont val="Noto Sans CJK SC"/>
        <family val="2"/>
        <charset val="1"/>
      </rPr>
      <t xml:space="preserve">, Freire </t>
    </r>
    <r>
      <rPr>
        <sz val="10"/>
        <rFont val="WenQuanYi Zen Hei"/>
        <family val="2"/>
      </rPr>
      <t xml:space="preserve">출처</t>
    </r>
    <r>
      <rPr>
        <sz val="10"/>
        <rFont val="Noto Sans CJK SC"/>
        <family val="2"/>
        <charset val="1"/>
      </rPr>
      <t xml:space="preserve">, Dumont </t>
    </r>
    <r>
      <rPr>
        <sz val="10"/>
        <rFont val="WenQuanYi Zen Hei"/>
        <family val="2"/>
      </rPr>
      <t xml:space="preserve">공론화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팟캐스트 </t>
    </r>
    <r>
      <rPr>
        <sz val="10"/>
        <rFont val="Noto Sans CJK SC"/>
        <family val="2"/>
        <charset val="1"/>
      </rPr>
      <t xml:space="preserve">«Diário de Bordo»), Isabel </t>
    </r>
    <r>
      <rPr>
        <sz val="10"/>
        <rFont val="WenQuanYi Zen Hei"/>
        <family val="2"/>
      </rPr>
      <t xml:space="preserve">상담</t>
    </r>
    <r>
      <rPr>
        <sz val="10"/>
        <rFont val="Noto Sans CJK SC"/>
        <family val="2"/>
        <charset val="1"/>
      </rPr>
      <t xml:space="preserve">, Edson </t>
    </r>
    <r>
      <rPr>
        <sz val="10"/>
        <rFont val="WenQuanYi Zen Hei"/>
        <family val="2"/>
      </rPr>
      <t xml:space="preserve">노동 현장</t>
    </r>
    <r>
      <rPr>
        <sz val="10"/>
        <rFont val="Noto Sans CJK SC"/>
        <family val="2"/>
        <charset val="1"/>
      </rPr>
      <t xml:space="preserve">, Machado </t>
    </r>
    <r>
      <rPr>
        <sz val="10"/>
        <rFont val="WenQuanYi Zen Hei"/>
        <family val="2"/>
      </rPr>
      <t xml:space="preserve">글</t>
    </r>
    <r>
      <rPr>
        <sz val="10"/>
        <rFont val="Noto Sans CJK SC"/>
        <family val="2"/>
        <charset val="1"/>
      </rPr>
      <t xml:space="preserve">, Sérgio </t>
    </r>
    <r>
      <rPr>
        <sz val="10"/>
        <rFont val="WenQuanYi Zen Hei"/>
        <family val="2"/>
      </rPr>
      <t xml:space="preserve">자금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</si>
  <si>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역할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업무 분담</t>
    </r>
  </si>
  <si>
    <t xml:space="preserve">A fila na escada</t>
  </si>
  <si>
    <t xml:space="preserve">계단 위의 줄</t>
  </si>
  <si>
    <r>
      <rPr>
        <sz val="10"/>
        <rFont val="WenQuanYi Zen Hei"/>
        <family val="2"/>
      </rPr>
      <t xml:space="preserve">의뢰인 줄이 계단까지 이어진다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접수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분류 체계</t>
    </r>
    <r>
      <rPr>
        <sz val="10"/>
        <rFont val="Noto Sans CJK SC"/>
        <family val="2"/>
        <charset val="1"/>
      </rPr>
      <t xml:space="preserve">(triagem)</t>
    </r>
    <r>
      <rPr>
        <sz val="10"/>
        <rFont val="WenQuanYi Zen Hei"/>
        <family val="2"/>
      </rPr>
      <t xml:space="preserve">를 세우고 </t>
    </r>
    <r>
      <rPr>
        <sz val="10"/>
        <rFont val="Noto Sans CJK SC"/>
        <family val="2"/>
        <charset val="1"/>
      </rPr>
      <t xml:space="preserve">Juliana</t>
    </r>
    <r>
      <rPr>
        <sz val="10"/>
        <rFont val="WenQuanYi Zen Hei"/>
        <family val="2"/>
      </rPr>
      <t xml:space="preserve">의 매트릭스가 처음으로 쓸모 있어진다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</si>
  <si>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접수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분류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순서</t>
    </r>
  </si>
  <si>
    <t xml:space="preserve">Juliana, Larissa, Zumbi, Marta</t>
  </si>
  <si>
    <t xml:space="preserve">S1·E1</t>
  </si>
  <si>
    <t xml:space="preserve">A lei que castigou a vítima</t>
  </si>
  <si>
    <t xml:space="preserve">피해자를 벌한 법</t>
  </si>
  <si>
    <r>
      <rPr>
        <sz val="10"/>
        <rFont val="WenQuanYi Zen Hei"/>
        <family val="2"/>
      </rPr>
      <t xml:space="preserve">딸의 학대를 신고한 어머니가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부모 소외</t>
    </r>
    <r>
      <rPr>
        <sz val="10"/>
        <rFont val="Noto Sans CJK SC"/>
        <family val="2"/>
        <charset val="1"/>
      </rPr>
      <t xml:space="preserve">(alienação parental)'</t>
    </r>
    <r>
      <rPr>
        <sz val="10"/>
        <rFont val="WenQuanYi Zen Hei"/>
        <family val="2"/>
      </rPr>
      <t xml:space="preserve">를 이유로 오히려 양육권을 잃는다</t>
    </r>
    <r>
      <rPr>
        <sz val="10"/>
        <rFont val="Noto Sans CJK SC"/>
        <family val="2"/>
        <charset val="1"/>
      </rPr>
      <t xml:space="preserve">. Rafael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Isabel</t>
    </r>
    <r>
      <rPr>
        <sz val="10"/>
        <rFont val="WenQuanYi Zen Hei"/>
        <family val="2"/>
      </rPr>
      <t xml:space="preserve">이 어머니를 돕는다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법을 폐지하자는 쪽과 고치자는 쪽이 사무실 안에서도 갈린다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</si>
  <si>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부모소외법</t>
    </r>
    <r>
      <rPr>
        <sz val="10"/>
        <rFont val="Noto Sans CJK SC"/>
        <family val="2"/>
        <charset val="1"/>
      </rPr>
      <t xml:space="preserve">(Lei 12.318/2010, 2022</t>
    </r>
    <r>
      <rPr>
        <sz val="10"/>
        <rFont val="WenQuanYi Zen Hei"/>
        <family val="2"/>
      </rPr>
      <t xml:space="preserve">년 개정 </t>
    </r>
    <r>
      <rPr>
        <sz val="10"/>
        <rFont val="Noto Sans CJK SC"/>
        <family val="2"/>
        <charset val="1"/>
      </rPr>
      <t xml:space="preserve">Lei 14.340), </t>
    </r>
    <r>
      <rPr>
        <sz val="10"/>
        <rFont val="WenQuanYi Zen Hei"/>
        <family val="2"/>
      </rPr>
      <t xml:space="preserve">가정폭력법</t>
    </r>
    <r>
      <rPr>
        <sz val="10"/>
        <rFont val="Noto Sans CJK SC"/>
        <family val="2"/>
        <charset val="1"/>
      </rPr>
      <t xml:space="preserve">(Lei Maria da Penha)</t>
    </r>
  </si>
  <si>
    <t xml:space="preserve">Rafael, Isabel, Bruno, Dumont</t>
  </si>
  <si>
    <t xml:space="preserve">N4</t>
  </si>
  <si>
    <t xml:space="preserve">Sem documentos</t>
  </si>
  <si>
    <t xml:space="preserve">서류 없는 사람들</t>
  </si>
  <si>
    <r>
      <rPr>
        <sz val="10"/>
        <rFont val="Arial"/>
        <family val="0"/>
        <charset val="1"/>
      </rPr>
      <t xml:space="preserve">Fátima</t>
    </r>
    <r>
      <rPr>
        <sz val="10"/>
        <rFont val="WenQuanYi Zen Hei"/>
        <family val="2"/>
      </rPr>
      <t xml:space="preserve">의 남편이 봉제 공장에서 일하는 볼리비아 출신 이웃들의 체류 허가와 노동 착취 문제를 들고 온다</t>
    </r>
    <r>
      <rPr>
        <sz val="10"/>
        <rFont val="Arial"/>
        <family val="0"/>
        <charset val="1"/>
      </rPr>
      <t xml:space="preserve">. Edson</t>
    </r>
    <r>
      <rPr>
        <sz val="10"/>
        <rFont val="WenQuanYi Zen Hei"/>
        <family val="2"/>
      </rPr>
      <t xml:space="preserve">은 노동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노예 노동 유사 조건</t>
    </r>
    <r>
      <rPr>
        <sz val="10"/>
        <rFont val="Arial"/>
        <family val="0"/>
        <charset val="1"/>
      </rPr>
      <t xml:space="preserve">), Camila</t>
    </r>
    <r>
      <rPr>
        <sz val="10"/>
        <rFont val="WenQuanYi Zen Hei"/>
        <family val="2"/>
      </rPr>
      <t xml:space="preserve">는 의료 접근을 이야기하고 수용의 한계를 두고 의견이 갈린다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</si>
  <si>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이민법</t>
    </r>
    <r>
      <rPr>
        <sz val="10"/>
        <rFont val="Arial"/>
        <family val="0"/>
        <charset val="1"/>
      </rPr>
      <t xml:space="preserve">(Lei 13.445/2017) </t>
    </r>
    <r>
      <rPr>
        <sz val="10"/>
        <rFont val="WenQuanYi Zen Hei"/>
        <family val="2"/>
      </rPr>
      <t xml:space="preserve">체류 허가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노예 노동 유사 조건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형법 제</t>
    </r>
    <r>
      <rPr>
        <sz val="10"/>
        <rFont val="Arial"/>
        <family val="0"/>
        <charset val="1"/>
      </rPr>
      <t xml:space="preserve">149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</si>
  <si>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Rafael, Edson, Camila, Fátima(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</si>
  <si>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A denúncia do Sérgio</t>
  </si>
  <si>
    <r>
      <rPr>
        <sz val="10"/>
        <rFont val="Arial"/>
        <family val="0"/>
        <charset val="1"/>
      </rPr>
      <t xml:space="preserve">Sérgio</t>
    </r>
    <r>
      <rPr>
        <sz val="10"/>
        <rFont val="WenQuanYi Zen Hei"/>
        <family val="2"/>
      </rPr>
      <t xml:space="preserve">의 제보</t>
    </r>
  </si>
  <si>
    <r>
      <rPr>
        <sz val="10"/>
        <rFont val="WenQuanYi Zen Hei"/>
        <family val="2"/>
      </rPr>
      <t xml:space="preserve">전 은행 지점장이 내부 자료를 들고 나온다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내부고발자 보호 규정과 신고 채널을 검토한다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</si>
  <si>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내부고발자 보호</t>
    </r>
    <r>
      <rPr>
        <sz val="10"/>
        <rFont val="Noto Sans CJK SC"/>
        <family val="2"/>
        <charset val="1"/>
      </rPr>
      <t xml:space="preserve">(Lei 13.608/2018), </t>
    </r>
    <r>
      <rPr>
        <sz val="10"/>
        <rFont val="WenQuanYi Zen Hei"/>
        <family val="2"/>
      </rPr>
      <t xml:space="preserve">신고 채널</t>
    </r>
    <r>
      <rPr>
        <sz val="10"/>
        <rFont val="Noto Sans CJK SC"/>
        <family val="2"/>
        <charset val="1"/>
      </rPr>
      <t xml:space="preserve">(canal de denúncias)</t>
    </r>
  </si>
  <si>
    <t xml:space="preserve">Sérgio, Rafael, Bruno, Dumont</t>
  </si>
  <si>
    <t xml:space="preserve">O dossiê</t>
  </si>
  <si>
    <t xml:space="preserve">사건 파일</t>
  </si>
  <si>
    <r>
      <rPr>
        <sz val="10"/>
        <rFont val="Arial"/>
        <family val="0"/>
        <charset val="1"/>
      </rPr>
      <t xml:space="preserve">Bruno·Sérgio</t>
    </r>
    <r>
      <rPr>
        <sz val="10"/>
        <rFont val="WenQuanYi Zen Hei"/>
        <family val="2"/>
      </rPr>
      <t xml:space="preserve">의 자금 경로 </t>
    </r>
    <r>
      <rPr>
        <sz val="10"/>
        <rFont val="Arial"/>
        <family val="0"/>
        <charset val="1"/>
      </rPr>
      <t xml:space="preserve">+ Freire</t>
    </r>
    <r>
      <rPr>
        <sz val="10"/>
        <rFont val="WenQuanYi Zen Hei"/>
        <family val="2"/>
      </rPr>
      <t xml:space="preserve">의 공개 출처 </t>
    </r>
    <r>
      <rPr>
        <sz val="10"/>
        <rFont val="Arial"/>
        <family val="0"/>
        <charset val="1"/>
      </rPr>
      <t xml:space="preserve">+ Camila</t>
    </r>
    <r>
      <rPr>
        <sz val="10"/>
        <rFont val="WenQuanYi Zen Hei"/>
        <family val="2"/>
      </rPr>
      <t xml:space="preserve">의 사망 사례</t>
    </r>
    <r>
      <rPr>
        <sz val="10"/>
        <rFont val="Arial"/>
        <family val="0"/>
        <charset val="1"/>
      </rPr>
      <t xml:space="preserve">. Rafael</t>
    </r>
    <r>
      <rPr>
        <sz val="10"/>
        <rFont val="WenQuanYi Zen Hei"/>
        <family val="2"/>
      </rPr>
      <t xml:space="preserve">이 주민 협회 명의의 공익소송</t>
    </r>
    <r>
      <rPr>
        <sz val="10"/>
        <rFont val="Arial"/>
        <family val="0"/>
        <charset val="1"/>
      </rPr>
      <t xml:space="preserve">(ação civil pública)</t>
    </r>
    <r>
      <rPr>
        <sz val="10"/>
        <rFont val="WenQuanYi Zen Hei"/>
        <family val="2"/>
      </rPr>
      <t xml:space="preserve">을 쓰고 연방검찰</t>
    </r>
    <r>
      <rPr>
        <sz val="10"/>
        <rFont val="Arial"/>
        <family val="0"/>
        <charset val="1"/>
      </rPr>
      <t xml:space="preserve">(MPF)</t>
    </r>
    <r>
      <rPr>
        <sz val="10"/>
        <rFont val="WenQuanYi Zen Hei"/>
        <family val="2"/>
      </rPr>
      <t xml:space="preserve">에 고발장</t>
    </r>
    <r>
      <rPr>
        <sz val="10"/>
        <rFont val="Arial"/>
        <family val="0"/>
        <charset val="1"/>
      </rPr>
      <t xml:space="preserve">(representação)</t>
    </r>
    <r>
      <rPr>
        <sz val="10"/>
        <rFont val="WenQuanYi Zen Hei"/>
        <family val="2"/>
      </rPr>
      <t xml:space="preserve">을 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</si>
  <si>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ação civil pública(Lei 7.347/1985), </t>
    </r>
    <r>
      <rPr>
        <sz val="10"/>
        <rFont val="WenQuanYi Zen Hei"/>
        <family val="2"/>
      </rPr>
      <t xml:space="preserve">고발</t>
    </r>
    <r>
      <rPr>
        <sz val="10"/>
        <rFont val="Arial"/>
        <family val="0"/>
        <charset val="1"/>
      </rPr>
      <t xml:space="preserve">(representação), </t>
    </r>
    <r>
      <rPr>
        <sz val="10"/>
        <rFont val="WenQuanYi Zen Hei"/>
        <family val="2"/>
      </rPr>
      <t xml:space="preserve">연방검찰</t>
    </r>
    <r>
      <rPr>
        <sz val="10"/>
        <rFont val="Arial"/>
        <family val="0"/>
        <charset val="1"/>
      </rPr>
      <t xml:space="preserve">(MPF)</t>
    </r>
  </si>
  <si>
    <t xml:space="preserve">Rafael, Bruno, Sérgio, Freire, Camila</t>
  </si>
  <si>
    <t xml:space="preserve">Represálias</t>
  </si>
  <si>
    <t xml:space="preserve">보복</t>
  </si>
  <si>
    <r>
      <rPr>
        <sz val="10"/>
        <rFont val="WenQuanYi Zen Hei"/>
        <family val="2"/>
      </rPr>
      <t xml:space="preserve">명예훼손 소송 수십 건이 </t>
    </r>
    <r>
      <rPr>
        <sz val="10"/>
        <rFont val="Noto Sans CJK SC"/>
        <family val="2"/>
        <charset val="1"/>
      </rPr>
      <t xml:space="preserve">Dumont</t>
    </r>
    <r>
      <rPr>
        <sz val="10"/>
        <rFont val="WenQuanYi Zen Hei"/>
        <family val="2"/>
      </rPr>
      <t xml:space="preserve">에게 한꺼번에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사법적 괴롭힘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위생 점검이 </t>
    </r>
    <r>
      <rPr>
        <sz val="10"/>
        <rFont val="Noto Sans CJK SC"/>
        <family val="2"/>
        <charset val="1"/>
      </rPr>
      <t xml:space="preserve">Marta</t>
    </r>
    <r>
      <rPr>
        <sz val="10"/>
        <rFont val="WenQuanYi Zen Hei"/>
        <family val="2"/>
      </rPr>
      <t xml:space="preserve">의 바에 날아온다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익명의 협박이 이어진다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</si>
  <si>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명예훼손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사법적 괴롭힘</t>
    </r>
    <r>
      <rPr>
        <sz val="10"/>
        <rFont val="Noto Sans CJK SC"/>
        <family val="2"/>
        <charset val="1"/>
      </rPr>
      <t xml:space="preserve">(assédio judicial), </t>
    </r>
    <r>
      <rPr>
        <sz val="10"/>
        <rFont val="WenQuanYi Zen Hei"/>
        <family val="2"/>
      </rPr>
      <t xml:space="preserve">보복</t>
    </r>
  </si>
  <si>
    <t xml:space="preserve">Dumont, Marta, Rafael, Zumbi</t>
  </si>
  <si>
    <t xml:space="preserve">O microfone na luminária</t>
  </si>
  <si>
    <t xml:space="preserve">전등 속 마이크</t>
  </si>
  <si>
    <r>
      <rPr>
        <sz val="10"/>
        <rFont val="Arial"/>
        <family val="0"/>
        <charset val="1"/>
      </rPr>
      <t xml:space="preserve">Freire</t>
    </r>
    <r>
      <rPr>
        <sz val="10"/>
        <rFont val="WenQuanYi Zen Hei"/>
        <family val="2"/>
      </rPr>
      <t xml:space="preserve">가 도청기를 찾아낸다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도청기를 그대로 두고 거짓 정보를 흘리자는 </t>
    </r>
    <r>
      <rPr>
        <sz val="10"/>
        <rFont val="Arial"/>
        <family val="0"/>
        <charset val="1"/>
      </rPr>
      <t xml:space="preserve">Freire</t>
    </r>
    <r>
      <rPr>
        <sz val="10"/>
        <rFont val="WenQuanYi Zen Hei"/>
        <family val="2"/>
      </rPr>
      <t xml:space="preserve">와 합법 경로만 쓰자는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이 충돌한다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</si>
  <si>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위법 수집 증거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LVI), </t>
    </r>
    <r>
      <rPr>
        <sz val="10"/>
        <rFont val="WenQuanYi Zen Hei"/>
        <family val="2"/>
      </rPr>
      <t xml:space="preserve">통신 비밀</t>
    </r>
  </si>
  <si>
    <t xml:space="preserve">Freire, Rafael, Zumbi, Isabel</t>
  </si>
  <si>
    <t xml:space="preserve">A guarda do bairro</t>
  </si>
  <si>
    <t xml:space="preserve">동네의 보초</t>
  </si>
  <si>
    <r>
      <rPr>
        <sz val="10"/>
        <rFont val="WenQuanYi Zen Hei"/>
        <family val="2"/>
      </rPr>
      <t xml:space="preserve">사무소 앞에 이웃들이 교대로 서서 지킨다</t>
    </r>
    <r>
      <rPr>
        <sz val="10"/>
        <rFont val="Noto Sans CJK SC"/>
        <family val="2"/>
        <charset val="1"/>
      </rPr>
      <t xml:space="preserve">. Edson</t>
    </r>
    <r>
      <rPr>
        <sz val="10"/>
        <rFont val="WenQuanYi Zen Hei"/>
        <family val="2"/>
      </rPr>
      <t xml:space="preserve">이 조직하고 </t>
    </r>
    <r>
      <rPr>
        <sz val="10"/>
        <rFont val="Noto Sans CJK SC"/>
        <family val="2"/>
        <charset val="1"/>
      </rPr>
      <t xml:space="preserve">Machado</t>
    </r>
    <r>
      <rPr>
        <sz val="10"/>
        <rFont val="WenQuanYi Zen Hei"/>
        <family val="2"/>
      </rPr>
      <t xml:space="preserve">가 벽에 문구를 붙인다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</si>
  <si>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연대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조직 표현</t>
    </r>
  </si>
  <si>
    <t xml:space="preserve">Edson, Machado, Marta, Zumbi</t>
  </si>
  <si>
    <t xml:space="preserve">A decisão</t>
  </si>
  <si>
    <t xml:space="preserve">법원 결정</t>
  </si>
  <si>
    <r>
      <rPr>
        <sz val="10"/>
        <rFont val="WenQuanYi Zen Hei"/>
        <family val="2"/>
      </rPr>
      <t xml:space="preserve">연방법원 판사가 기소를 받아들이고 연방경찰의 압수수색 작전이 시작된다</t>
    </r>
    <r>
      <rPr>
        <sz val="10"/>
        <rFont val="Arial"/>
        <family val="0"/>
        <charset val="1"/>
      </rPr>
      <t xml:space="preserve">. GM </t>
    </r>
    <r>
      <rPr>
        <sz val="10"/>
        <rFont val="WenQuanYi Zen Hei"/>
        <family val="2"/>
      </rPr>
      <t xml:space="preserve">임원 세 명이 피고인이 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사무실이 환호한다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</si>
  <si>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기소 수리</t>
    </r>
    <r>
      <rPr>
        <sz val="10"/>
        <rFont val="Noto Sans CJK SC"/>
        <family val="2"/>
        <charset val="1"/>
      </rPr>
      <t xml:space="preserve">(recebimento da denúncia), </t>
    </r>
    <r>
      <rPr>
        <sz val="10"/>
        <rFont val="WenQuanYi Zen Hei"/>
        <family val="2"/>
      </rPr>
      <t xml:space="preserve">압수수색</t>
    </r>
    <r>
      <rPr>
        <sz val="10"/>
        <rFont val="Noto Sans CJK SC"/>
        <family val="2"/>
        <charset val="1"/>
      </rPr>
      <t xml:space="preserve">(busca e apreensão), </t>
    </r>
    <r>
      <rPr>
        <sz val="10"/>
        <rFont val="WenQuanYi Zen Hei"/>
        <family val="2"/>
      </rPr>
      <t xml:space="preserve">피고인</t>
    </r>
    <r>
      <rPr>
        <sz val="10"/>
        <rFont val="Noto Sans CJK SC"/>
        <family val="2"/>
        <charset val="1"/>
      </rPr>
      <t xml:space="preserve">(réu)</t>
    </r>
  </si>
  <si>
    <t xml:space="preserve">Rafael, Bruno, Dumont, Sérgio</t>
  </si>
  <si>
    <t xml:space="preserve">A lei que vem</t>
  </si>
  <si>
    <t xml:space="preserve">다가오는 법</t>
  </si>
  <si>
    <r>
      <rPr>
        <sz val="10"/>
        <rFont val="Arial"/>
        <family val="0"/>
        <charset val="1"/>
      </rPr>
      <t xml:space="preserve">GM</t>
    </r>
    <r>
      <rPr>
        <sz val="10"/>
        <rFont val="WenQuanYi Zen Hei"/>
        <family val="2"/>
      </rPr>
      <t xml:space="preserve">과 가까운 의원들이 시민단체의 공익소송 제기 자격을 제한하는 법안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낸다</t>
    </r>
    <r>
      <rPr>
        <sz val="10"/>
        <rFont val="Arial"/>
        <family val="0"/>
        <charset val="1"/>
      </rPr>
      <t xml:space="preserve">. Dom Pedro: «Sentenças se ganham; leis se escrevem.»</t>
    </r>
  </si>
  <si>
    <r>
      <rPr>
        <sz val="10"/>
        <rFont val="WenQuanYi Zen Hei"/>
        <family val="2"/>
      </rPr>
      <t xml:space="preserve">법안 발의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소송 자격 제한</t>
    </r>
  </si>
  <si>
    <t xml:space="preserve">Dom Pedro, Rafael, Juliana, Edson</t>
  </si>
  <si>
    <t xml:space="preserve">P1·P3</t>
  </si>
  <si>
    <t xml:space="preserve">Uma cadeira na Paulista</t>
  </si>
  <si>
    <t xml:space="preserve">파울리스타의 의자</t>
  </si>
  <si>
    <r>
      <rPr>
        <sz val="10"/>
        <rFont val="Arial"/>
        <family val="0"/>
        <charset val="1"/>
      </rPr>
      <t xml:space="preserve">Edson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Paulista </t>
    </r>
    <r>
      <rPr>
        <sz val="10"/>
        <rFont val="WenQuanYi Zen Hei"/>
        <family val="2"/>
      </rPr>
      <t xml:space="preserve">대로에서 모이자고 제안한다</t>
    </r>
    <r>
      <rPr>
        <sz val="10"/>
        <rFont val="Arial"/>
        <family val="0"/>
        <charset val="1"/>
      </rPr>
      <t xml:space="preserve">. Marta</t>
    </r>
    <r>
      <rPr>
        <sz val="10"/>
        <rFont val="WenQuanYi Zen Hei"/>
        <family val="2"/>
      </rPr>
      <t xml:space="preserve">가 식탁의 의자를 든다</t>
    </r>
    <r>
      <rPr>
        <sz val="10"/>
        <rFont val="Arial"/>
        <family val="0"/>
        <charset val="1"/>
      </rPr>
      <t xml:space="preserve">. Rafael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«A gente tem que mudar a lei.»</t>
    </r>
  </si>
  <si>
    <r>
      <rPr>
        <sz val="10"/>
        <rFont val="WenQuanYi Zen Hei"/>
        <family val="2"/>
      </rPr>
      <t xml:space="preserve">결단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제안</t>
    </r>
  </si>
  <si>
    <t xml:space="preserve">P1</t>
  </si>
  <si>
    <t xml:space="preserve">A assembleia na Paulista</t>
  </si>
  <si>
    <t xml:space="preserve">파울리스타 대로의 집회</t>
  </si>
  <si>
    <r>
      <rPr>
        <sz val="10"/>
        <rFont val="WenQuanYi Zen Hei"/>
        <family val="2"/>
      </rPr>
      <t xml:space="preserve">사무소를 거쳐 간 의뢰인 수백 명이 </t>
    </r>
    <r>
      <rPr>
        <sz val="10"/>
        <rFont val="Noto Sans CJK SC"/>
        <family val="2"/>
        <charset val="1"/>
      </rPr>
      <t xml:space="preserve">MASP </t>
    </r>
    <r>
      <rPr>
        <sz val="10"/>
        <rFont val="WenQuanYi Zen Hei"/>
        <family val="2"/>
      </rPr>
      <t xml:space="preserve">앞 광장</t>
    </r>
    <r>
      <rPr>
        <sz val="10"/>
        <rFont val="Noto Sans CJK SC"/>
        <family val="2"/>
        <charset val="1"/>
      </rPr>
      <t xml:space="preserve">(vão livre)</t>
    </r>
    <r>
      <rPr>
        <sz val="10"/>
        <rFont val="WenQuanYi Zen Hei"/>
        <family val="2"/>
      </rPr>
      <t xml:space="preserve">에 모인다</t>
    </r>
    <r>
      <rPr>
        <sz val="10"/>
        <rFont val="Noto Sans CJK SC"/>
        <family val="2"/>
        <charset val="1"/>
      </rPr>
      <t xml:space="preserve">. Edson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Zumbi</t>
    </r>
    <r>
      <rPr>
        <sz val="10"/>
        <rFont val="WenQuanYi Zen Hei"/>
        <family val="2"/>
      </rPr>
      <t xml:space="preserve">가 조직하고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집회 사전 통지를 두고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Zumbi</t>
    </r>
    <r>
      <rPr>
        <sz val="10"/>
        <rFont val="WenQuanYi Zen Hei"/>
        <family val="2"/>
      </rPr>
      <t xml:space="preserve">가 실랑이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</si>
  <si>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집회는 사전 통지만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XVI). </t>
    </r>
    <r>
      <rPr>
        <sz val="10"/>
        <rFont val="WenQuanYi Zen Hei"/>
        <family val="2"/>
      </rPr>
      <t xml:space="preserve">교통 통제는 시 교통공사</t>
    </r>
    <r>
      <rPr>
        <sz val="10"/>
        <rFont val="Noto Sans CJK SC"/>
        <family val="2"/>
        <charset val="1"/>
      </rPr>
      <t xml:space="preserve">(CET)</t>
    </r>
    <r>
      <rPr>
        <sz val="10"/>
        <rFont val="WenQuanYi Zen Hei"/>
        <family val="2"/>
      </rPr>
      <t xml:space="preserve">와 협의</t>
    </r>
  </si>
  <si>
    <t xml:space="preserve">Edson, Zumbi, Rafael</t>
  </si>
  <si>
    <t xml:space="preserve">Do caso à lei</t>
  </si>
  <si>
    <t xml:space="preserve">사건에서 법으로</t>
  </si>
  <si>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이 수십 건의 사건에서 같은 조항이 반복되는 것을 짚는다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법을 바꿔야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</si>
  <si>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법을 바꾸는 세 길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정부 법안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의원 법안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국민발안</t>
    </r>
    <r>
      <rPr>
        <sz val="10"/>
        <rFont val="Noto Sans CJK SC"/>
        <family val="2"/>
        <charset val="1"/>
      </rPr>
      <t xml:space="preserve">(iniciativa popular)</t>
    </r>
  </si>
  <si>
    <t xml:space="preserve">Rafael, Larissa</t>
  </si>
  <si>
    <t xml:space="preserve">Um milhão e meio de assinaturas</t>
  </si>
  <si>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만 서명</t>
    </r>
  </si>
  <si>
    <r>
      <rPr>
        <sz val="10"/>
        <rFont val="WenQuanYi Zen Hei"/>
        <family val="2"/>
      </rPr>
      <t xml:space="preserve">국민발안 서명 운동</t>
    </r>
    <r>
      <rPr>
        <sz val="10"/>
        <rFont val="Arial"/>
        <family val="0"/>
        <charset val="1"/>
      </rPr>
      <t xml:space="preserve">. Marta</t>
    </r>
    <r>
      <rPr>
        <sz val="10"/>
        <rFont val="WenQuanYi Zen Hei"/>
        <family val="2"/>
      </rPr>
      <t xml:space="preserve">의 바가 서명 접수처가 된다</t>
    </r>
    <r>
      <rPr>
        <sz val="10"/>
        <rFont val="Arial"/>
        <family val="0"/>
        <charset val="1"/>
      </rPr>
      <t xml:space="preserve">. 5</t>
    </r>
    <r>
      <rPr>
        <sz val="10"/>
        <rFont val="WenQuanYi Zen Hei"/>
        <family val="2"/>
      </rPr>
      <t xml:space="preserve">개 주 이상에서 모아야 한다는 조건에 전국 순회가 시작된다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</si>
  <si>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국민발안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전국 유권자 </t>
    </r>
    <r>
      <rPr>
        <sz val="10"/>
        <rFont val="Arial"/>
        <family val="0"/>
        <charset val="1"/>
      </rPr>
      <t xml:space="preserve">1%, 5</t>
    </r>
    <r>
      <rPr>
        <sz val="10"/>
        <rFont val="WenQuanYi Zen Hei"/>
        <family val="2"/>
      </rPr>
      <t xml:space="preserve">개 주 이상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각 주 </t>
    </r>
    <r>
      <rPr>
        <sz val="10"/>
        <rFont val="Arial"/>
        <family val="0"/>
        <charset val="1"/>
      </rPr>
      <t xml:space="preserve">0.3% </t>
    </r>
    <r>
      <rPr>
        <sz val="10"/>
        <rFont val="WenQuanYi Zen Hei"/>
        <family val="2"/>
      </rPr>
      <t xml:space="preserve">이상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선례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클린기록법</t>
    </r>
    <r>
      <rPr>
        <sz val="10"/>
        <rFont val="Arial"/>
        <family val="0"/>
        <charset val="1"/>
      </rPr>
      <t xml:space="preserve">(Ficha Limpa)</t>
    </r>
  </si>
  <si>
    <t xml:space="preserve">Marta, Edson, Larissa</t>
  </si>
  <si>
    <t xml:space="preserve">S1·S2</t>
  </si>
  <si>
    <t xml:space="preserve">전환점</t>
  </si>
  <si>
    <t xml:space="preserve">A gaveta</t>
  </si>
  <si>
    <t xml:space="preserve">서랍 속 법안</t>
  </si>
  <si>
    <r>
      <rPr>
        <sz val="10"/>
        <rFont val="WenQuanYi Zen Hei"/>
        <family val="2"/>
      </rPr>
      <t xml:space="preserve">서명 제출 후 서명 검증이 불가능하다는 이유로 법안은 한 의원이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대신 발의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하는 형식이 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 의원이 핵심 조항을 빼 버린다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하원의장은 표결 일정조차 잡지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방청석의 시민들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</si>
  <si>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국민발안의 현실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의원 대리 발의 관행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의장의 의사일정 권한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서랍 행</t>
    </r>
    <r>
      <rPr>
        <sz val="10"/>
        <rFont val="Noto Sans CJK SC"/>
        <family val="2"/>
        <charset val="1"/>
      </rPr>
      <t xml:space="preserve">(engavetar)</t>
    </r>
  </si>
  <si>
    <t xml:space="preserve">Rafael, Dumont</t>
  </si>
  <si>
    <t xml:space="preserve">Nasce um partido</t>
  </si>
  <si>
    <t xml:space="preserve">정당의 탄생</t>
  </si>
  <si>
    <r>
      <rPr>
        <sz val="10"/>
        <rFont val="WenQuanYi Zen Hei"/>
        <family val="2"/>
      </rPr>
      <t xml:space="preserve">이름을 정한다</t>
    </r>
    <r>
      <rPr>
        <sz val="10"/>
        <rFont val="Noto Sans CJK SC"/>
        <family val="2"/>
        <charset val="1"/>
      </rPr>
      <t xml:space="preserve">: «Casa Comum» — Marta</t>
    </r>
    <r>
      <rPr>
        <sz val="10"/>
        <rFont val="WenQuanYi Zen Hei"/>
        <family val="2"/>
      </rPr>
      <t xml:space="preserve">의 식탁에서 나온 이름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창립 문서에 서명하고 브라질리아 등기소에 등록한다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이제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년 안에 정당 가입자가 아닌 유권자 약 </t>
    </r>
    <r>
      <rPr>
        <sz val="10"/>
        <rFont val="Noto Sans CJK SC"/>
        <family val="2"/>
        <charset val="1"/>
      </rPr>
      <t xml:space="preserve">55</t>
    </r>
    <r>
      <rPr>
        <sz val="10"/>
        <rFont val="WenQuanYi Zen Hei"/>
        <family val="2"/>
      </rPr>
      <t xml:space="preserve">만 명의 지지 서명을 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개 주 이상에서 모아야 선거법원</t>
    </r>
    <r>
      <rPr>
        <sz val="10"/>
        <rFont val="Noto Sans CJK SC"/>
        <family val="2"/>
        <charset val="1"/>
      </rPr>
      <t xml:space="preserve">(TSE)</t>
    </r>
    <r>
      <rPr>
        <sz val="10"/>
        <rFont val="WenQuanYi Zen Hei"/>
        <family val="2"/>
      </rPr>
      <t xml:space="preserve">에 등록된다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</si>
  <si>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정당법</t>
    </r>
    <r>
      <rPr>
        <sz val="10"/>
        <rFont val="Arial"/>
        <family val="0"/>
        <charset val="1"/>
      </rPr>
      <t xml:space="preserve">(Lei 9.096/1995): </t>
    </r>
    <r>
      <rPr>
        <sz val="10"/>
        <rFont val="WenQuanYi Zen Hei"/>
        <family val="2"/>
      </rPr>
      <t xml:space="preserve">등기 → 지지 서명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직전 하원선거 유효표 </t>
    </r>
    <r>
      <rPr>
        <sz val="10"/>
        <rFont val="Arial"/>
        <family val="0"/>
        <charset val="1"/>
      </rPr>
      <t xml:space="preserve">0.5%, 9</t>
    </r>
    <r>
      <rPr>
        <sz val="10"/>
        <rFont val="WenQuanYi Zen Hei"/>
        <family val="2"/>
      </rPr>
      <t xml:space="preserve">개 주 이상</t>
    </r>
    <r>
      <rPr>
        <sz val="10"/>
        <rFont val="Arial"/>
        <family val="0"/>
        <charset val="1"/>
      </rPr>
      <t xml:space="preserve">, 2</t>
    </r>
    <r>
      <rPr>
        <sz val="10"/>
        <rFont val="WenQuanYi Zen Hei"/>
        <family val="2"/>
      </rPr>
      <t xml:space="preserve">년 내</t>
    </r>
    <r>
      <rPr>
        <sz val="10"/>
        <rFont val="Arial"/>
        <family val="0"/>
        <charset val="1"/>
      </rPr>
      <t xml:space="preserve">) → TSE </t>
    </r>
    <r>
      <rPr>
        <sz val="10"/>
        <rFont val="WenQuanYi Zen Hei"/>
        <family val="2"/>
      </rPr>
      <t xml:space="preserve">등록</t>
    </r>
  </si>
  <si>
    <t xml:space="preserve">Marta, Machado, Rafael</t>
  </si>
  <si>
    <t xml:space="preserve">O estatuto</t>
  </si>
  <si>
    <t xml:space="preserve">정관</t>
  </si>
  <si>
    <r>
      <rPr>
        <sz val="10"/>
        <rFont val="WenQuanYi Zen Hei"/>
        <family val="2"/>
      </rPr>
      <t xml:space="preserve">당원 자격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윤리 강령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후보 선출 방식을 둘러싼 토론</t>
    </r>
    <r>
      <rPr>
        <sz val="10"/>
        <rFont val="Noto Sans CJK SC"/>
        <family val="2"/>
        <charset val="1"/>
      </rPr>
      <t xml:space="preserve">. Juliana</t>
    </r>
    <r>
      <rPr>
        <sz val="10"/>
        <rFont val="WenQuanYi Zen Hei"/>
        <family val="2"/>
      </rPr>
      <t xml:space="preserve">의 조직도 </t>
    </r>
    <r>
      <rPr>
        <sz val="10"/>
        <rFont val="Noto Sans CJK SC"/>
        <family val="2"/>
        <charset val="1"/>
      </rPr>
      <t xml:space="preserve">vs Edson</t>
    </r>
    <r>
      <rPr>
        <sz val="10"/>
        <rFont val="WenQuanYi Zen Hei"/>
        <family val="2"/>
      </rPr>
      <t xml:space="preserve">의 총회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</si>
  <si>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정당 자율과 내부 운영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17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항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정관</t>
    </r>
  </si>
  <si>
    <t xml:space="preserve">Dinheiro limpo</t>
  </si>
  <si>
    <t xml:space="preserve">깨끗한 돈</t>
  </si>
  <si>
    <r>
      <rPr>
        <sz val="10"/>
        <rFont val="WenQuanYi Zen Hei"/>
        <family val="2"/>
      </rPr>
      <t xml:space="preserve">기업 후원 금지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소액 후원과 온라인 모금</t>
    </r>
    <r>
      <rPr>
        <sz val="10"/>
        <rFont val="Noto Sans CJK SC"/>
        <family val="2"/>
        <charset val="1"/>
      </rPr>
      <t xml:space="preserve">(vaquinha), </t>
    </r>
    <r>
      <rPr>
        <sz val="10"/>
        <rFont val="WenQuanYi Zen Hei"/>
        <family val="2"/>
      </rPr>
      <t xml:space="preserve">회계 공개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은행이 계좌 개설을 미룬다</t>
    </r>
    <r>
      <rPr>
        <sz val="10"/>
        <rFont val="Noto Sans CJK SC"/>
        <family val="2"/>
        <charset val="1"/>
      </rPr>
      <t xml:space="preserve">. Sérgio</t>
    </r>
    <r>
      <rPr>
        <sz val="10"/>
        <rFont val="WenQuanYi Zen Hei"/>
        <family val="2"/>
      </rPr>
      <t xml:space="preserve">의 노하우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</si>
  <si>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기업 후원 금지</t>
    </r>
    <r>
      <rPr>
        <sz val="10"/>
        <rFont val="Noto Sans CJK SC"/>
        <family val="2"/>
        <charset val="1"/>
      </rPr>
      <t xml:space="preserve">(STF 2015), </t>
    </r>
    <r>
      <rPr>
        <sz val="10"/>
        <rFont val="WenQuanYi Zen Hei"/>
        <family val="2"/>
      </rPr>
      <t xml:space="preserve">정당기금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선거기금 배분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온라인 모금</t>
    </r>
    <r>
      <rPr>
        <sz val="10"/>
        <rFont val="Noto Sans CJK SC"/>
        <family val="2"/>
        <charset val="1"/>
      </rPr>
      <t xml:space="preserve">(Lei 9.504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23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회계 보고</t>
    </r>
  </si>
  <si>
    <t xml:space="preserve">As candidaturas</t>
  </si>
  <si>
    <t xml:space="preserve">후보 등록</t>
  </si>
  <si>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은 시장 후보</t>
    </r>
    <r>
      <rPr>
        <sz val="10"/>
        <rFont val="Arial"/>
        <family val="0"/>
        <charset val="1"/>
      </rPr>
      <t xml:space="preserve">, Bruno·Camila</t>
    </r>
    <r>
      <rPr>
        <sz val="10"/>
        <rFont val="WenQuanYi Zen Hei"/>
        <family val="2"/>
      </rPr>
      <t xml:space="preserve">는 시의원 후보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개방형 명부라 후보끼리도 표를 다툰다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여성 후보 </t>
    </r>
    <r>
      <rPr>
        <sz val="10"/>
        <rFont val="Arial"/>
        <family val="0"/>
        <charset val="1"/>
      </rPr>
      <t xml:space="preserve">30% </t>
    </r>
    <r>
      <rPr>
        <sz val="10"/>
        <rFont val="WenQuanYi Zen Hei"/>
        <family val="2"/>
      </rPr>
      <t xml:space="preserve">할당을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유령 후보</t>
    </r>
    <r>
      <rPr>
        <sz val="10"/>
        <rFont val="Arial"/>
        <family val="0"/>
        <charset val="1"/>
      </rPr>
      <t xml:space="preserve">(laranja)'</t>
    </r>
    <r>
      <rPr>
        <sz val="10"/>
        <rFont val="WenQuanYi Zen Hei"/>
        <family val="2"/>
      </rPr>
      <t xml:space="preserve">로 채우자는 유혹을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가 거부한다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</si>
  <si>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개방형 비례대표 명부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성별 할당 </t>
    </r>
    <r>
      <rPr>
        <sz val="10"/>
        <rFont val="Noto Sans CJK SC"/>
        <family val="2"/>
        <charset val="1"/>
      </rPr>
      <t xml:space="preserve">30%(Lei 9.504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항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유령 후보 금지</t>
    </r>
  </si>
  <si>
    <t xml:space="preserve">Bruno, Camila, Rafael, Larissa</t>
  </si>
  <si>
    <t xml:space="preserve">N4·S1</t>
  </si>
  <si>
    <t xml:space="preserve">Campanha nos bairros</t>
  </si>
  <si>
    <t xml:space="preserve">골목길 캠페인</t>
  </si>
  <si>
    <r>
      <rPr>
        <sz val="10"/>
        <rFont val="Arial"/>
        <family val="0"/>
        <charset val="1"/>
      </rPr>
      <t xml:space="preserve">Marta</t>
    </r>
    <r>
      <rPr>
        <sz val="10"/>
        <rFont val="WenQuanYi Zen Hei"/>
        <family val="2"/>
      </rPr>
      <t xml:space="preserve">의 바에서 시작해 동부</t>
    </r>
    <r>
      <rPr>
        <sz val="10"/>
        <rFont val="Arial"/>
        <family val="0"/>
        <charset val="1"/>
      </rPr>
      <t xml:space="preserve">(Zona Leste) </t>
    </r>
    <r>
      <rPr>
        <sz val="10"/>
        <rFont val="WenQuanYi Zen Hei"/>
        <family val="2"/>
      </rPr>
      <t xml:space="preserve">골목을 도는 유세</t>
    </r>
    <r>
      <rPr>
        <sz val="10"/>
        <rFont val="Arial"/>
        <family val="0"/>
        <charset val="1"/>
      </rPr>
      <t xml:space="preserve">. Machado</t>
    </r>
    <r>
      <rPr>
        <sz val="10"/>
        <rFont val="WenQuanYi Zen Hei"/>
        <family val="2"/>
      </rPr>
      <t xml:space="preserve">의 첫 선거 문구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</si>
  <si>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공식 선거운동</t>
    </r>
    <r>
      <rPr>
        <sz val="10"/>
        <rFont val="Noto Sans CJK SC"/>
        <family val="2"/>
        <charset val="1"/>
      </rPr>
      <t xml:space="preserve">(8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16</t>
    </r>
    <r>
      <rPr>
        <sz val="10"/>
        <rFont val="WenQuanYi Zen Hei"/>
        <family val="2"/>
      </rPr>
      <t xml:space="preserve">일부터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지역선거법원</t>
    </r>
    <r>
      <rPr>
        <sz val="10"/>
        <rFont val="Noto Sans CJK SC"/>
        <family val="2"/>
        <charset val="1"/>
      </rPr>
      <t xml:space="preserve">(TRE-SP) </t>
    </r>
    <r>
      <rPr>
        <sz val="10"/>
        <rFont val="WenQuanYi Zen Hei"/>
        <family val="2"/>
      </rPr>
      <t xml:space="preserve">감독</t>
    </r>
  </si>
  <si>
    <t xml:space="preserve">Machado, Marta, Zumbi</t>
  </si>
  <si>
    <t xml:space="preserve">E1·E2·S2</t>
  </si>
  <si>
    <t xml:space="preserve">O ataque da imprensa</t>
  </si>
  <si>
    <t xml:space="preserve">언론의 공격</t>
  </si>
  <si>
    <r>
      <rPr>
        <sz val="10"/>
        <rFont val="WenQuanYi Zen Hei"/>
        <family val="2"/>
      </rPr>
      <t xml:space="preserve">왜곡 기사와 가짜뉴스 영상이 퍼진다</t>
    </r>
    <r>
      <rPr>
        <sz val="10"/>
        <rFont val="Noto Sans CJK SC"/>
        <family val="2"/>
        <charset val="1"/>
      </rPr>
      <t xml:space="preserve">. Dumont</t>
    </r>
    <r>
      <rPr>
        <sz val="10"/>
        <rFont val="WenQuanYi Zen Hei"/>
        <family val="2"/>
      </rPr>
      <t xml:space="preserve">이 반박하고 선거법원에 반론권을 청구한다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</si>
  <si>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 중 반론권</t>
    </r>
    <r>
      <rPr>
        <sz val="10"/>
        <rFont val="Noto Sans CJK SC"/>
        <family val="2"/>
        <charset val="1"/>
      </rPr>
      <t xml:space="preserve">(Lei 9.504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58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반론권법</t>
    </r>
    <r>
      <rPr>
        <sz val="10"/>
        <rFont val="Noto Sans CJK SC"/>
        <family val="2"/>
        <charset val="1"/>
      </rPr>
      <t xml:space="preserve">(Lei 13.188/2015)</t>
    </r>
  </si>
  <si>
    <t xml:space="preserve">Dumont, Rafael</t>
  </si>
  <si>
    <t xml:space="preserve">A véspera</t>
  </si>
  <si>
    <t xml:space="preserve">선거 전날</t>
  </si>
  <si>
    <r>
      <rPr>
        <sz val="10"/>
        <rFont val="WenQuanYi Zen Hei"/>
        <family val="2"/>
      </rPr>
      <t xml:space="preserve">선거 전날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마지막 유세의 유혹과 투표일 투표소 앞 선거운동</t>
    </r>
    <r>
      <rPr>
        <sz val="10"/>
        <rFont val="Noto Sans CJK SC"/>
        <family val="2"/>
        <charset val="1"/>
      </rPr>
      <t xml:space="preserve">(boca de urna) </t>
    </r>
    <r>
      <rPr>
        <sz val="10"/>
        <rFont val="WenQuanYi Zen Hei"/>
        <family val="2"/>
      </rPr>
      <t xml:space="preserve">금지 규칙</t>
    </r>
    <r>
      <rPr>
        <sz val="10"/>
        <rFont val="Noto Sans CJK SC"/>
        <family val="2"/>
        <charset val="1"/>
      </rPr>
      <t xml:space="preserve">. Isabel</t>
    </r>
    <r>
      <rPr>
        <sz val="10"/>
        <rFont val="WenQuanYi Zen Hei"/>
        <family val="2"/>
      </rPr>
      <t xml:space="preserve">의 되받기가 처음으로 위로가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</si>
  <si>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선거일 투표소 선거운동 금지</t>
    </r>
    <r>
      <rPr>
        <sz val="10"/>
        <rFont val="Noto Sans CJK SC"/>
        <family val="2"/>
        <charset val="1"/>
      </rPr>
      <t xml:space="preserve">(Lei 9.504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39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항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전날까지 허용되는 선전</t>
    </r>
  </si>
  <si>
    <t xml:space="preserve">Isabel, Juliana</t>
  </si>
  <si>
    <t xml:space="preserve">A noite da apuração</t>
  </si>
  <si>
    <t xml:space="preserve">개표의 밤</t>
  </si>
  <si>
    <r>
      <rPr>
        <sz val="10"/>
        <rFont val="WenQuanYi Zen Hei"/>
        <family val="2"/>
      </rPr>
      <t xml:space="preserve">전자투표라 개표는 몇 시간 만에 끝난다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시의회 </t>
    </r>
    <r>
      <rPr>
        <sz val="10"/>
        <rFont val="Noto Sans CJK SC"/>
        <family val="2"/>
        <charset val="1"/>
      </rPr>
      <t xml:space="preserve">55</t>
    </r>
    <r>
      <rPr>
        <sz val="10"/>
        <rFont val="WenQuanYi Zen Hei"/>
        <family val="2"/>
      </rPr>
      <t xml:space="preserve">석 중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시장 선거는 </t>
    </r>
    <r>
      <rPr>
        <sz val="10"/>
        <rFont val="Noto Sans CJK SC"/>
        <family val="2"/>
        <charset val="1"/>
      </rPr>
      <t xml:space="preserve">Rafael 3</t>
    </r>
    <r>
      <rPr>
        <sz val="10"/>
        <rFont val="WenQuanYi Zen Hei"/>
        <family val="2"/>
      </rPr>
      <t xml:space="preserve">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 수치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결선은 </t>
    </r>
    <r>
      <rPr>
        <sz val="10"/>
        <rFont val="Noto Sans CJK SC"/>
        <family val="2"/>
        <charset val="1"/>
      </rPr>
      <t xml:space="preserve">UCN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PPS</t>
    </r>
    <r>
      <rPr>
        <sz val="10"/>
        <rFont val="WenQuanYi Zen Hei"/>
        <family val="2"/>
      </rPr>
      <t xml:space="preserve">의 몫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</si>
  <si>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선거지수</t>
    </r>
    <r>
      <rPr>
        <sz val="10"/>
        <rFont val="Noto Sans CJK SC"/>
        <family val="2"/>
        <charset val="1"/>
      </rPr>
      <t xml:space="preserve">(quociente eleitoral), </t>
    </r>
    <r>
      <rPr>
        <sz val="10"/>
        <rFont val="WenQuanYi Zen Hei"/>
        <family val="2"/>
      </rPr>
      <t xml:space="preserve">시장 결선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유권자 </t>
    </r>
    <r>
      <rPr>
        <sz val="10"/>
        <rFont val="Noto Sans CJK SC"/>
        <family val="2"/>
        <charset val="1"/>
      </rPr>
      <t xml:space="preserve">20</t>
    </r>
    <r>
      <rPr>
        <sz val="10"/>
        <rFont val="WenQuanYi Zen Hei"/>
        <family val="2"/>
      </rPr>
      <t xml:space="preserve">만 명 이상 도시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전자투표기</t>
    </r>
    <r>
      <rPr>
        <sz val="10"/>
        <rFont val="Noto Sans CJK SC"/>
        <family val="2"/>
        <charset val="1"/>
      </rPr>
      <t xml:space="preserve">(urna eletrônica)</t>
    </r>
  </si>
  <si>
    <t xml:space="preserve">A posse na Câmara</t>
  </si>
  <si>
    <t xml:space="preserve">시의회 취임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</si>
  <si>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시의원 취임과 의장단</t>
    </r>
    <r>
      <rPr>
        <sz val="10"/>
        <rFont val="Arial"/>
        <family val="0"/>
        <charset val="1"/>
      </rPr>
      <t xml:space="preserve">(Mesa) </t>
    </r>
    <r>
      <rPr>
        <sz val="10"/>
        <rFont val="WenQuanYi Zen Hei"/>
        <family val="2"/>
      </rPr>
      <t xml:space="preserve">선출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결선에서 이긴 </t>
    </r>
    <r>
      <rPr>
        <sz val="10"/>
        <rFont val="Arial"/>
        <family val="0"/>
        <charset val="1"/>
      </rPr>
      <t xml:space="preserve">UCN </t>
    </r>
    <r>
      <rPr>
        <sz val="10"/>
        <rFont val="WenQuanYi Zen Hei"/>
        <family val="2"/>
      </rPr>
      <t xml:space="preserve">시장이 취임한다</t>
    </r>
    <r>
      <rPr>
        <sz val="10"/>
        <rFont val="Arial"/>
        <family val="0"/>
        <charset val="1"/>
      </rPr>
      <t xml:space="preserve">. Casa Comum</t>
    </r>
    <r>
      <rPr>
        <sz val="10"/>
        <rFont val="WenQuanYi Zen Hei"/>
        <family val="2"/>
      </rPr>
      <t xml:space="preserve">은 소수 야당이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</si>
  <si>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시의원 취임</t>
    </r>
    <r>
      <rPr>
        <sz val="10"/>
        <rFont val="Noto Sans CJK SC"/>
        <family val="2"/>
        <charset val="1"/>
      </rPr>
      <t xml:space="preserve">(1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일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의장단 선출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 조직법</t>
    </r>
    <r>
      <rPr>
        <sz val="10"/>
        <rFont val="Noto Sans CJK SC"/>
        <family val="2"/>
        <charset val="1"/>
      </rPr>
      <t xml:space="preserve">(Lei Orgânica do Município)</t>
    </r>
  </si>
  <si>
    <t xml:space="preserve">Bruno, Camila, Rafael</t>
  </si>
  <si>
    <t xml:space="preserve">A primeira sessão</t>
  </si>
  <si>
    <t xml:space="preserve">첫 본회의</t>
  </si>
  <si>
    <r>
      <rPr>
        <sz val="10"/>
        <rFont val="WenQuanYi Zen Hei"/>
        <family val="2"/>
      </rPr>
      <t xml:space="preserve">발언 시간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질의</t>
    </r>
    <r>
      <rPr>
        <sz val="10"/>
        <rFont val="Noto Sans CJK SC"/>
        <family val="2"/>
        <charset val="1"/>
      </rPr>
      <t xml:space="preserve">(requerimento)·</t>
    </r>
    <r>
      <rPr>
        <sz val="10"/>
        <rFont val="WenQuanYi Zen Hei"/>
        <family val="2"/>
      </rPr>
      <t xml:space="preserve">법안 절차를 배우는 신참 의원들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의 질문 연발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</si>
  <si>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본회의 운영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소발언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대발언 시간</t>
    </r>
    <r>
      <rPr>
        <sz val="10"/>
        <rFont val="Arial"/>
        <family val="0"/>
        <charset val="1"/>
      </rPr>
      <t xml:space="preserve">, requerimento, projeto de lei</t>
    </r>
  </si>
  <si>
    <t xml:space="preserve">Bruno, Larissa</t>
  </si>
  <si>
    <t xml:space="preserve">A auditoria da cidade</t>
  </si>
  <si>
    <t xml:space="preserve">도시 예산 감사</t>
  </si>
  <si>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가 시 예산과 결산을 파고들고 </t>
    </r>
    <r>
      <rPr>
        <sz val="10"/>
        <rFont val="Arial"/>
        <family val="0"/>
        <charset val="1"/>
      </rPr>
      <t xml:space="preserve">Sérgio</t>
    </r>
    <r>
      <rPr>
        <sz val="10"/>
        <rFont val="WenQuanYi Zen Hei"/>
        <family val="2"/>
      </rPr>
      <t xml:space="preserve">가 계좌 흐름을 그린다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 감사원</t>
    </r>
    <r>
      <rPr>
        <sz val="10"/>
        <rFont val="Arial"/>
        <family val="0"/>
        <charset val="1"/>
      </rPr>
      <t xml:space="preserve">(TCM-SP)</t>
    </r>
    <r>
      <rPr>
        <sz val="10"/>
        <rFont val="WenQuanYi Zen Hei"/>
        <family val="2"/>
      </rPr>
      <t xml:space="preserve">의 옛 보고서가 단서가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</si>
  <si>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시 예산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 감사원</t>
    </r>
    <r>
      <rPr>
        <sz val="10"/>
        <rFont val="Arial"/>
        <family val="0"/>
        <charset val="1"/>
      </rPr>
      <t xml:space="preserve">(Tribunal de Contas do Município de São Paulo)</t>
    </r>
  </si>
  <si>
    <t xml:space="preserve">Contratos sob a lupa</t>
  </si>
  <si>
    <t xml:space="preserve">돋보기 아래의 계약들</t>
  </si>
  <si>
    <r>
      <rPr>
        <sz val="10"/>
        <rFont val="WenQuanYi Zen Hei"/>
        <family val="2"/>
      </rPr>
      <t xml:space="preserve">시 주택공사</t>
    </r>
    <r>
      <rPr>
        <sz val="10"/>
        <rFont val="Noto Sans CJK SC"/>
        <family val="2"/>
        <charset val="1"/>
      </rPr>
      <t xml:space="preserve">(COHAB-SP) </t>
    </r>
    <r>
      <rPr>
        <sz val="10"/>
        <rFont val="WenQuanYi Zen Hei"/>
        <family val="2"/>
      </rPr>
      <t xml:space="preserve">계약 쪼개기와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연방 의원들이 시에 보낸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특별 이전 예산</t>
    </r>
    <r>
      <rPr>
        <sz val="10"/>
        <rFont val="Noto Sans CJK SC"/>
        <family val="2"/>
        <charset val="1"/>
      </rPr>
      <t xml:space="preserve">(emendas Pix)'</t>
    </r>
    <r>
      <rPr>
        <sz val="10"/>
        <rFont val="WenQuanYi Zen Hei"/>
        <family val="2"/>
      </rPr>
      <t xml:space="preserve">이 소수 업체로 흘러간 정황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행정 병목 때문에 일부는 집행조차 못 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</si>
  <si>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공공조달법</t>
    </r>
    <r>
      <rPr>
        <sz val="10"/>
        <rFont val="Noto Sans CJK SC"/>
        <family val="2"/>
        <charset val="1"/>
      </rPr>
      <t xml:space="preserve">(Lei 14.133/2021), </t>
    </r>
    <r>
      <rPr>
        <sz val="10"/>
        <rFont val="WenQuanYi Zen Hei"/>
        <family val="2"/>
      </rPr>
      <t xml:space="preserve">분할 발주</t>
    </r>
    <r>
      <rPr>
        <sz val="10"/>
        <rFont val="Noto Sans CJK SC"/>
        <family val="2"/>
        <charset val="1"/>
      </rPr>
      <t xml:space="preserve">(fracionamento), </t>
    </r>
    <r>
      <rPr>
        <sz val="10"/>
        <rFont val="WenQuanYi Zen Hei"/>
        <family val="2"/>
      </rPr>
      <t xml:space="preserve">의원 예산 수정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특별 이전의 투명성</t>
    </r>
    <r>
      <rPr>
        <sz val="10"/>
        <rFont val="Noto Sans CJK SC"/>
        <family val="2"/>
        <charset val="1"/>
      </rPr>
      <t xml:space="preserve">(STF 2024 </t>
    </r>
    <r>
      <rPr>
        <sz val="10"/>
        <rFont val="WenQuanYi Zen Hei"/>
        <family val="2"/>
      </rPr>
      <t xml:space="preserve">결정</t>
    </r>
    <r>
      <rPr>
        <sz val="10"/>
        <rFont val="Noto Sans CJK SC"/>
        <family val="2"/>
        <charset val="1"/>
      </rPr>
      <t xml:space="preserve">)</t>
    </r>
  </si>
  <si>
    <t xml:space="preserve">Bruno, Freire, Sérgio</t>
  </si>
  <si>
    <t xml:space="preserve">N2</t>
  </si>
  <si>
    <t xml:space="preserve">A aliança incômoda</t>
  </si>
  <si>
    <t xml:space="preserve">불편한 동맹</t>
  </si>
  <si>
    <r>
      <rPr>
        <sz val="10"/>
        <rFont val="WenQuanYi Zen Hei"/>
        <family val="2"/>
      </rPr>
      <t xml:space="preserve">시 예산안 통과를 위해 중도 연합</t>
    </r>
    <r>
      <rPr>
        <sz val="10"/>
        <rFont val="Noto Sans CJK SC"/>
        <family val="2"/>
        <charset val="1"/>
      </rPr>
      <t xml:space="preserve">(Centrão)</t>
    </r>
    <r>
      <rPr>
        <sz val="10"/>
        <rFont val="WenQuanYi Zen Hei"/>
        <family val="2"/>
      </rPr>
      <t xml:space="preserve">의 시의원들과 표를 맞바꿔야 하는 딜레마</t>
    </r>
    <r>
      <rPr>
        <sz val="10"/>
        <rFont val="Noto Sans CJK SC"/>
        <family val="2"/>
        <charset val="1"/>
      </rPr>
      <t xml:space="preserve">. Edson </t>
    </r>
    <r>
      <rPr>
        <sz val="10"/>
        <rFont val="WenQuanYi Zen Hei"/>
        <family val="2"/>
      </rPr>
      <t xml:space="preserve">반대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</si>
  <si>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소수 의원단의 캐스팅보트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 예산안</t>
    </r>
    <r>
      <rPr>
        <sz val="10"/>
        <rFont val="Noto Sans CJK SC"/>
        <family val="2"/>
        <charset val="1"/>
      </rPr>
      <t xml:space="preserve">(LOA) </t>
    </r>
    <r>
      <rPr>
        <sz val="10"/>
        <rFont val="WenQuanYi Zen Hei"/>
        <family val="2"/>
      </rPr>
      <t xml:space="preserve">표결</t>
    </r>
  </si>
  <si>
    <t xml:space="preserve">A armadilha do orçamento</t>
  </si>
  <si>
    <t xml:space="preserve">예산의 덫</t>
  </si>
  <si>
    <r>
      <rPr>
        <sz val="10"/>
        <rFont val="WenQuanYi Zen Hei"/>
        <family val="2"/>
      </rPr>
      <t xml:space="preserve">예산 부속 조항에 숨은 임대료 보조</t>
    </r>
    <r>
      <rPr>
        <sz val="10"/>
        <rFont val="Noto Sans CJK SC"/>
        <family val="2"/>
        <charset val="1"/>
      </rPr>
      <t xml:space="preserve">(auxílio-aluguel) 20% </t>
    </r>
    <r>
      <rPr>
        <sz val="10"/>
        <rFont val="WenQuanYi Zen Hei"/>
        <family val="2"/>
      </rPr>
      <t xml:space="preserve">삭감과 단기 임대용 고층 개발을 풀어 주는 용도지역 변경 조항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의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폭발</t>
    </r>
    <r>
      <rPr>
        <sz val="10"/>
        <rFont val="Noto Sans CJK SC"/>
        <family val="2"/>
        <charset val="1"/>
      </rPr>
      <t xml:space="preserve">. Dom Pedro</t>
    </r>
    <r>
      <rPr>
        <sz val="10"/>
        <rFont val="WenQuanYi Zen Hei"/>
        <family val="2"/>
      </rPr>
      <t xml:space="preserve">가 선을 넘고 </t>
    </r>
    <r>
      <rPr>
        <sz val="10"/>
        <rFont val="Noto Sans CJK SC"/>
        <family val="2"/>
        <charset val="1"/>
      </rPr>
      <t xml:space="preserve">Zumbi·Marta</t>
    </r>
    <r>
      <rPr>
        <sz val="10"/>
        <rFont val="WenQuanYi Zen Hei"/>
        <family val="2"/>
      </rPr>
      <t xml:space="preserve">가 나무란다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</si>
  <si>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 예산안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예산지침법</t>
    </r>
    <r>
      <rPr>
        <sz val="10"/>
        <rFont val="Arial"/>
        <family val="0"/>
        <charset val="1"/>
      </rPr>
      <t xml:space="preserve">(LDO), </t>
    </r>
    <r>
      <rPr>
        <sz val="10"/>
        <rFont val="WenQuanYi Zen Hei"/>
        <family val="2"/>
      </rPr>
      <t xml:space="preserve">재정위원회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도시계획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용도지역법</t>
    </r>
    <r>
      <rPr>
        <sz val="10"/>
        <rFont val="Arial"/>
        <family val="0"/>
        <charset val="1"/>
      </rPr>
      <t xml:space="preserve">(zoneamento)</t>
    </r>
  </si>
  <si>
    <t xml:space="preserve">Larissa, Bruno, Dom Pedro, Zumbi, Marta</t>
  </si>
  <si>
    <t xml:space="preserve">Saúde na Câmara</t>
  </si>
  <si>
    <t xml:space="preserve">시의회의 보건</t>
  </si>
  <si>
    <r>
      <rPr>
        <sz val="10"/>
        <rFont val="WenQuanYi Zen Hei"/>
        <family val="2"/>
      </rPr>
      <t xml:space="preserve">남부 외곽 보건소가 문을 닫고 대기 줄이 늘어난다</t>
    </r>
    <r>
      <rPr>
        <sz val="10"/>
        <rFont val="Noto Sans CJK SC"/>
        <family val="2"/>
        <charset val="1"/>
      </rPr>
      <t xml:space="preserve">. Camila</t>
    </r>
    <r>
      <rPr>
        <sz val="10"/>
        <rFont val="WenQuanYi Zen Hei"/>
        <family val="2"/>
      </rPr>
      <t xml:space="preserve">가 보건위원회에서 사회조직</t>
    </r>
    <r>
      <rPr>
        <sz val="10"/>
        <rFont val="Noto Sans CJK SC"/>
        <family val="2"/>
        <charset val="1"/>
      </rPr>
      <t xml:space="preserve">(OSS) </t>
    </r>
    <r>
      <rPr>
        <sz val="10"/>
        <rFont val="WenQuanYi Zen Hei"/>
        <family val="2"/>
      </rPr>
      <t xml:space="preserve">위탁 계약 자료를 요구하고 의회조사위원회</t>
    </r>
    <r>
      <rPr>
        <sz val="10"/>
        <rFont val="Noto Sans CJK SC"/>
        <family val="2"/>
        <charset val="1"/>
      </rPr>
      <t xml:space="preserve">(CPI) </t>
    </r>
    <r>
      <rPr>
        <sz val="10"/>
        <rFont val="WenQuanYi Zen Hei"/>
        <family val="2"/>
      </rPr>
      <t xml:space="preserve">서명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의원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분의 </t>
    </r>
    <r>
      <rPr>
        <sz val="10"/>
        <rFont val="Noto Sans CJK SC"/>
        <family val="2"/>
        <charset val="1"/>
      </rPr>
      <t xml:space="preserve">1)</t>
    </r>
    <r>
      <rPr>
        <sz val="10"/>
        <rFont val="WenQuanYi Zen Hei"/>
        <family val="2"/>
      </rPr>
      <t xml:space="preserve">을 모은다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</si>
  <si>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SUS</t>
    </r>
    <r>
      <rPr>
        <sz val="10"/>
        <rFont val="WenQuanYi Zen Hei"/>
        <family val="2"/>
      </rPr>
      <t xml:space="preserve">에서 시의 권한</t>
    </r>
    <r>
      <rPr>
        <sz val="10"/>
        <rFont val="Noto Sans CJK SC"/>
        <family val="2"/>
        <charset val="1"/>
      </rPr>
      <t xml:space="preserve">(1</t>
    </r>
    <r>
      <rPr>
        <sz val="10"/>
        <rFont val="WenQuanYi Zen Hei"/>
        <family val="2"/>
      </rPr>
      <t xml:space="preserve">차 의료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시립병원</t>
    </r>
    <r>
      <rPr>
        <sz val="10"/>
        <rFont val="Noto Sans CJK SC"/>
        <family val="2"/>
        <charset val="1"/>
      </rPr>
      <t xml:space="preserve">), OSS </t>
    </r>
    <r>
      <rPr>
        <sz val="10"/>
        <rFont val="WenQuanYi Zen Hei"/>
        <family val="2"/>
      </rPr>
      <t xml:space="preserve">관리계약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시의회 </t>
    </r>
    <r>
      <rPr>
        <sz val="10"/>
        <rFont val="Noto Sans CJK SC"/>
        <family val="2"/>
        <charset val="1"/>
      </rPr>
      <t xml:space="preserve">CPI</t>
    </r>
  </si>
  <si>
    <t xml:space="preserve">Camila, Dumont</t>
  </si>
  <si>
    <t xml:space="preserve">O escândalo revelado</t>
  </si>
  <si>
    <t xml:space="preserve">파헤쳐진 스캔들</t>
  </si>
  <si>
    <r>
      <rPr>
        <sz val="10"/>
        <rFont val="WenQuanYi Zen Hei"/>
        <family val="2"/>
      </rPr>
      <t xml:space="preserve">위탁 계약과 시 계약이 한 회사로 이어진다</t>
    </r>
    <r>
      <rPr>
        <sz val="10"/>
        <rFont val="Noto Sans CJK SC"/>
        <family val="2"/>
        <charset val="1"/>
      </rPr>
      <t xml:space="preserve">. Freire</t>
    </r>
    <r>
      <rPr>
        <sz val="10"/>
        <rFont val="WenQuanYi Zen Hei"/>
        <family val="2"/>
      </rPr>
      <t xml:space="preserve">가 출처를 가리키고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은 합법 증거만 쓰자고 고집한다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</si>
  <si>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위법 수집 증거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LVI, </t>
    </r>
    <r>
      <rPr>
        <sz val="10"/>
        <rFont val="WenQuanYi Zen Hei"/>
        <family val="2"/>
      </rPr>
      <t xml:space="preserve">형사소송법 제</t>
    </r>
    <r>
      <rPr>
        <sz val="10"/>
        <rFont val="Noto Sans CJK SC"/>
        <family val="2"/>
        <charset val="1"/>
      </rPr>
      <t xml:space="preserve">157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내부고발자 보호</t>
    </r>
    <r>
      <rPr>
        <sz val="10"/>
        <rFont val="Noto Sans CJK SC"/>
        <family val="2"/>
        <charset val="1"/>
      </rPr>
      <t xml:space="preserve">(Lei 13.608/2018)</t>
    </r>
  </si>
  <si>
    <t xml:space="preserve">Freire, Rafael, Sérgio</t>
  </si>
  <si>
    <t xml:space="preserve">A representação</t>
  </si>
  <si>
    <t xml:space="preserve">고발장</t>
  </si>
  <si>
    <r>
      <rPr>
        <sz val="10"/>
        <rFont val="WenQuanYi Zen Hei"/>
        <family val="2"/>
      </rPr>
      <t xml:space="preserve">사무소가 주 검찰 반부패팀</t>
    </r>
    <r>
      <rPr>
        <sz val="10"/>
        <rFont val="Noto Sans CJK SC"/>
        <family val="2"/>
        <charset val="1"/>
      </rPr>
      <t xml:space="preserve">(GAECO)</t>
    </r>
    <r>
      <rPr>
        <sz val="10"/>
        <rFont val="WenQuanYi Zen Hei"/>
        <family val="2"/>
      </rPr>
      <t xml:space="preserve">에 고발하고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시민 명의로 시민소송</t>
    </r>
    <r>
      <rPr>
        <sz val="10"/>
        <rFont val="Noto Sans CJK SC"/>
        <family val="2"/>
        <charset val="1"/>
      </rPr>
      <t xml:space="preserve">(ação popular)</t>
    </r>
    <r>
      <rPr>
        <sz val="10"/>
        <rFont val="WenQuanYi Zen Hei"/>
        <family val="2"/>
      </rPr>
      <t xml:space="preserve">을 제기한다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</si>
  <si>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시민소송</t>
    </r>
    <r>
      <rPr>
        <sz val="10"/>
        <rFont val="Noto Sans CJK SC"/>
        <family val="2"/>
        <charset val="1"/>
      </rPr>
      <t xml:space="preserve">(Lei 4.717/1965, 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LXXIII), </t>
    </r>
    <r>
      <rPr>
        <sz val="10"/>
        <rFont val="WenQuanYi Zen Hei"/>
        <family val="2"/>
      </rPr>
      <t xml:space="preserve">주 검찰</t>
    </r>
    <r>
      <rPr>
        <sz val="10"/>
        <rFont val="Noto Sans CJK SC"/>
        <family val="2"/>
        <charset val="1"/>
      </rPr>
      <t xml:space="preserve">(MPSP), </t>
    </r>
    <r>
      <rPr>
        <sz val="10"/>
        <rFont val="WenQuanYi Zen Hei"/>
        <family val="2"/>
      </rPr>
      <t xml:space="preserve">사법 지연</t>
    </r>
  </si>
  <si>
    <t xml:space="preserve">A resposta do poder</t>
  </si>
  <si>
    <t xml:space="preserve">권력의 반격</t>
  </si>
  <si>
    <r>
      <rPr>
        <sz val="10"/>
        <rFont val="WenQuanYi Zen Hei"/>
        <family val="2"/>
      </rPr>
      <t xml:space="preserve">명예훼손 소송과 가짜뉴스 여론전</t>
    </r>
    <r>
      <rPr>
        <sz val="10"/>
        <rFont val="Noto Sans CJK SC"/>
        <family val="2"/>
        <charset val="1"/>
      </rPr>
      <t xml:space="preserve">. Isabel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Machado</t>
    </r>
    <r>
      <rPr>
        <sz val="10"/>
        <rFont val="WenQuanYi Zen Hei"/>
        <family val="2"/>
      </rPr>
      <t xml:space="preserve">가 대응 메시지를 설계한다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</si>
  <si>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명예훼손 소송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반론권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가짜뉴스 대응</t>
    </r>
  </si>
  <si>
    <t xml:space="preserve">Machado, Isabel</t>
  </si>
  <si>
    <t xml:space="preserve">A lealdade à prova</t>
  </si>
  <si>
    <t xml:space="preserve">시험대에 오른 의리</t>
  </si>
  <si>
    <r>
      <rPr>
        <sz val="10"/>
        <rFont val="WenQuanYi Zen Hei"/>
        <family val="2"/>
      </rPr>
      <t xml:space="preserve">대선에 누가 나설지 당내 경선</t>
    </r>
    <r>
      <rPr>
        <sz val="10"/>
        <rFont val="Noto Sans CJK SC"/>
        <family val="2"/>
        <charset val="1"/>
      </rPr>
      <t xml:space="preserve">(prévias). </t>
    </r>
    <r>
      <rPr>
        <sz val="10"/>
        <rFont val="WenQuanYi Zen Hei"/>
        <family val="2"/>
      </rPr>
      <t xml:space="preserve">서운함과 화해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</si>
  <si>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당내 경선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정관</t>
    </r>
  </si>
  <si>
    <t xml:space="preserve">Juliana, Edson, Bruno</t>
  </si>
  <si>
    <t xml:space="preserve">O salto para Brasília</t>
  </si>
  <si>
    <t xml:space="preserve">브라질리아로의 도약</t>
  </si>
  <si>
    <r>
      <rPr>
        <sz val="10"/>
        <rFont val="Noto Sans CJK SC"/>
        <family val="2"/>
        <charset val="1"/>
      </rPr>
      <t xml:space="preserve">Casa Comum</t>
    </r>
    <r>
      <rPr>
        <sz val="10"/>
        <rFont val="WenQuanYi Zen Hei"/>
        <family val="2"/>
      </rPr>
      <t xml:space="preserve">이 창당 후 첫 총선에 대선 후보를 내기로 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전당대회 기간</t>
    </r>
    <r>
      <rPr>
        <sz val="10"/>
        <rFont val="Noto Sans CJK SC"/>
        <family val="2"/>
        <charset val="1"/>
      </rPr>
      <t xml:space="preserve">(7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20</t>
    </r>
    <r>
      <rPr>
        <sz val="10"/>
        <rFont val="WenQuanYi Zen Hei"/>
        <family val="2"/>
      </rPr>
      <t xml:space="preserve">일</t>
    </r>
    <r>
      <rPr>
        <sz val="10"/>
        <rFont val="Noto Sans CJK SC"/>
        <family val="2"/>
        <charset val="1"/>
      </rPr>
      <t xml:space="preserve">~8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일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에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을 대통령 후보로 확정하고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연합 정당에서 부통령 러닝메이트를 영입한다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</si>
  <si>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전당대회</t>
    </r>
    <r>
      <rPr>
        <sz val="10"/>
        <rFont val="Noto Sans CJK SC"/>
        <family val="2"/>
        <charset val="1"/>
      </rPr>
      <t xml:space="preserve">(convenção partidária), </t>
    </r>
    <r>
      <rPr>
        <sz val="10"/>
        <rFont val="WenQuanYi Zen Hei"/>
        <family val="2"/>
      </rPr>
      <t xml:space="preserve">러닝메이트</t>
    </r>
    <r>
      <rPr>
        <sz val="10"/>
        <rFont val="Noto Sans CJK SC"/>
        <family val="2"/>
        <charset val="1"/>
      </rPr>
      <t xml:space="preserve">(chapa), </t>
    </r>
    <r>
      <rPr>
        <sz val="10"/>
        <rFont val="WenQuanYi Zen Hei"/>
        <family val="2"/>
      </rPr>
      <t xml:space="preserve">정당 등록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당적 보유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개월 요건</t>
    </r>
  </si>
  <si>
    <t xml:space="preserve">Rafael, Juliana, Zumbi</t>
  </si>
  <si>
    <t xml:space="preserve">A convenção e o registro</t>
  </si>
  <si>
    <t xml:space="preserve">전당대회와 후보 등록</t>
  </si>
  <si>
    <r>
      <rPr>
        <sz val="10"/>
        <rFont val="WenQuanYi Zen Hei"/>
        <family val="2"/>
      </rPr>
      <t xml:space="preserve">전당대회에서 </t>
    </r>
    <r>
      <rPr>
        <sz val="10"/>
        <rFont val="Noto Sans CJK SC"/>
        <family val="2"/>
        <charset val="1"/>
      </rPr>
      <t xml:space="preserve">Rafael–</t>
    </r>
    <r>
      <rPr>
        <sz val="10"/>
        <rFont val="WenQuanYi Zen Hei"/>
        <family val="2"/>
      </rPr>
      <t xml:space="preserve">러닝메이트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조합이 확정되고</t>
    </r>
    <r>
      <rPr>
        <sz val="10"/>
        <rFont val="Noto Sans CJK SC"/>
        <family val="2"/>
        <charset val="1"/>
      </rPr>
      <t xml:space="preserve">, 8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15</t>
    </r>
    <r>
      <rPr>
        <sz val="10"/>
        <rFont val="WenQuanYi Zen Hei"/>
        <family val="2"/>
      </rPr>
      <t xml:space="preserve">일까지 선거법원</t>
    </r>
    <r>
      <rPr>
        <sz val="10"/>
        <rFont val="Noto Sans CJK SC"/>
        <family val="2"/>
        <charset val="1"/>
      </rPr>
      <t xml:space="preserve">(TSE)</t>
    </r>
    <r>
      <rPr>
        <sz val="10"/>
        <rFont val="WenQuanYi Zen Hei"/>
        <family val="2"/>
      </rPr>
      <t xml:space="preserve">에 후보를 등록한다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클린기록법 심사와 재산 신고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</si>
  <si>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후보 등록</t>
    </r>
    <r>
      <rPr>
        <sz val="10"/>
        <rFont val="Noto Sans CJK SC"/>
        <family val="2"/>
        <charset val="1"/>
      </rPr>
      <t xml:space="preserve">(8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15</t>
    </r>
    <r>
      <rPr>
        <sz val="10"/>
        <rFont val="WenQuanYi Zen Hei"/>
        <family val="2"/>
      </rPr>
      <t xml:space="preserve">일 마감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피선거권 결격 심사</t>
    </r>
    <r>
      <rPr>
        <sz val="10"/>
        <rFont val="Noto Sans CJK SC"/>
        <family val="2"/>
        <charset val="1"/>
      </rPr>
      <t xml:space="preserve">(LC 64/1990·</t>
    </r>
    <r>
      <rPr>
        <sz val="10"/>
        <rFont val="WenQuanYi Zen Hei"/>
        <family val="2"/>
      </rPr>
      <t xml:space="preserve">클린기록법 </t>
    </r>
    <r>
      <rPr>
        <sz val="10"/>
        <rFont val="Noto Sans CJK SC"/>
        <family val="2"/>
        <charset val="1"/>
      </rPr>
      <t xml:space="preserve">LC 135/2010)</t>
    </r>
  </si>
  <si>
    <t xml:space="preserve">Juliana, Zumbi, Marta</t>
  </si>
  <si>
    <t xml:space="preserve">Quarenta e cinco dias</t>
  </si>
  <si>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일의 유세</t>
    </r>
  </si>
  <si>
    <r>
      <rPr>
        <sz val="10"/>
        <rFont val="WenQuanYi Zen Hei"/>
        <family val="2"/>
      </rPr>
      <t xml:space="preserve">전국 순회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북동부 풍력단지 옆 킬롬부 공동체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가뭄 지역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의사가 없는 내륙 마을</t>
    </r>
    <r>
      <rPr>
        <sz val="10"/>
        <rFont val="Noto Sans CJK SC"/>
        <family val="2"/>
        <charset val="1"/>
      </rPr>
      <t xml:space="preserve">. Zumbi</t>
    </r>
    <r>
      <rPr>
        <sz val="10"/>
        <rFont val="WenQuanYi Zen Hei"/>
        <family val="2"/>
      </rPr>
      <t xml:space="preserve">의 로지스틱스</t>
    </r>
    <r>
      <rPr>
        <sz val="10"/>
        <rFont val="Noto Sans CJK SC"/>
        <family val="2"/>
        <charset val="1"/>
      </rPr>
      <t xml:space="preserve">, Machado</t>
    </r>
    <r>
      <rPr>
        <sz val="10"/>
        <rFont val="WenQuanYi Zen Hei"/>
        <family val="2"/>
      </rPr>
      <t xml:space="preserve">의 문구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무료 선거방송 시간은 의석 비례라 </t>
    </r>
    <r>
      <rPr>
        <sz val="10"/>
        <rFont val="Noto Sans CJK SC"/>
        <family val="2"/>
        <charset val="1"/>
      </rPr>
      <t xml:space="preserve">Casa Comum</t>
    </r>
    <r>
      <rPr>
        <sz val="10"/>
        <rFont val="WenQuanYi Zen Hei"/>
        <family val="2"/>
      </rPr>
      <t xml:space="preserve">은 몇 초짜리다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</si>
  <si>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공식 선거운동 </t>
    </r>
    <r>
      <rPr>
        <sz val="10"/>
        <rFont val="Noto Sans CJK SC"/>
        <family val="2"/>
        <charset val="1"/>
      </rPr>
      <t xml:space="preserve">45</t>
    </r>
    <r>
      <rPr>
        <sz val="10"/>
        <rFont val="WenQuanYi Zen Hei"/>
        <family val="2"/>
      </rPr>
      <t xml:space="preserve">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무료 선거방송</t>
    </r>
    <r>
      <rPr>
        <sz val="10"/>
        <rFont val="Noto Sans CJK SC"/>
        <family val="2"/>
        <charset val="1"/>
      </rPr>
      <t xml:space="preserve">(HGPE) </t>
    </r>
    <r>
      <rPr>
        <sz val="10"/>
        <rFont val="WenQuanYi Zen Hei"/>
        <family val="2"/>
      </rPr>
      <t xml:space="preserve">의석 비례 배분</t>
    </r>
  </si>
  <si>
    <t xml:space="preserve">Zumbi, Machado</t>
  </si>
  <si>
    <t xml:space="preserve">N5·S3·S4</t>
  </si>
  <si>
    <t xml:space="preserve">O debate</t>
  </si>
  <si>
    <r>
      <rPr>
        <sz val="10"/>
        <rFont val="Arial"/>
        <family val="0"/>
        <charset val="1"/>
      </rPr>
      <t xml:space="preserve">TV </t>
    </r>
    <r>
      <rPr>
        <sz val="10"/>
        <rFont val="WenQuanYi Zen Hei"/>
        <family val="2"/>
      </rPr>
      <t xml:space="preserve">토론</t>
    </r>
  </si>
  <si>
    <r>
      <rPr>
        <sz val="10"/>
        <rFont val="WenQuanYi Zen Hei"/>
        <family val="2"/>
      </rPr>
      <t xml:space="preserve">하원 의석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석 미만 정당은 초청 의무가 없어 </t>
    </r>
    <r>
      <rPr>
        <sz val="10"/>
        <rFont val="Arial"/>
        <family val="0"/>
        <charset val="1"/>
      </rPr>
      <t xml:space="preserve">Casa Comum</t>
    </r>
    <r>
      <rPr>
        <sz val="10"/>
        <rFont val="WenQuanYi Zen Hei"/>
        <family val="2"/>
      </rPr>
      <t xml:space="preserve">은 지지율이 뛰고서야 토론에 초청된다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가 준비한 질문 목록이 승부를 가른다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</si>
  <si>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TV </t>
    </r>
    <r>
      <rPr>
        <sz val="10"/>
        <rFont val="WenQuanYi Zen Hei"/>
        <family val="2"/>
      </rPr>
      <t xml:space="preserve">토론 초청 규칙</t>
    </r>
    <r>
      <rPr>
        <sz val="10"/>
        <rFont val="Noto Sans CJK SC"/>
        <family val="2"/>
        <charset val="1"/>
      </rPr>
      <t xml:space="preserve">(Lei 9.504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46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석 이상 정당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방송사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후보 진영 합의</t>
    </r>
  </si>
  <si>
    <t xml:space="preserve">Rafael, Larissa, Isabel</t>
  </si>
  <si>
    <t xml:space="preserve">N4·S2·N3·P2·S1</t>
  </si>
  <si>
    <t xml:space="preserve">Primeiro turno</t>
  </si>
  <si>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투표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</si>
  <si>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월 첫 일요일</t>
    </r>
    <r>
      <rPr>
        <sz val="10"/>
        <rFont val="Arial"/>
        <family val="0"/>
        <charset val="1"/>
      </rPr>
      <t xml:space="preserve">. UCN </t>
    </r>
    <r>
      <rPr>
        <sz val="10"/>
        <rFont val="WenQuanYi Zen Hei"/>
        <family val="2"/>
      </rPr>
      <t xml:space="preserve">후보 </t>
    </r>
    <r>
      <rPr>
        <sz val="10"/>
        <rFont val="Arial"/>
        <family val="0"/>
        <charset val="1"/>
      </rPr>
      <t xml:space="preserve">38.2%, Rafael 30.1%</t>
    </r>
    <r>
      <rPr>
        <sz val="10"/>
        <rFont val="WenQuanYi Zen Hei"/>
        <family val="2"/>
      </rPr>
      <t xml:space="preserve">로 과반 후보가 없어 결선으로 간다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 수치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같은 날 치른 하원 선거에서 </t>
    </r>
    <r>
      <rPr>
        <sz val="10"/>
        <rFont val="Arial"/>
        <family val="0"/>
        <charset val="1"/>
      </rPr>
      <t xml:space="preserve">Casa Comum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48</t>
    </r>
    <r>
      <rPr>
        <sz val="10"/>
        <rFont val="WenQuanYi Zen Hei"/>
        <family val="2"/>
      </rPr>
      <t xml:space="preserve">석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</si>
  <si>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대통령 선출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유효표 과반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미달 시 상위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인 결선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하원 </t>
    </r>
    <r>
      <rPr>
        <sz val="10"/>
        <rFont val="Arial"/>
        <family val="0"/>
        <charset val="1"/>
      </rPr>
      <t xml:space="preserve">513</t>
    </r>
    <r>
      <rPr>
        <sz val="10"/>
        <rFont val="WenQuanYi Zen Hei"/>
        <family val="2"/>
      </rPr>
      <t xml:space="preserve">석 동시 선거</t>
    </r>
  </si>
  <si>
    <t xml:space="preserve">A bancada</t>
  </si>
  <si>
    <t xml:space="preserve">새 의원단</t>
  </si>
  <si>
    <r>
      <rPr>
        <sz val="10"/>
        <rFont val="WenQuanYi Zen Hei"/>
        <family val="2"/>
      </rPr>
      <t xml:space="preserve">처음 연방의원이 된 </t>
    </r>
    <r>
      <rPr>
        <sz val="10"/>
        <rFont val="Arial"/>
        <family val="0"/>
        <charset val="1"/>
      </rPr>
      <t xml:space="preserve">48</t>
    </r>
    <r>
      <rPr>
        <sz val="10"/>
        <rFont val="WenQuanYi Zen Hei"/>
        <family val="2"/>
      </rPr>
      <t xml:space="preserve">명의 얼굴들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정당 존속 요건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득표 기준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넘었는지 계산하는 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정당기금과 방송 시간이 여기에 걸려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</si>
  <si>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정당 성과 기준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개정 </t>
    </r>
    <r>
      <rPr>
        <sz val="10"/>
        <rFont val="Noto Sans CJK SC"/>
        <family val="2"/>
        <charset val="1"/>
      </rPr>
      <t xml:space="preserve">97/2017): </t>
    </r>
    <r>
      <rPr>
        <sz val="10"/>
        <rFont val="WenQuanYi Zen Hei"/>
        <family val="2"/>
      </rPr>
      <t xml:space="preserve">미달 시 정당기금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방송 시간 상실</t>
    </r>
  </si>
  <si>
    <t xml:space="preserve">Bruno, Juliana</t>
  </si>
  <si>
    <t xml:space="preserve">O apoio</t>
  </si>
  <si>
    <t xml:space="preserve">결선 지지 협상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</si>
  <si>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위를 한 </t>
    </r>
    <r>
      <rPr>
        <sz val="10"/>
        <rFont val="Arial"/>
        <family val="0"/>
        <charset val="1"/>
      </rPr>
      <t xml:space="preserve">PPS </t>
    </r>
    <r>
      <rPr>
        <sz val="10"/>
        <rFont val="WenQuanYi Zen Hei"/>
        <family val="2"/>
      </rPr>
      <t xml:space="preserve">후보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결선 지지 협상</t>
    </r>
    <r>
      <rPr>
        <sz val="10"/>
        <rFont val="Arial"/>
        <family val="0"/>
        <charset val="1"/>
      </rPr>
      <t xml:space="preserve">. Dom Pedro: «No meu tempo, eu tinha o Poder Moderador. Os senhores têm o Centrão.»</t>
    </r>
  </si>
  <si>
    <r>
      <rPr>
        <sz val="10"/>
        <rFont val="WenQuanYi Zen Hei"/>
        <family val="2"/>
      </rPr>
      <t xml:space="preserve">결선 지지 선언</t>
    </r>
    <r>
      <rPr>
        <sz val="10"/>
        <rFont val="Noto Sans CJK SC"/>
        <family val="2"/>
        <charset val="1"/>
      </rPr>
      <t xml:space="preserve">(apoio no segundo turno), </t>
    </r>
    <r>
      <rPr>
        <sz val="10"/>
        <rFont val="WenQuanYi Zen Hei"/>
        <family val="2"/>
      </rPr>
      <t xml:space="preserve">정당 간 합의</t>
    </r>
  </si>
  <si>
    <t xml:space="preserve">Rafael, Dom Pedro</t>
  </si>
  <si>
    <t xml:space="preserve">O vídeo falso</t>
  </si>
  <si>
    <t xml:space="preserve">가짜 영상</t>
  </si>
  <si>
    <r>
      <rPr>
        <sz val="10"/>
        <rFont val="WenQuanYi Zen Hei"/>
        <family val="2"/>
      </rPr>
      <t xml:space="preserve">결선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주 전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의 딥페이크 영상이 퍼진다</t>
    </r>
    <r>
      <rPr>
        <sz val="10"/>
        <rFont val="Arial"/>
        <family val="0"/>
        <charset val="1"/>
      </rPr>
      <t xml:space="preserve">. Dumont</t>
    </r>
    <r>
      <rPr>
        <sz val="10"/>
        <rFont val="WenQuanYi Zen Hei"/>
        <family val="2"/>
      </rPr>
      <t xml:space="preserve">이 영상의 조작 흔적을 짚어 내고 선거법원에 삭제를 청구한다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의 해설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</si>
  <si>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선거에서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딥페이크 금지</t>
    </r>
    <r>
      <rPr>
        <sz val="10"/>
        <rFont val="Arial"/>
        <family val="0"/>
        <charset val="1"/>
      </rPr>
      <t xml:space="preserve">(TSE </t>
    </r>
    <r>
      <rPr>
        <sz val="10"/>
        <rFont val="WenQuanYi Zen Hei"/>
        <family val="2"/>
      </rPr>
      <t xml:space="preserve">결의 </t>
    </r>
    <r>
      <rPr>
        <sz val="10"/>
        <rFont val="Arial"/>
        <family val="0"/>
        <charset val="1"/>
      </rPr>
      <t xml:space="preserve">2024), </t>
    </r>
    <r>
      <rPr>
        <sz val="10"/>
        <rFont val="WenQuanYi Zen Hei"/>
        <family val="2"/>
      </rPr>
      <t xml:space="preserve">삭제 청구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반론권</t>
    </r>
  </si>
  <si>
    <t xml:space="preserve">Dumont, Dom Pedro, Rafael</t>
  </si>
  <si>
    <t xml:space="preserve">Reconciliação</t>
  </si>
  <si>
    <t xml:space="preserve">화해</t>
  </si>
  <si>
    <r>
      <rPr>
        <sz val="10"/>
        <rFont val="WenQuanYi Zen Hei"/>
        <family val="2"/>
      </rPr>
      <t xml:space="preserve">결선 운동의 피로 속에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Juliana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부의 해고 협상 이후 처음으로 마주 앉는다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해고한 쪽과 해고당한 쪽의 화해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</si>
  <si>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화해 표현</t>
    </r>
  </si>
  <si>
    <t xml:space="preserve">Edson, Juliana, Rafael</t>
  </si>
  <si>
    <t xml:space="preserve">A reta final</t>
  </si>
  <si>
    <t xml:space="preserve">마지막 한 주</t>
  </si>
  <si>
    <r>
      <rPr>
        <sz val="10"/>
        <rFont val="WenQuanYi Zen Hei"/>
        <family val="2"/>
      </rPr>
      <t xml:space="preserve">여론조사는 오차 범위 안의 초접전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지친 캠프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마지막 토론 준비</t>
    </r>
    <r>
      <rPr>
        <sz val="10"/>
        <rFont val="Noto Sans CJK SC"/>
        <family val="2"/>
        <charset val="1"/>
      </rPr>
      <t xml:space="preserve">. Marta</t>
    </r>
    <r>
      <rPr>
        <sz val="10"/>
        <rFont val="WenQuanYi Zen Hei"/>
        <family val="2"/>
      </rPr>
      <t xml:space="preserve">의 위로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</si>
  <si>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여론조사 공표 규칙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등록 의무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마지막 토론</t>
    </r>
  </si>
  <si>
    <t xml:space="preserve">Marta, Juliana</t>
  </si>
  <si>
    <t xml:space="preserve">Segundo turno</t>
  </si>
  <si>
    <t xml:space="preserve">결선 투표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</si>
  <si>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월 마지막 일요일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개표율 </t>
    </r>
    <r>
      <rPr>
        <sz val="10"/>
        <rFont val="Arial"/>
        <family val="0"/>
        <charset val="1"/>
      </rPr>
      <t xml:space="preserve">90%</t>
    </r>
    <r>
      <rPr>
        <sz val="10"/>
        <rFont val="WenQuanYi Zen Hei"/>
        <family val="2"/>
      </rPr>
      <t xml:space="preserve">까지 뒤지다 마지막 도시들의 표가 들어오며 역전한다</t>
    </r>
    <r>
      <rPr>
        <sz val="10"/>
        <rFont val="Arial"/>
        <family val="0"/>
        <charset val="1"/>
      </rPr>
      <t xml:space="preserve">. Rafael 50.8%(</t>
    </r>
    <r>
      <rPr>
        <sz val="10"/>
        <rFont val="WenQuanYi Zen Hei"/>
        <family val="2"/>
      </rPr>
      <t xml:space="preserve">가상 수치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</si>
  <si>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결선 투표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전자 개표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선거법원 결과 발표</t>
    </r>
  </si>
  <si>
    <t xml:space="preserve">A transição</t>
  </si>
  <si>
    <t xml:space="preserve">정권 인수</t>
  </si>
  <si>
    <r>
      <rPr>
        <sz val="10"/>
        <rFont val="WenQuanYi Zen Hei"/>
        <family val="2"/>
      </rPr>
      <t xml:space="preserve">정권 인수팀이 꾸려지고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의회 과반을 위해 중도 연합</t>
    </r>
    <r>
      <rPr>
        <sz val="10"/>
        <rFont val="Arial"/>
        <family val="0"/>
        <charset val="1"/>
      </rPr>
      <t xml:space="preserve">(PCN)·</t>
    </r>
    <r>
      <rPr>
        <sz val="10"/>
        <rFont val="WenQuanYi Zen Hei"/>
        <family val="2"/>
      </rPr>
      <t xml:space="preserve">지역정당과 장관직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정책 조건을 협상한다</t>
    </r>
    <r>
      <rPr>
        <sz val="10"/>
        <rFont val="Arial"/>
        <family val="0"/>
        <charset val="1"/>
      </rPr>
      <t xml:space="preserve">. TB</t>
    </r>
    <r>
      <rPr>
        <sz val="10"/>
        <rFont val="WenQuanYi Zen Hei"/>
        <family val="2"/>
      </rPr>
      <t xml:space="preserve">는 주 정부 부채 재협상을 요구한다</t>
    </r>
    <r>
      <rPr>
        <sz val="10"/>
        <rFont val="Arial"/>
        <family val="0"/>
        <charset val="1"/>
      </rPr>
      <t xml:space="preserve">. Sérgio·Bruno</t>
    </r>
    <r>
      <rPr>
        <sz val="10"/>
        <rFont val="WenQuanYi Zen Hei"/>
        <family val="2"/>
      </rPr>
      <t xml:space="preserve">가 비용을 추산한다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</si>
  <si>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정권 인수팀</t>
    </r>
    <r>
      <rPr>
        <sz val="10"/>
        <rFont val="Noto Sans CJK SC"/>
        <family val="2"/>
        <charset val="1"/>
      </rPr>
      <t xml:space="preserve">(Lei 10.609/2002), </t>
    </r>
    <r>
      <rPr>
        <sz val="10"/>
        <rFont val="WenQuanYi Zen Hei"/>
        <family val="2"/>
      </rPr>
      <t xml:space="preserve">연립 대통령제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장관직 배분</t>
    </r>
  </si>
  <si>
    <t xml:space="preserve">Juliana, Bruno, Sérgio</t>
  </si>
  <si>
    <t xml:space="preserve">P2·P3·P1</t>
  </si>
  <si>
    <t xml:space="preserve">Cinco de janeiro</t>
  </si>
  <si>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일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</si>
  <si>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 선거법원의 당선증 수여에 이어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일 취임</t>
    </r>
    <r>
      <rPr>
        <sz val="10"/>
        <rFont val="Arial"/>
        <family val="0"/>
        <charset val="1"/>
      </rPr>
      <t xml:space="preserve">. Rafael</t>
    </r>
    <r>
      <rPr>
        <sz val="10"/>
        <rFont val="WenQuanYi Zen Hei"/>
        <family val="2"/>
      </rPr>
      <t xml:space="preserve">이 연방의회 합동회의에서 헌법 선서를 낭독하고</t>
    </r>
    <r>
      <rPr>
        <sz val="10"/>
        <rFont val="Arial"/>
        <family val="0"/>
        <charset val="1"/>
      </rPr>
      <t xml:space="preserve">, Planalto </t>
    </r>
    <r>
      <rPr>
        <sz val="10"/>
        <rFont val="WenQuanYi Zen Hei"/>
        <family val="2"/>
      </rPr>
      <t xml:space="preserve">경사로를 올라 대통령 휘장</t>
    </r>
    <r>
      <rPr>
        <sz val="10"/>
        <rFont val="Arial"/>
        <family val="0"/>
        <charset val="1"/>
      </rPr>
      <t xml:space="preserve">(faixa)</t>
    </r>
    <r>
      <rPr>
        <sz val="10"/>
        <rFont val="WenQuanYi Zen Hei"/>
        <family val="2"/>
      </rPr>
      <t xml:space="preserve">을 받는다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</si>
  <si>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당선증 수여</t>
    </r>
    <r>
      <rPr>
        <sz val="10"/>
        <rFont val="Arial"/>
        <family val="0"/>
        <charset val="1"/>
      </rPr>
      <t xml:space="preserve">(diplomação), </t>
    </r>
    <r>
      <rPr>
        <sz val="10"/>
        <rFont val="WenQuanYi Zen Hei"/>
        <family val="2"/>
      </rPr>
      <t xml:space="preserve">취임 선서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78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1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일 취임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개정 </t>
    </r>
    <r>
      <rPr>
        <sz val="10"/>
        <rFont val="Arial"/>
        <family val="0"/>
        <charset val="1"/>
      </rPr>
      <t xml:space="preserve">111/2021)</t>
    </r>
  </si>
  <si>
    <r>
      <rPr>
        <sz val="10"/>
        <rFont val="Arial"/>
        <family val="0"/>
        <charset val="1"/>
      </rPr>
      <t xml:space="preserve">Rafael, </t>
    </r>
    <r>
      <rPr>
        <sz val="10"/>
        <rFont val="WenQuanYi Zen Hei"/>
        <family val="2"/>
      </rPr>
      <t xml:space="preserve">연방의회 의장</t>
    </r>
  </si>
  <si>
    <t xml:space="preserve">O primeiro obstáculo</t>
  </si>
  <si>
    <t xml:space="preserve">첫 번째 벽</t>
  </si>
  <si>
    <r>
      <rPr>
        <sz val="10"/>
        <rFont val="Noto Sans CJK SC"/>
        <family val="2"/>
        <charset val="1"/>
      </rPr>
      <t xml:space="preserve">Planalto</t>
    </r>
    <r>
      <rPr>
        <sz val="10"/>
        <rFont val="WenQuanYi Zen Hei"/>
        <family val="2"/>
      </rPr>
      <t xml:space="preserve">의 첫 장관회의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대통령령</t>
    </r>
    <r>
      <rPr>
        <sz val="10"/>
        <rFont val="Noto Sans CJK SC"/>
        <family val="2"/>
        <charset val="1"/>
      </rPr>
      <t xml:space="preserve">(decreto)</t>
    </r>
    <r>
      <rPr>
        <sz val="10"/>
        <rFont val="WenQuanYi Zen Hei"/>
        <family val="2"/>
      </rPr>
      <t xml:space="preserve">으로 장관을 임명한다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첫날의 어색함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주거운동의 임대료 시위가 삼권광장 앞까지 온다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목요일 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장관들은 상파울루행 비행기에 오른다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</si>
  <si>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장관 임명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I), </t>
    </r>
    <r>
      <rPr>
        <sz val="10"/>
        <rFont val="WenQuanYi Zen Hei"/>
        <family val="2"/>
      </rPr>
      <t xml:space="preserve">장관회의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대통령실 직제</t>
    </r>
  </si>
  <si>
    <t xml:space="preserve">Rafael, Juliana</t>
  </si>
  <si>
    <t xml:space="preserve">P1·E1</t>
  </si>
  <si>
    <t xml:space="preserve">Donos invisíveis</t>
  </si>
  <si>
    <t xml:space="preserve">보이지 않는 집주인들</t>
  </si>
  <si>
    <r>
      <rPr>
        <sz val="10"/>
        <rFont val="Arial"/>
        <family val="0"/>
        <charset val="1"/>
      </rPr>
      <t xml:space="preserve">Bruno·Sérgio</t>
    </r>
    <r>
      <rPr>
        <sz val="10"/>
        <rFont val="WenQuanYi Zen Hei"/>
        <family val="2"/>
      </rPr>
      <t xml:space="preserve">가 부동산 펀드의 도심 건물 매입을 펀드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역외법인 구조로 추적한다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실소유자</t>
    </r>
    <r>
      <rPr>
        <sz val="10"/>
        <rFont val="Arial"/>
        <family val="0"/>
        <charset val="1"/>
      </rPr>
      <t xml:space="preserve">(beneficiário final)</t>
    </r>
    <r>
      <rPr>
        <sz val="10"/>
        <rFont val="WenQuanYi Zen Hei"/>
        <family val="2"/>
      </rPr>
      <t xml:space="preserve">를 찾는다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</si>
  <si>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실소유자 추적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자금세탁방지법</t>
    </r>
    <r>
      <rPr>
        <sz val="10"/>
        <rFont val="Noto Sans CJK SC"/>
        <family val="2"/>
        <charset val="1"/>
      </rPr>
      <t xml:space="preserve">(Lei 9.613/1998), </t>
    </r>
    <r>
      <rPr>
        <sz val="10"/>
        <rFont val="WenQuanYi Zen Hei"/>
        <family val="2"/>
      </rPr>
      <t xml:space="preserve">금융정보분석원</t>
    </r>
    <r>
      <rPr>
        <sz val="10"/>
        <rFont val="Noto Sans CJK SC"/>
        <family val="2"/>
        <charset val="1"/>
      </rPr>
      <t xml:space="preserve">(COAF), </t>
    </r>
    <r>
      <rPr>
        <sz val="10"/>
        <rFont val="WenQuanYi Zen Hei"/>
        <family val="2"/>
      </rPr>
      <t xml:space="preserve">상업등기소</t>
    </r>
    <r>
      <rPr>
        <sz val="10"/>
        <rFont val="Noto Sans CJK SC"/>
        <family val="2"/>
        <charset val="1"/>
      </rPr>
      <t xml:space="preserve">(JUCESP)</t>
    </r>
  </si>
  <si>
    <t xml:space="preserve">A lei da moradia</t>
  </si>
  <si>
    <t xml:space="preserve">주거법</t>
  </si>
  <si>
    <r>
      <rPr>
        <sz val="10"/>
        <rFont val="WenQuanYi Zen Hei"/>
        <family val="2"/>
      </rPr>
      <t xml:space="preserve">임대차법을 개정해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의 옛 조항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공사 사유 회수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의 남용을 막고 공공임대를 늘린다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그러나 도시계획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용도지역은 시 권한이라 </t>
    </r>
    <r>
      <rPr>
        <sz val="10"/>
        <rFont val="Noto Sans CJK SC"/>
        <family val="2"/>
        <charset val="1"/>
      </rPr>
      <t xml:space="preserve">UCN </t>
    </r>
    <r>
      <rPr>
        <sz val="10"/>
        <rFont val="WenQuanYi Zen Hei"/>
        <family val="2"/>
      </rPr>
      <t xml:space="preserve">상파울루 시장이 연방대법원</t>
    </r>
    <r>
      <rPr>
        <sz val="10"/>
        <rFont val="Noto Sans CJK SC"/>
        <family val="2"/>
        <charset val="1"/>
      </rPr>
      <t xml:space="preserve">(STF) </t>
    </r>
    <r>
      <rPr>
        <sz val="10"/>
        <rFont val="WenQuanYi Zen Hei"/>
        <family val="2"/>
      </rPr>
      <t xml:space="preserve">위헌 소송을 예고한다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</si>
  <si>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주거는 사회권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도시계획은 시 권한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30·182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도시법</t>
    </r>
    <r>
      <rPr>
        <sz val="10"/>
        <rFont val="Noto Sans CJK SC"/>
        <family val="2"/>
        <charset val="1"/>
      </rPr>
      <t xml:space="preserve">(Lei 10.257/2001), </t>
    </r>
    <r>
      <rPr>
        <sz val="10"/>
        <rFont val="WenQuanYi Zen Hei"/>
        <family val="2"/>
      </rPr>
      <t xml:space="preserve">위헌소송</t>
    </r>
    <r>
      <rPr>
        <sz val="10"/>
        <rFont val="Noto Sans CJK SC"/>
        <family val="2"/>
        <charset val="1"/>
      </rPr>
      <t xml:space="preserve">(ADI)</t>
    </r>
  </si>
  <si>
    <t xml:space="preserve">Rafael, Freire</t>
  </si>
  <si>
    <t xml:space="preserve">Colapso na emergência</t>
  </si>
  <si>
    <t xml:space="preserve">응급실 마비</t>
  </si>
  <si>
    <r>
      <rPr>
        <sz val="10"/>
        <rFont val="WenQuanYi Zen Hei"/>
        <family val="2"/>
      </rPr>
      <t xml:space="preserve">폭염이 겹쳐 고령 환자가 몰린 응급실이 마비된다</t>
    </r>
    <r>
      <rPr>
        <sz val="10"/>
        <rFont val="Noto Sans CJK SC"/>
        <family val="2"/>
        <charset val="1"/>
      </rPr>
      <t xml:space="preserve">. Camila</t>
    </r>
    <r>
      <rPr>
        <sz val="10"/>
        <rFont val="WenQuanYi Zen Hei"/>
        <family val="2"/>
      </rPr>
      <t xml:space="preserve">가 현장으로 달려가지만 병원 운영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위탁 계약은 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 권한임을 다시 배운다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연방이 쓸 수 있는 수단은 재원 조건부 지원</t>
    </r>
    <r>
      <rPr>
        <sz val="10"/>
        <rFont val="Noto Sans CJK SC"/>
        <family val="2"/>
        <charset val="1"/>
      </rPr>
      <t xml:space="preserve">, 3</t>
    </r>
    <r>
      <rPr>
        <sz val="10"/>
        <rFont val="WenQuanYi Zen Hei"/>
        <family val="2"/>
      </rPr>
      <t xml:space="preserve">자 협의체</t>
    </r>
    <r>
      <rPr>
        <sz val="10"/>
        <rFont val="Noto Sans CJK SC"/>
        <family val="2"/>
        <charset val="1"/>
      </rPr>
      <t xml:space="preserve">(CIT), </t>
    </r>
    <r>
      <rPr>
        <sz val="10"/>
        <rFont val="WenQuanYi Zen Hei"/>
        <family val="2"/>
      </rPr>
      <t xml:space="preserve">의사 파견 프로그램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</si>
  <si>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SUS 3</t>
    </r>
    <r>
      <rPr>
        <sz val="10"/>
        <rFont val="WenQuanYi Zen Hei"/>
        <family val="2"/>
      </rPr>
      <t xml:space="preserve">자 분담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198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Lei 8.080/1990), 3</t>
    </r>
    <r>
      <rPr>
        <sz val="10"/>
        <rFont val="WenQuanYi Zen Hei"/>
        <family val="2"/>
      </rPr>
      <t xml:space="preserve">자 협의체</t>
    </r>
    <r>
      <rPr>
        <sz val="10"/>
        <rFont val="Noto Sans CJK SC"/>
        <family val="2"/>
        <charset val="1"/>
      </rPr>
      <t xml:space="preserve">(CIT), </t>
    </r>
    <r>
      <rPr>
        <sz val="10"/>
        <rFont val="WenQuanYi Zen Hei"/>
        <family val="2"/>
      </rPr>
      <t xml:space="preserve">의사 파견</t>
    </r>
    <r>
      <rPr>
        <sz val="10"/>
        <rFont val="Noto Sans CJK SC"/>
        <family val="2"/>
        <charset val="1"/>
      </rPr>
      <t xml:space="preserve">(Mais Médicos, Lei 12.871/2013)</t>
    </r>
  </si>
  <si>
    <t xml:space="preserve">Camila, Larissa, Isabel, Rafael</t>
  </si>
  <si>
    <t xml:space="preserve">S3·S4</t>
  </si>
  <si>
    <t xml:space="preserve">A partilha</t>
  </si>
  <si>
    <t xml:space="preserve">분담</t>
  </si>
  <si>
    <r>
      <rPr>
        <sz val="10"/>
        <rFont val="WenQuanYi Zen Hei"/>
        <family val="2"/>
      </rPr>
      <t xml:space="preserve">북부 국경 주의 이주민 쉼터가 한계에 달하고 주들이 서로 떠넘긴다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연방이 자발적 이주 분산</t>
    </r>
    <r>
      <rPr>
        <sz val="10"/>
        <rFont val="Noto Sans CJK SC"/>
        <family val="2"/>
        <charset val="1"/>
      </rPr>
      <t xml:space="preserve">(interiorização)</t>
    </r>
    <r>
      <rPr>
        <sz val="10"/>
        <rFont val="WenQuanYi Zen Hei"/>
        <family val="2"/>
      </rPr>
      <t xml:space="preserve">을 추진하자 </t>
    </r>
    <r>
      <rPr>
        <sz val="10"/>
        <rFont val="Noto Sans CJK SC"/>
        <family val="2"/>
        <charset val="1"/>
      </rPr>
      <t xml:space="preserve">Marta</t>
    </r>
    <r>
      <rPr>
        <sz val="10"/>
        <rFont val="WenQuanYi Zen Hei"/>
        <family val="2"/>
      </rPr>
      <t xml:space="preserve">가 이탈리아 이민자들이 세운 </t>
    </r>
    <r>
      <rPr>
        <sz val="10"/>
        <rFont val="Noto Sans CJK SC"/>
        <family val="2"/>
        <charset val="1"/>
      </rPr>
      <t xml:space="preserve">Bixiga</t>
    </r>
    <r>
      <rPr>
        <sz val="10"/>
        <rFont val="WenQuanYi Zen Hei"/>
        <family val="2"/>
      </rPr>
      <t xml:space="preserve">의 이야기를 꺼낸다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</si>
  <si>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이민법</t>
    </r>
    <r>
      <rPr>
        <sz val="10"/>
        <rFont val="Noto Sans CJK SC"/>
        <family val="2"/>
        <charset val="1"/>
      </rPr>
      <t xml:space="preserve">(Lei 13.445/2017), </t>
    </r>
    <r>
      <rPr>
        <sz val="10"/>
        <rFont val="WenQuanYi Zen Hei"/>
        <family val="2"/>
      </rPr>
      <t xml:space="preserve">난민법</t>
    </r>
    <r>
      <rPr>
        <sz val="10"/>
        <rFont val="Noto Sans CJK SC"/>
        <family val="2"/>
        <charset val="1"/>
      </rPr>
      <t xml:space="preserve">(Lei 9.474/1997), </t>
    </r>
    <r>
      <rPr>
        <sz val="10"/>
        <rFont val="WenQuanYi Zen Hei"/>
        <family val="2"/>
      </rPr>
      <t xml:space="preserve">국경 수용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분산 정책</t>
    </r>
    <r>
      <rPr>
        <sz val="10"/>
        <rFont val="Noto Sans CJK SC"/>
        <family val="2"/>
        <charset val="1"/>
      </rPr>
      <t xml:space="preserve">(Operação Acolhida)</t>
    </r>
  </si>
  <si>
    <t xml:space="preserve">Rafael, Marta, Camila, Edson</t>
  </si>
  <si>
    <t xml:space="preserve">A voz da juventude</t>
  </si>
  <si>
    <t xml:space="preserve">청년들의 목소리</t>
  </si>
  <si>
    <r>
      <rPr>
        <sz val="10"/>
        <rFont val="WenQuanYi Zen Hei"/>
        <family val="2"/>
      </rPr>
      <t xml:space="preserve">청년 고용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인턴 처우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자 협상</t>
    </r>
    <r>
      <rPr>
        <sz val="10"/>
        <rFont val="Noto Sans CJK SC"/>
        <family val="2"/>
        <charset val="1"/>
      </rPr>
      <t xml:space="preserve">. Dom Pedro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의 청년 정책안을 놓고 평소처럼 투덜대며 조언한다 — 아직은 죽지 않는다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그러나 계단을 오르며 살짝 숨이 가쁜 게 보인다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</si>
  <si>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 사회적 대화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청년 고용 정책</t>
    </r>
  </si>
  <si>
    <t xml:space="preserve">Larissa, Dom Pedro, Edson</t>
  </si>
  <si>
    <t xml:space="preserve">O cartel dos preços</t>
  </si>
  <si>
    <t xml:space="preserve">가격 카르텔</t>
  </si>
  <si>
    <r>
      <rPr>
        <sz val="10"/>
        <rFont val="WenQuanYi Zen Hei"/>
        <family val="2"/>
      </rPr>
      <t xml:space="preserve">도청 자료를 쓰자는 </t>
    </r>
    <r>
      <rPr>
        <sz val="10"/>
        <rFont val="Noto Sans CJK SC"/>
        <family val="2"/>
        <charset val="1"/>
      </rPr>
      <t xml:space="preserve">Freire vs </t>
    </r>
    <r>
      <rPr>
        <sz val="10"/>
        <rFont val="WenQuanYi Zen Hei"/>
        <family val="2"/>
      </rPr>
      <t xml:space="preserve">합법 경로만 쓰겠다는 </t>
    </r>
    <r>
      <rPr>
        <sz val="10"/>
        <rFont val="Noto Sans CJK SC"/>
        <family val="2"/>
        <charset val="1"/>
      </rPr>
      <t xml:space="preserve">Rafael. </t>
    </r>
    <r>
      <rPr>
        <sz val="10"/>
        <rFont val="WenQuanYi Zen Hei"/>
        <family val="2"/>
      </rPr>
      <t xml:space="preserve">아직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는 살아 있어 둘의 다툼을 지켜보며 </t>
    </r>
    <r>
      <rPr>
        <sz val="10"/>
        <rFont val="Noto Sans CJK SC"/>
        <family val="2"/>
        <charset val="1"/>
      </rPr>
      <t xml:space="preserve">«A legalidade demora para vencer, mas quando vence ninguém a derruba.»</t>
    </r>
    <r>
      <rPr>
        <sz val="10"/>
        <rFont val="WenQuanYi Zen Hei"/>
        <family val="2"/>
      </rPr>
      <t xml:space="preserve">라고 거든다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</si>
  <si>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경쟁당국</t>
    </r>
    <r>
      <rPr>
        <sz val="10"/>
        <rFont val="Arial"/>
        <family val="0"/>
        <charset val="1"/>
      </rPr>
      <t xml:space="preserve">(CADE, Lei 12.529/2011) </t>
    </r>
    <r>
      <rPr>
        <sz val="10"/>
        <rFont val="WenQuanYi Zen Hei"/>
        <family val="2"/>
      </rPr>
      <t xml:space="preserve">조사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위법 수집 증거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통신 감청은 법원 허가</t>
    </r>
    <r>
      <rPr>
        <sz val="10"/>
        <rFont val="Arial"/>
        <family val="0"/>
        <charset val="1"/>
      </rPr>
      <t xml:space="preserve">(Lei 9.296/1996)</t>
    </r>
  </si>
  <si>
    <t xml:space="preserve">Freire, Rafael, Dumont, Dom Pedro</t>
  </si>
  <si>
    <t xml:space="preserve">O imposto dos gigantes</t>
  </si>
  <si>
    <t xml:space="preserve">거인들에게 매기는 세금</t>
  </si>
  <si>
    <r>
      <rPr>
        <sz val="10"/>
        <rFont val="WenQuanYi Zen Hei"/>
        <family val="2"/>
      </rPr>
      <t xml:space="preserve">초고소득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역외자산 과세를 임시조치</t>
    </r>
    <r>
      <rPr>
        <sz val="10"/>
        <rFont val="Noto Sans CJK SC"/>
        <family val="2"/>
        <charset val="1"/>
      </rPr>
      <t xml:space="preserve">(MP)</t>
    </r>
    <r>
      <rPr>
        <sz val="10"/>
        <rFont val="WenQuanYi Zen Hei"/>
        <family val="2"/>
      </rPr>
      <t xml:space="preserve">가 아니라 법률로 가야 하는 이유</t>
    </r>
    <r>
      <rPr>
        <sz val="10"/>
        <rFont val="Noto Sans CJK SC"/>
        <family val="2"/>
        <charset val="1"/>
      </rPr>
      <t xml:space="preserve">: MP</t>
    </r>
    <r>
      <rPr>
        <sz val="10"/>
        <rFont val="WenQuanYi Zen Hei"/>
        <family val="2"/>
      </rPr>
      <t xml:space="preserve">로 세금을 올리면 연내에 법률로 전환돼야 이듬해부터 효력이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걷힌 돈을 소득세 감면과 에너지 전환에 어떻게 나눌지도 얽힌다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재계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금융권 로비를 </t>
    </r>
    <r>
      <rPr>
        <sz val="10"/>
        <rFont val="Noto Sans CJK SC"/>
        <family val="2"/>
        <charset val="1"/>
      </rPr>
      <t xml:space="preserve">Sérgio</t>
    </r>
    <r>
      <rPr>
        <sz val="10"/>
        <rFont val="WenQuanYi Zen Hei"/>
        <family val="2"/>
      </rPr>
      <t xml:space="preserve">가 막는다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</si>
  <si>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임시조치의 세금 제한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62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조세 불소급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연도 원칙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150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III), </t>
    </r>
    <r>
      <rPr>
        <sz val="10"/>
        <rFont val="WenQuanYi Zen Hei"/>
        <family val="2"/>
      </rPr>
      <t xml:space="preserve">선례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역외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전용펀드 과세법</t>
    </r>
    <r>
      <rPr>
        <sz val="10"/>
        <rFont val="Noto Sans CJK SC"/>
        <family val="2"/>
        <charset val="1"/>
      </rPr>
      <t xml:space="preserve">(Lei 14.754/2023)</t>
    </r>
  </si>
  <si>
    <t xml:space="preserve">Bruno, Sérgio, Rafael</t>
  </si>
  <si>
    <t xml:space="preserve">N5·S4</t>
  </si>
  <si>
    <t xml:space="preserve">Rumo a Bruxelas</t>
  </si>
  <si>
    <t xml:space="preserve">브뤼셀로 가는 길</t>
  </si>
  <si>
    <r>
      <rPr>
        <sz val="10"/>
        <rFont val="Arial"/>
        <family val="0"/>
        <charset val="1"/>
      </rPr>
      <t xml:space="preserve">Mercosul–EU </t>
    </r>
    <r>
      <rPr>
        <sz val="10"/>
        <rFont val="WenQuanYi Zen Hei"/>
        <family val="2"/>
      </rPr>
      <t xml:space="preserve">협정의 비준이 </t>
    </r>
    <r>
      <rPr>
        <sz val="10"/>
        <rFont val="Arial"/>
        <family val="0"/>
        <charset val="1"/>
      </rPr>
      <t xml:space="preserve">EU</t>
    </r>
    <r>
      <rPr>
        <sz val="10"/>
        <rFont val="WenQuanYi Zen Hei"/>
        <family val="2"/>
      </rPr>
      <t xml:space="preserve">의 농산물 긴급수입제한과 산림전용방지규정</t>
    </r>
    <r>
      <rPr>
        <sz val="10"/>
        <rFont val="Arial"/>
        <family val="0"/>
        <charset val="1"/>
      </rPr>
      <t xml:space="preserve">(EUDR)</t>
    </r>
    <r>
      <rPr>
        <sz val="10"/>
        <rFont val="WenQuanYi Zen Hei"/>
        <family val="2"/>
      </rPr>
      <t xml:space="preserve">에 걸려 멈춰 있고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북쪽에서는 관세 압박이 들어온다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«Eu vou.»</t>
    </r>
    <r>
      <rPr>
        <sz val="10"/>
        <rFont val="WenQuanYi Zen Hei"/>
        <family val="2"/>
      </rPr>
      <t xml:space="preserve">라고 자원한다 — </t>
    </r>
    <r>
      <rPr>
        <sz val="10"/>
        <rFont val="Arial"/>
        <family val="0"/>
        <charset val="1"/>
      </rPr>
      <t xml:space="preserve">1889</t>
    </r>
    <r>
      <rPr>
        <sz val="10"/>
        <rFont val="WenQuanYi Zen Hei"/>
        <family val="2"/>
      </rPr>
      <t xml:space="preserve">년 폐위 이후 처음 나라를 대표하는 순간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짐을 싸며 </t>
    </r>
    <r>
      <rPr>
        <sz val="10"/>
        <rFont val="Arial"/>
        <family val="0"/>
        <charset val="1"/>
      </rPr>
      <t xml:space="preserve">Machado</t>
    </r>
    <r>
      <rPr>
        <sz val="10"/>
        <rFont val="WenQuanYi Zen Hei"/>
        <family val="2"/>
      </rPr>
      <t xml:space="preserve">에게 자신이 본 두 종류의 지도자를 회상한다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건물에 금박 이름을 새기던 사업가 출신으로 이제 관세를 무기 삼아 카메라 앞에서 소리치는 인물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그리고 정보기관에서 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년을 보낸 뒤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민주주의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라 부르는 자리에 눌러앉아 이웃 나라 땅을 가져간 인물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이름도 국가도 끝내 말하지 않는다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실존 인물 실명 미사용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특징 묘사로만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</si>
  <si>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조약 체결은 대통령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비준 동의는 의회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VIII·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I), </t>
    </r>
    <r>
      <rPr>
        <sz val="10"/>
        <rFont val="WenQuanYi Zen Hei"/>
        <family val="2"/>
      </rPr>
      <t xml:space="preserve">특사 임명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대표단 구성</t>
    </r>
  </si>
  <si>
    <t xml:space="preserve">Dom Pedro, Machado, Bruno</t>
  </si>
  <si>
    <t xml:space="preserve">N3</t>
  </si>
  <si>
    <t xml:space="preserve">A mesa de Bruxelas</t>
  </si>
  <si>
    <t xml:space="preserve">브뤼셀의 테이블</t>
  </si>
  <si>
    <r>
      <rPr>
        <sz val="10"/>
        <rFont val="WenQuanYi Zen Hei"/>
        <family val="2"/>
      </rPr>
      <t xml:space="preserve">직접 협상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상대측 인사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</t>
    </r>
    <r>
      <rPr>
        <sz val="10"/>
        <rFont val="WenQuanYi Zen Hei"/>
        <family val="2"/>
      </rPr>
      <t xml:space="preserve">브라질은 산림 약속만 하고 지키지 않았다</t>
    </r>
    <r>
      <rPr>
        <sz val="10"/>
        <rFont val="Noto Sans CJK SC"/>
        <family val="2"/>
        <charset val="1"/>
      </rPr>
      <t xml:space="preserve">»</t>
    </r>
    <r>
      <rPr>
        <sz val="10"/>
        <rFont val="WenQuanYi Zen Hei"/>
        <family val="2"/>
      </rPr>
      <t xml:space="preserve">고 과장하자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가 위성 감시 자료</t>
    </r>
    <r>
      <rPr>
        <sz val="10"/>
        <rFont val="Noto Sans CJK SC"/>
        <family val="2"/>
        <charset val="1"/>
      </rPr>
      <t xml:space="preserve">(PRODES)</t>
    </r>
    <r>
      <rPr>
        <sz val="10"/>
        <rFont val="WenQuanYi Zen Hei"/>
        <family val="2"/>
      </rPr>
      <t xml:space="preserve">의 연도별 수치와 옛 합의 날짜를 정확히 짚어 반박한다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완곡어법과 </t>
    </r>
    <r>
      <rPr>
        <sz val="10"/>
        <rFont val="Noto Sans CJK SC"/>
        <family val="2"/>
        <charset val="1"/>
      </rPr>
      <t xml:space="preserve">«Permita-me uma precisão»</t>
    </r>
    <r>
      <rPr>
        <sz val="10"/>
        <rFont val="WenQuanYi Zen Hei"/>
        <family val="2"/>
      </rPr>
      <t xml:space="preserve">으로 위성 검증 방식의 산림 이행 경로와 농산물 긴급수입제한 발동 기준을 절충한다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</si>
  <si>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산림전용방지규정</t>
    </r>
    <r>
      <rPr>
        <sz val="10"/>
        <rFont val="Noto Sans CJK SC"/>
        <family val="2"/>
        <charset val="1"/>
      </rPr>
      <t xml:space="preserve">(EUDR, </t>
    </r>
    <r>
      <rPr>
        <sz val="10"/>
        <rFont val="WenQuanYi Zen Hei"/>
        <family val="2"/>
      </rPr>
      <t xml:space="preserve">규정 </t>
    </r>
    <r>
      <rPr>
        <sz val="10"/>
        <rFont val="Noto Sans CJK SC"/>
        <family val="2"/>
        <charset val="1"/>
      </rPr>
      <t xml:space="preserve">2023/1115), </t>
    </r>
    <r>
      <rPr>
        <sz val="10"/>
        <rFont val="WenQuanYi Zen Hei"/>
        <family val="2"/>
      </rPr>
      <t xml:space="preserve">위성 산림 감시</t>
    </r>
    <r>
      <rPr>
        <sz val="10"/>
        <rFont val="Noto Sans CJK SC"/>
        <family val="2"/>
        <charset val="1"/>
      </rPr>
      <t xml:space="preserve">(INPE PRODES·DETER), </t>
    </r>
    <r>
      <rPr>
        <sz val="10"/>
        <rFont val="WenQuanYi Zen Hei"/>
        <family val="2"/>
      </rPr>
      <t xml:space="preserve">긴급수입제한</t>
    </r>
    <r>
      <rPr>
        <sz val="10"/>
        <rFont val="Noto Sans CJK SC"/>
        <family val="2"/>
        <charset val="1"/>
      </rPr>
      <t xml:space="preserve">(salvaguardas)</t>
    </r>
  </si>
  <si>
    <t xml:space="preserve">Dom Pedro, Bruno, Machado</t>
  </si>
  <si>
    <t xml:space="preserve">N3·E3</t>
  </si>
  <si>
    <t xml:space="preserve">O triunfo e o cansaço</t>
  </si>
  <si>
    <t xml:space="preserve">승리와 피로</t>
  </si>
  <si>
    <r>
      <rPr>
        <sz val="10"/>
        <rFont val="WenQuanYi Zen Hei"/>
        <family val="2"/>
      </rPr>
      <t xml:space="preserve">협상 타결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검증 가능한 산림 이행 경로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긴급수입제한의 객관적 발동 기준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귀국 비행기에서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가 지친 기색을 숨기며 </t>
    </r>
    <r>
      <rPr>
        <sz val="10"/>
        <rFont val="Noto Sans CJK SC"/>
        <family val="2"/>
        <charset val="1"/>
      </rPr>
      <t xml:space="preserve">Bruno</t>
    </r>
    <r>
      <rPr>
        <sz val="10"/>
        <rFont val="WenQuanYi Zen Hei"/>
        <family val="2"/>
      </rPr>
      <t xml:space="preserve">에게 메모를 남기라고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</si>
  <si>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협상 결과의 국내 비준 절차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의회 입법명령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예산 반영 일정</t>
    </r>
  </si>
  <si>
    <t xml:space="preserve">Dom Pedro, Bruno, Zumbi</t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</si>
  <si>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사망</t>
    </r>
    <r>
      <rPr>
        <sz val="10"/>
        <rFont val="Noto Sans CJK SC"/>
        <family val="2"/>
        <charset val="1"/>
      </rPr>
      <t xml:space="preserve">)</t>
    </r>
  </si>
  <si>
    <t xml:space="preserve">Uma última precisão</t>
  </si>
  <si>
    <t xml:space="preserve">마지막 각주 하나</t>
  </si>
  <si>
    <r>
      <rPr>
        <sz val="10"/>
        <rFont val="WenQuanYi Zen Hei"/>
        <family val="2"/>
      </rPr>
      <t xml:space="preserve">귀국 직후 상파울루 자택에서 심부전으로 사망</t>
    </r>
    <r>
      <rPr>
        <sz val="10"/>
        <rFont val="Noto Sans CJK SC"/>
        <family val="2"/>
        <charset val="1"/>
      </rPr>
      <t xml:space="preserve">. 1891</t>
    </r>
    <r>
      <rPr>
        <sz val="10"/>
        <rFont val="WenQuanYi Zen Hei"/>
        <family val="2"/>
      </rPr>
      <t xml:space="preserve">년 파리 망명지에서 죽었던 그가 이번엔 조국에서 눈을 감는다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가 청년 정책안 마지막 서명을 받으러 왔다가 그를 발견한다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마지막 말은 </t>
    </r>
    <r>
      <rPr>
        <sz val="10"/>
        <rFont val="Noto Sans CJK SC"/>
        <family val="2"/>
        <charset val="1"/>
      </rPr>
      <t xml:space="preserve">«Não é ruim.» — </t>
    </r>
    <r>
      <rPr>
        <sz val="10"/>
        <rFont val="WenQuanYi Zen Hei"/>
        <family val="2"/>
      </rPr>
      <t xml:space="preserve">브뤼셀 승리 직후라 더 무겁다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</si>
  <si>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insuficiência cardíaca, </t>
    </r>
    <r>
      <rPr>
        <sz val="10"/>
        <rFont val="WenQuanYi Zen Hei"/>
        <family val="2"/>
      </rPr>
      <t xml:space="preserve">사망 확인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장례 절차 시작</t>
    </r>
  </si>
  <si>
    <t xml:space="preserve">Larissa, Camila, Dom Pedro</t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</si>
  <si>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장례</t>
    </r>
    <r>
      <rPr>
        <sz val="10"/>
        <rFont val="Noto Sans CJK SC"/>
        <family val="2"/>
        <charset val="1"/>
      </rPr>
      <t xml:space="preserve">)</t>
    </r>
  </si>
  <si>
    <t xml:space="preserve">O velório</t>
  </si>
  <si>
    <t xml:space="preserve">장례식</t>
  </si>
  <si>
    <r>
      <rPr>
        <sz val="10"/>
        <rFont val="Arial"/>
        <family val="0"/>
        <charset val="1"/>
      </rPr>
      <t xml:space="preserve">Bar da Marta</t>
    </r>
    <r>
      <rPr>
        <sz val="10"/>
        <rFont val="WenQuanYi Zen Hei"/>
        <family val="2"/>
      </rPr>
      <t xml:space="preserve">가 첫 장면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빈자리에 커피 한 잔이 놓인다</t>
    </r>
    <r>
      <rPr>
        <sz val="10"/>
        <rFont val="Arial"/>
        <family val="0"/>
        <charset val="1"/>
      </rPr>
      <t xml:space="preserve">. 1891</t>
    </r>
    <r>
      <rPr>
        <sz val="10"/>
        <rFont val="WenQuanYi Zen Hei"/>
        <family val="2"/>
      </rPr>
      <t xml:space="preserve">년처럼 관 속에 브라질 흙을 담은 베개가 놓인다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가 조사에서 처음으로 </t>
    </r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에게 </t>
    </r>
    <r>
      <rPr>
        <sz val="10"/>
        <rFont val="Arial"/>
        <family val="0"/>
        <charset val="1"/>
      </rPr>
      <t xml:space="preserve">'você'</t>
    </r>
    <r>
      <rPr>
        <sz val="10"/>
        <rFont val="WenQuanYi Zen Hei"/>
        <family val="2"/>
      </rPr>
      <t xml:space="preserve">를 쓴다</t>
    </r>
    <r>
      <rPr>
        <sz val="10"/>
        <rFont val="Arial"/>
        <family val="0"/>
        <charset val="1"/>
      </rPr>
      <t xml:space="preserve">. «Pra ele, "não é ruim" era o maior elogio.»</t>
    </r>
  </si>
  <si>
    <t xml:space="preserve">velório, enterro, pêsames, elogio fúnebre</t>
  </si>
  <si>
    <t xml:space="preserve">Larissa, Marta, Zumbi, Freire, Camila</t>
  </si>
  <si>
    <t xml:space="preserve">A ficha que ele deixou</t>
  </si>
  <si>
    <t xml:space="preserve">그가 남긴 카드</t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</si>
  <si>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가 죽기 전 남긴 브뤼셀 후속 협상 메모가 발견된다</t>
    </r>
    <r>
      <rPr>
        <sz val="10"/>
        <rFont val="Arial"/>
        <family val="0"/>
        <charset val="1"/>
      </rPr>
      <t xml:space="preserve">. Freire</t>
    </r>
    <r>
      <rPr>
        <sz val="10"/>
        <rFont val="WenQuanYi Zen Hei"/>
        <family val="2"/>
      </rPr>
      <t xml:space="preserve">가 정리하고 </t>
    </r>
    <r>
      <rPr>
        <sz val="10"/>
        <rFont val="Arial"/>
        <family val="0"/>
        <charset val="1"/>
      </rPr>
      <t xml:space="preserve">Machado</t>
    </r>
    <r>
      <rPr>
        <sz val="10"/>
        <rFont val="WenQuanYi Zen Hei"/>
        <family val="2"/>
      </rPr>
      <t xml:space="preserve">가 문장을 다듬는다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</si>
  <si>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유작 메모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외교 기록 인계</t>
    </r>
  </si>
  <si>
    <t xml:space="preserve">Freire, Machado, Bruno</t>
  </si>
  <si>
    <t xml:space="preserve">Segunda rodada em Bruxelas</t>
  </si>
  <si>
    <r>
      <rPr>
        <sz val="10"/>
        <rFont val="WenQuanYi Zen Hei"/>
        <family val="2"/>
      </rPr>
      <t xml:space="preserve">브뤼셀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협상</t>
    </r>
  </si>
  <si>
    <r>
      <rPr>
        <sz val="10"/>
        <rFont val="Arial"/>
        <family val="0"/>
        <charset val="1"/>
      </rPr>
      <t xml:space="preserve">Dom Pedro </t>
    </r>
    <r>
      <rPr>
        <sz val="10"/>
        <rFont val="WenQuanYi Zen Hei"/>
        <family val="2"/>
      </rPr>
      <t xml:space="preserve">없이 떠나는 팀</t>
    </r>
    <r>
      <rPr>
        <sz val="10"/>
        <rFont val="Arial"/>
        <family val="0"/>
        <charset val="1"/>
      </rPr>
      <t xml:space="preserve">. Bruno</t>
    </r>
    <r>
      <rPr>
        <sz val="10"/>
        <rFont val="WenQuanYi Zen Hei"/>
        <family val="2"/>
      </rPr>
      <t xml:space="preserve">가 협상석에 앉고 </t>
    </r>
    <r>
      <rPr>
        <sz val="10"/>
        <rFont val="Arial"/>
        <family val="0"/>
        <charset val="1"/>
      </rPr>
      <t xml:space="preserve">Machado</t>
    </r>
    <r>
      <rPr>
        <sz val="10"/>
        <rFont val="WenQuanYi Zen Hei"/>
        <family val="2"/>
      </rPr>
      <t xml:space="preserve">가 다듬은 그의 문장</t>
    </r>
    <r>
      <rPr>
        <sz val="10"/>
        <rFont val="Arial"/>
        <family val="0"/>
        <charset val="1"/>
      </rPr>
      <t xml:space="preserve">(«não foi ruim» </t>
    </r>
    <r>
      <rPr>
        <sz val="10"/>
        <rFont val="WenQuanYi Zen Hei"/>
        <family val="2"/>
      </rPr>
      <t xml:space="preserve">포함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인용해 산림 이행 경로의 세부 일정을 확정짓는다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</si>
  <si>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세부 일정 확정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의회 비준 동의 절차 개시</t>
    </r>
  </si>
  <si>
    <t xml:space="preserve">Bruno, Machado, Zumbi</t>
  </si>
  <si>
    <t xml:space="preserve">O aplicativo que decide</t>
  </si>
  <si>
    <t xml:space="preserve">결정하는 앱</t>
  </si>
  <si>
    <r>
      <rPr>
        <sz val="10"/>
        <rFont val="WenQuanYi Zen Hei"/>
        <family val="2"/>
      </rPr>
      <t xml:space="preserve">앱 운전기사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배달원들이 알고리즘 배차와 일방적 계정 차단에 항의하며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앱 파업</t>
    </r>
    <r>
      <rPr>
        <sz val="10"/>
        <rFont val="Noto Sans CJK SC"/>
        <family val="2"/>
        <charset val="1"/>
      </rPr>
      <t xml:space="preserve">(breque)'</t>
    </r>
    <r>
      <rPr>
        <sz val="10"/>
        <rFont val="WenQuanYi Zen Hei"/>
        <family val="2"/>
      </rPr>
      <t xml:space="preserve">을 벌인다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앱 노동 법안 이후에도 고용 지위 분쟁이 계속됨을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이 현장에서</t>
    </r>
    <r>
      <rPr>
        <sz val="10"/>
        <rFont val="Noto Sans CJK SC"/>
        <family val="2"/>
        <charset val="1"/>
      </rPr>
      <t xml:space="preserve">, Machado</t>
    </r>
    <r>
      <rPr>
        <sz val="10"/>
        <rFont val="WenQuanYi Zen Hei"/>
        <family val="2"/>
      </rPr>
      <t xml:space="preserve">가 문구로 돕는다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</si>
  <si>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앱 운전기사 법안</t>
    </r>
    <r>
      <rPr>
        <sz val="10"/>
        <rFont val="Noto Sans CJK SC"/>
        <family val="2"/>
        <charset val="1"/>
      </rPr>
      <t xml:space="preserve">(PLP 12/2024, </t>
    </r>
    <r>
      <rPr>
        <sz val="10"/>
        <rFont val="WenQuanYi Zen Hei"/>
        <family val="2"/>
      </rPr>
      <t xml:space="preserve">확인 필요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알고리즘 투명성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고용 지위 판단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노동법원</t>
    </r>
    <r>
      <rPr>
        <sz val="10"/>
        <rFont val="Noto Sans CJK SC"/>
        <family val="2"/>
        <charset val="1"/>
      </rPr>
      <t xml:space="preserve">·STF)</t>
    </r>
  </si>
  <si>
    <t xml:space="preserve">Edson, Machado, Rafael</t>
  </si>
  <si>
    <t xml:space="preserve">N6</t>
  </si>
  <si>
    <t xml:space="preserve">O software que ninguém autorizou</t>
  </si>
  <si>
    <t xml:space="preserve">누구도 승인하지 않은 소프트웨어</t>
  </si>
  <si>
    <r>
      <rPr>
        <sz val="10"/>
        <rFont val="WenQuanYi Zen Hei"/>
        <family val="2"/>
      </rPr>
      <t xml:space="preserve">야당 정치인과 언론인 휴대전화가 위치추적 스파이웨어로 감시당했다는 의혹이 터진다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정보청</t>
    </r>
    <r>
      <rPr>
        <sz val="10"/>
        <rFont val="Noto Sans CJK SC"/>
        <family val="2"/>
        <charset val="1"/>
      </rPr>
      <t xml:space="preserve">(Abin)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Juliana</t>
    </r>
    <r>
      <rPr>
        <sz val="10"/>
        <rFont val="WenQuanYi Zen Hei"/>
        <family val="2"/>
      </rPr>
      <t xml:space="preserve">의 수석장관실 소속이라 불똥이 정부로 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군사정권 시절 감시받다 투옥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망명했던 </t>
    </r>
    <r>
      <rPr>
        <sz val="10"/>
        <rFont val="Noto Sans CJK SC"/>
        <family val="2"/>
        <charset val="1"/>
      </rPr>
      <t xml:space="preserve">Freire</t>
    </r>
    <r>
      <rPr>
        <sz val="10"/>
        <rFont val="WenQuanYi Zen Hei"/>
        <family val="2"/>
      </rPr>
      <t xml:space="preserve">가 그때와 같은 수법을 알아보고</t>
    </r>
    <r>
      <rPr>
        <sz val="10"/>
        <rFont val="Noto Sans CJK SC"/>
        <family val="2"/>
        <charset val="1"/>
      </rPr>
      <t xml:space="preserve">, Dumont</t>
    </r>
    <r>
      <rPr>
        <sz val="10"/>
        <rFont val="WenQuanYi Zen Hei"/>
        <family val="2"/>
      </rPr>
      <t xml:space="preserve">이 보도하며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은 합법적 감독 경로를 고집한다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</si>
  <si>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정보청법</t>
    </r>
    <r>
      <rPr>
        <sz val="10"/>
        <rFont val="Noto Sans CJK SC"/>
        <family val="2"/>
        <charset val="1"/>
      </rPr>
      <t xml:space="preserve">(Lei 9.883/1999), </t>
    </r>
    <r>
      <rPr>
        <sz val="10"/>
        <rFont val="WenQuanYi Zen Hei"/>
        <family val="2"/>
      </rPr>
      <t xml:space="preserve">의회 정보활동통제위원회</t>
    </r>
    <r>
      <rPr>
        <sz val="10"/>
        <rFont val="Noto Sans CJK SC"/>
        <family val="2"/>
        <charset val="1"/>
      </rPr>
      <t xml:space="preserve">(CCAI), </t>
    </r>
    <r>
      <rPr>
        <sz val="10"/>
        <rFont val="WenQuanYi Zen Hei"/>
        <family val="2"/>
      </rPr>
      <t xml:space="preserve">감청법</t>
    </r>
    <r>
      <rPr>
        <sz val="10"/>
        <rFont val="Noto Sans CJK SC"/>
        <family val="2"/>
        <charset val="1"/>
      </rPr>
      <t xml:space="preserve">(Lei 9.296/1996), </t>
    </r>
    <r>
      <rPr>
        <sz val="10"/>
        <rFont val="WenQuanYi Zen Hei"/>
        <family val="2"/>
      </rPr>
      <t xml:space="preserve">연방경찰 수사</t>
    </r>
  </si>
  <si>
    <t xml:space="preserve">Freire, Dumont, Rafael, Juliana</t>
  </si>
  <si>
    <t xml:space="preserve">N7</t>
  </si>
  <si>
    <t xml:space="preserve">As filas de espera</t>
  </si>
  <si>
    <t xml:space="preserve">대기 명단</t>
  </si>
  <si>
    <r>
      <rPr>
        <sz val="10"/>
        <rFont val="WenQuanYi Zen Hei"/>
        <family val="2"/>
      </rPr>
      <t xml:space="preserve">청년 정신건강 상담 대기가 몇 달씩 밀린 현실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그리고 온라인 도박</t>
    </r>
    <r>
      <rPr>
        <sz val="10"/>
        <rFont val="Noto Sans CJK SC"/>
        <family val="2"/>
        <charset val="1"/>
      </rPr>
      <t xml:space="preserve">(bets) </t>
    </r>
    <r>
      <rPr>
        <sz val="10"/>
        <rFont val="WenQuanYi Zen Hei"/>
        <family val="2"/>
      </rPr>
      <t xml:space="preserve">빚</t>
    </r>
    <r>
      <rPr>
        <sz val="10"/>
        <rFont val="Noto Sans CJK SC"/>
        <family val="2"/>
        <charset val="1"/>
      </rPr>
      <t xml:space="preserve">. CVV </t>
    </r>
    <r>
      <rPr>
        <sz val="10"/>
        <rFont val="WenQuanYi Zen Hei"/>
        <family val="2"/>
      </rPr>
      <t xml:space="preserve">자원봉사자 </t>
    </r>
    <r>
      <rPr>
        <sz val="10"/>
        <rFont val="Noto Sans CJK SC"/>
        <family val="2"/>
        <charset val="1"/>
      </rPr>
      <t xml:space="preserve">Isabel</t>
    </r>
    <r>
      <rPr>
        <sz val="10"/>
        <rFont val="WenQuanYi Zen Hei"/>
        <family val="2"/>
      </rPr>
      <t xml:space="preserve">이 현장에서</t>
    </r>
    <r>
      <rPr>
        <sz val="10"/>
        <rFont val="Noto Sans CJK SC"/>
        <family val="2"/>
        <charset val="1"/>
      </rPr>
      <t xml:space="preserve">, Larissa</t>
    </r>
    <r>
      <rPr>
        <sz val="10"/>
        <rFont val="WenQuanYi Zen Hei"/>
        <family val="2"/>
      </rPr>
      <t xml:space="preserve">가 자신의 불안을 처음 인정하며 함께 부딪힌다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</si>
  <si>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정신보건법</t>
    </r>
    <r>
      <rPr>
        <sz val="10"/>
        <rFont val="Noto Sans CJK SC"/>
        <family val="2"/>
        <charset val="1"/>
      </rPr>
      <t xml:space="preserve">(Lei 10.216/2001), </t>
    </r>
    <r>
      <rPr>
        <sz val="10"/>
        <rFont val="WenQuanYi Zen Hei"/>
        <family val="2"/>
      </rPr>
      <t xml:space="preserve">지역정신건강센터</t>
    </r>
    <r>
      <rPr>
        <sz val="10"/>
        <rFont val="Noto Sans CJK SC"/>
        <family val="2"/>
        <charset val="1"/>
      </rPr>
      <t xml:space="preserve">(CAPS), </t>
    </r>
    <r>
      <rPr>
        <sz val="10"/>
        <rFont val="WenQuanYi Zen Hei"/>
        <family val="2"/>
      </rPr>
      <t xml:space="preserve">온라인 도박 규제법</t>
    </r>
    <r>
      <rPr>
        <sz val="10"/>
        <rFont val="Noto Sans CJK SC"/>
        <family val="2"/>
        <charset val="1"/>
      </rPr>
      <t xml:space="preserve">(Lei 14.790/2023)</t>
    </r>
  </si>
  <si>
    <t xml:space="preserve">Isabel, Larissa, Camila</t>
  </si>
  <si>
    <t xml:space="preserve">N8</t>
  </si>
  <si>
    <t xml:space="preserve">O impeachment que não soma</t>
  </si>
  <si>
    <t xml:space="preserve">합쳐지지 않는 탄핵</t>
  </si>
  <si>
    <r>
      <rPr>
        <sz val="10"/>
        <rFont val="WenQuanYi Zen Hei"/>
        <family val="2"/>
      </rPr>
      <t xml:space="preserve">하원의장이 야당의 탄핵 청구를 받아들인다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탄핵 절차 개시에는 하원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분의 </t>
    </r>
    <r>
      <rPr>
        <sz val="10"/>
        <rFont val="Noto Sans CJK SC"/>
        <family val="2"/>
        <charset val="1"/>
      </rPr>
      <t xml:space="preserve">2(342</t>
    </r>
    <r>
      <rPr>
        <sz val="10"/>
        <rFont val="WenQuanYi Zen Hei"/>
        <family val="2"/>
      </rPr>
      <t xml:space="preserve">표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가 필요하고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정부는 </t>
    </r>
    <r>
      <rPr>
        <sz val="10"/>
        <rFont val="Noto Sans CJK SC"/>
        <family val="2"/>
        <charset val="1"/>
      </rPr>
      <t xml:space="preserve">172</t>
    </r>
    <r>
      <rPr>
        <sz val="10"/>
        <rFont val="WenQuanYi Zen Hei"/>
        <family val="2"/>
      </rPr>
      <t xml:space="preserve">표만 지키면 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결과 찬성 </t>
    </r>
    <r>
      <rPr>
        <sz val="10"/>
        <rFont val="Noto Sans CJK SC"/>
        <family val="2"/>
        <charset val="1"/>
      </rPr>
      <t xml:space="preserve">232</t>
    </r>
    <r>
      <rPr>
        <sz val="10"/>
        <rFont val="WenQuanYi Zen Hei"/>
        <family val="2"/>
      </rPr>
      <t xml:space="preserve">표로 부결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기권한 지역정당 </t>
    </r>
    <r>
      <rPr>
        <sz val="10"/>
        <rFont val="Noto Sans CJK SC"/>
        <family val="2"/>
        <charset val="1"/>
      </rPr>
      <t xml:space="preserve">TB</t>
    </r>
    <r>
      <rPr>
        <sz val="10"/>
        <rFont val="WenQuanYi Zen Hei"/>
        <family val="2"/>
      </rPr>
      <t xml:space="preserve">는 주 정부 부채 재협상을 요구하고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연방대법원–의회 갈등이 정국을 더 얼어붙게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</si>
  <si>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탄핵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85·86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Lei 1.079/1950), </t>
    </r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분의 </t>
    </r>
    <r>
      <rPr>
        <sz val="10"/>
        <rFont val="Noto Sans CJK SC"/>
        <family val="2"/>
        <charset val="1"/>
      </rPr>
      <t xml:space="preserve">2 </t>
    </r>
    <r>
      <rPr>
        <sz val="10"/>
        <rFont val="WenQuanYi Zen Hei"/>
        <family val="2"/>
      </rPr>
      <t xml:space="preserve">승인 → 상원 심판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정치경로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의석 </t>
    </r>
    <r>
      <rPr>
        <sz val="10"/>
        <rFont val="Noto Sans CJK SC"/>
        <family val="2"/>
        <charset val="1"/>
      </rPr>
      <t xml:space="preserve">C</t>
    </r>
    <r>
      <rPr>
        <sz val="10"/>
        <rFont val="WenQuanYi Zen Hei"/>
        <family val="2"/>
      </rPr>
      <t xml:space="preserve">블록</t>
    </r>
    <r>
      <rPr>
        <sz val="10"/>
        <rFont val="Noto Sans CJK SC"/>
        <family val="2"/>
        <charset val="1"/>
      </rPr>
      <t xml:space="preserve">)</t>
    </r>
  </si>
  <si>
    <t xml:space="preserve">P1·P2·P3</t>
  </si>
  <si>
    <t xml:space="preserve">As águas</t>
  </si>
  <si>
    <t xml:space="preserve">물</t>
  </si>
  <si>
    <r>
      <rPr>
        <sz val="10"/>
        <rFont val="WenQuanYi Zen Hei"/>
        <family val="2"/>
      </rPr>
      <t xml:space="preserve">남부에 폭우와 대홍수가 덮친다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가상의 재난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경보 지연과 초기 대응을 둘러싼 주–연방 책임 공방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공공재난사태 인정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군 투입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휴대전화 긴급 경보</t>
    </r>
    <r>
      <rPr>
        <sz val="10"/>
        <rFont val="Noto Sans CJK SC"/>
        <family val="2"/>
        <charset val="1"/>
      </rPr>
      <t xml:space="preserve">. Zumbi</t>
    </r>
    <r>
      <rPr>
        <sz val="10"/>
        <rFont val="WenQuanYi Zen Hei"/>
        <family val="2"/>
      </rPr>
      <t xml:space="preserve">가 처음으로 </t>
    </r>
    <r>
      <rPr>
        <sz val="10"/>
        <rFont val="Noto Sans CJK SC"/>
        <family val="2"/>
        <charset val="1"/>
      </rPr>
      <t xml:space="preserve">«Tem novidade.»</t>
    </r>
    <r>
      <rPr>
        <sz val="10"/>
        <rFont val="WenQuanYi Zen Hei"/>
        <family val="2"/>
      </rPr>
      <t xml:space="preserve">라고 보고하며 지휘하고 </t>
    </r>
    <r>
      <rPr>
        <sz val="10"/>
        <rFont val="Noto Sans CJK SC"/>
        <family val="2"/>
        <charset val="1"/>
      </rPr>
      <t xml:space="preserve">Machado</t>
    </r>
    <r>
      <rPr>
        <sz val="10"/>
        <rFont val="WenQuanYi Zen Hei"/>
        <family val="2"/>
      </rPr>
      <t xml:space="preserve">가 추모 문구를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</si>
  <si>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국가 민방위 정책</t>
    </r>
    <r>
      <rPr>
        <sz val="10"/>
        <rFont val="Noto Sans CJK SC"/>
        <family val="2"/>
        <charset val="1"/>
      </rPr>
      <t xml:space="preserve">(Lei 12.608/2012), </t>
    </r>
    <r>
      <rPr>
        <sz val="10"/>
        <rFont val="WenQuanYi Zen Hei"/>
        <family val="2"/>
      </rPr>
      <t xml:space="preserve">공공재난사태</t>
    </r>
    <r>
      <rPr>
        <sz val="10"/>
        <rFont val="Noto Sans CJK SC"/>
        <family val="2"/>
        <charset val="1"/>
      </rPr>
      <t xml:space="preserve">(estado de calamidade pública), </t>
    </r>
    <r>
      <rPr>
        <sz val="10"/>
        <rFont val="WenQuanYi Zen Hei"/>
        <family val="2"/>
      </rPr>
      <t xml:space="preserve">특별 예산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167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항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긴급 경보</t>
    </r>
    <r>
      <rPr>
        <sz val="10"/>
        <rFont val="Noto Sans CJK SC"/>
        <family val="2"/>
        <charset val="1"/>
      </rPr>
      <t xml:space="preserve">(Defesa Civil Alerta)</t>
    </r>
  </si>
  <si>
    <t xml:space="preserve">Zumbi, Camila, Rafael, Dumont, Machado</t>
  </si>
  <si>
    <t xml:space="preserve">N1·N3·S4</t>
  </si>
  <si>
    <t xml:space="preserve">Resultados na rua</t>
  </si>
  <si>
    <t xml:space="preserve">거리에서 나타난 변화</t>
  </si>
  <si>
    <r>
      <rPr>
        <sz val="10"/>
        <rFont val="WenQuanYi Zen Hei"/>
        <family val="2"/>
      </rPr>
      <t xml:space="preserve">임대료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응급실 대기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 고용 지표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 협약 서명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</si>
  <si>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성과 지표 공표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사회적 대화 협약</t>
    </r>
  </si>
  <si>
    <t xml:space="preserve">Bruno, Camila, Larissa</t>
  </si>
  <si>
    <t xml:space="preserve">N3·E3·P1</t>
  </si>
  <si>
    <t xml:space="preserve">O vazio na Velha Guarda</t>
  </si>
  <si>
    <t xml:space="preserve">올드 가드의 빈자리</t>
  </si>
  <si>
    <r>
      <rPr>
        <sz val="10"/>
        <rFont val="Arial"/>
        <family val="0"/>
        <charset val="1"/>
      </rPr>
      <t xml:space="preserve">Zumbi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Freire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Dom Pedro </t>
    </r>
    <r>
      <rPr>
        <sz val="10"/>
        <rFont val="WenQuanYi Zen Hei"/>
        <family val="2"/>
      </rPr>
      <t xml:space="preserve">없는 </t>
    </r>
    <r>
      <rPr>
        <sz val="10"/>
        <rFont val="Arial"/>
        <family val="0"/>
        <charset val="1"/>
      </rPr>
      <t xml:space="preserve">A Velha Guarda</t>
    </r>
    <r>
      <rPr>
        <sz val="10"/>
        <rFont val="WenQuanYi Zen Hei"/>
        <family val="2"/>
      </rPr>
      <t xml:space="preserve">를 마주한다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황제와 킬롬부 지도자와 교육자라는 이상한 삼인조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둘 다 말을 아끼다가 결국 그의 커피 불평을 그리워한다고 인정한다</t>
    </r>
    <r>
      <rPr>
        <sz val="10"/>
        <rFont val="Arial"/>
        <family val="0"/>
        <charset val="1"/>
      </rPr>
      <t xml:space="preserve">.</t>
    </r>
  </si>
  <si>
    <t xml:space="preserve">Zumbi, Freire, Marta</t>
  </si>
  <si>
    <t xml:space="preserve">Antes do orçamento</t>
  </si>
  <si>
    <t xml:space="preserve">예산안 앞에서</t>
  </si>
  <si>
    <r>
      <rPr>
        <sz val="10"/>
        <rFont val="WenQuanYi Zen Hei"/>
        <family val="2"/>
      </rPr>
      <t xml:space="preserve">협정 이행 지원금과 기후 재원을 예산에 어떻게 넣을지 논쟁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연금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복지와의 줄다리기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그리고 재정규칙의 지출 상한</t>
    </r>
    <r>
      <rPr>
        <sz val="10"/>
        <rFont val="Noto Sans CJK SC"/>
        <family val="2"/>
        <charset val="1"/>
      </rPr>
      <t xml:space="preserve">. Bruno</t>
    </r>
    <r>
      <rPr>
        <sz val="10"/>
        <rFont val="WenQuanYi Zen Hei"/>
        <family val="2"/>
      </rPr>
      <t xml:space="preserve">가 브뤼셀 합의의 검증 가능한 경로를 방패로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</si>
  <si>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재정규칙</t>
    </r>
    <r>
      <rPr>
        <sz val="10"/>
        <rFont val="Noto Sans CJK SC"/>
        <family val="2"/>
        <charset val="1"/>
      </rPr>
      <t xml:space="preserve">(LC 200/2023), </t>
    </r>
    <r>
      <rPr>
        <sz val="10"/>
        <rFont val="WenQuanYi Zen Hei"/>
        <family val="2"/>
      </rPr>
      <t xml:space="preserve">예산 편성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협정 이행 국내 반영</t>
    </r>
  </si>
  <si>
    <t xml:space="preserve">Bruno, Rafael, Juliana</t>
  </si>
  <si>
    <t xml:space="preserve">A luta continua</t>
  </si>
  <si>
    <t xml:space="preserve">싸움은 계속된다</t>
  </si>
  <si>
    <r>
      <rPr>
        <sz val="10"/>
        <rFont val="WenQuanYi Zen Hei"/>
        <family val="2"/>
      </rPr>
      <t xml:space="preserve">예산안 제출 준비</t>
    </r>
    <r>
      <rPr>
        <sz val="10"/>
        <rFont val="Noto Sans CJK SC"/>
        <family val="2"/>
        <charset val="1"/>
      </rPr>
      <t xml:space="preserve">(8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31</t>
    </r>
    <r>
      <rPr>
        <sz val="10"/>
        <rFont val="WenQuanYi Zen Hei"/>
        <family val="2"/>
      </rPr>
      <t xml:space="preserve">일 시한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그동안의 성과 지표도 정리한다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의원 예산 수정</t>
    </r>
    <r>
      <rPr>
        <sz val="10"/>
        <rFont val="Noto Sans CJK SC"/>
        <family val="2"/>
        <charset val="1"/>
      </rPr>
      <t xml:space="preserve">(emendas) </t>
    </r>
    <r>
      <rPr>
        <sz val="10"/>
        <rFont val="WenQuanYi Zen Hei"/>
        <family val="2"/>
      </rPr>
      <t xml:space="preserve">몫을 늘리라는 의회의 압박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</si>
  <si>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예산안은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31</t>
    </r>
    <r>
      <rPr>
        <sz val="10"/>
        <rFont val="WenQuanYi Zen Hei"/>
        <family val="2"/>
      </rPr>
      <t xml:space="preserve">일까지 의회 제출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부칙 제</t>
    </r>
    <r>
      <rPr>
        <sz val="10"/>
        <rFont val="Noto Sans CJK SC"/>
        <family val="2"/>
        <charset val="1"/>
      </rPr>
      <t xml:space="preserve">35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미통과 시 예산지침법에 따른 잠정 집행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의원 예산 수정</t>
    </r>
  </si>
  <si>
    <t xml:space="preserve">Bruno, Rafael, Juliana, Zumbi</t>
  </si>
  <si>
    <t xml:space="preserve">São cinco horas</t>
  </si>
  <si>
    <t xml:space="preserve">다섯 시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</si>
  <si>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화와 같은 대사로 시작하지만 자리가 달라졌다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장관들은 이제 목요일 밤 비행기로 돌아온 손님이다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대통령인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은 변호사 활동을 할 수 없다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</si>
  <si>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공직자 이해충돌법</t>
    </r>
    <r>
      <rPr>
        <sz val="10"/>
        <rFont val="Noto Sans CJK SC"/>
        <family val="2"/>
        <charset val="1"/>
      </rPr>
      <t xml:space="preserve">(Lei 12.813/2013), </t>
    </r>
    <r>
      <rPr>
        <sz val="10"/>
        <rFont val="WenQuanYi Zen Hei"/>
        <family val="2"/>
      </rPr>
      <t xml:space="preserve">변호사법의 겸직 금지</t>
    </r>
    <r>
      <rPr>
        <sz val="10"/>
        <rFont val="Noto Sans CJK SC"/>
        <family val="2"/>
        <charset val="1"/>
      </rPr>
      <t xml:space="preserve">(Lei 8.906/1994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28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</si>
  <si>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t xml:space="preserve">Marta, Rafael</t>
  </si>
  <si>
    <t xml:space="preserve">O guarda-chuva</t>
  </si>
  <si>
    <t xml:space="preserve">우산</t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</si>
  <si>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의 유언장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공증인</t>
    </r>
    <r>
      <rPr>
        <sz val="10"/>
        <rFont val="Arial"/>
        <family val="0"/>
        <charset val="1"/>
      </rPr>
      <t xml:space="preserve">(tabeliã) </t>
    </r>
    <r>
      <rPr>
        <sz val="10"/>
        <rFont val="WenQuanYi Zen Hei"/>
        <family val="2"/>
      </rPr>
      <t xml:space="preserve">앞에서 우산이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에게 간다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상파울루의 이슬비</t>
    </r>
    <r>
      <rPr>
        <sz val="10"/>
        <rFont val="Arial"/>
        <family val="0"/>
        <charset val="1"/>
      </rPr>
      <t xml:space="preserve">(garoa)</t>
    </r>
    <r>
      <rPr>
        <sz val="10"/>
        <rFont val="WenQuanYi Zen Hei"/>
        <family val="2"/>
      </rPr>
      <t xml:space="preserve">를 막던 그 우산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</si>
  <si>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공정증서 유언</t>
    </r>
    <r>
      <rPr>
        <sz val="10"/>
        <rFont val="Noto Sans CJK SC"/>
        <family val="2"/>
        <charset val="1"/>
      </rPr>
      <t xml:space="preserve">(testamento público), </t>
    </r>
    <r>
      <rPr>
        <sz val="10"/>
        <rFont val="WenQuanYi Zen Hei"/>
        <family val="2"/>
      </rPr>
      <t xml:space="preserve">유언집행자</t>
    </r>
    <r>
      <rPr>
        <sz val="10"/>
        <rFont val="Noto Sans CJK SC"/>
        <family val="2"/>
        <charset val="1"/>
      </rPr>
      <t xml:space="preserve">(testamenteiro), </t>
    </r>
    <r>
      <rPr>
        <sz val="10"/>
        <rFont val="WenQuanYi Zen Hei"/>
        <family val="2"/>
      </rPr>
      <t xml:space="preserve">유언 등록 조회</t>
    </r>
    <r>
      <rPr>
        <sz val="10"/>
        <rFont val="Noto Sans CJK SC"/>
        <family val="2"/>
        <charset val="1"/>
      </rPr>
      <t xml:space="preserve">(RCTO)</t>
    </r>
  </si>
  <si>
    <t xml:space="preserve">Larissa, Zumbi, Marta</t>
  </si>
  <si>
    <t xml:space="preserve">A cadeira vazia</t>
  </si>
  <si>
    <t xml:space="preserve">빈 의자</t>
  </si>
  <si>
    <r>
      <rPr>
        <sz val="10"/>
        <rFont val="WenQuanYi Zen Hei"/>
        <family val="2"/>
      </rPr>
      <t xml:space="preserve">커피 한 잔이 놓인 빈 자리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새 손님이 그 자리에 앉으려 한다</t>
    </r>
    <r>
      <rPr>
        <sz val="10"/>
        <rFont val="Noto Sans CJK SC"/>
        <family val="2"/>
        <charset val="1"/>
      </rPr>
      <t xml:space="preserve">.</t>
    </r>
  </si>
  <si>
    <t xml:space="preserve">Marta, Zumbi</t>
  </si>
  <si>
    <t xml:space="preserve">Uma fundação para o escritório</t>
  </si>
  <si>
    <t xml:space="preserve">사무소를 재단으로</t>
  </si>
  <si>
    <r>
      <rPr>
        <sz val="10"/>
        <rFont val="WenQuanYi Zen Hei"/>
        <family val="2"/>
      </rPr>
      <t xml:space="preserve">장관들이 사무소를 떠나며 재단으로 전환한다</t>
    </r>
    <r>
      <rPr>
        <sz val="10"/>
        <rFont val="Noto Sans CJK SC"/>
        <family val="2"/>
        <charset val="1"/>
      </rPr>
      <t xml:space="preserve">. Edson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Marta</t>
    </r>
    <r>
      <rPr>
        <sz val="10"/>
        <rFont val="WenQuanYi Zen Hei"/>
        <family val="2"/>
      </rPr>
      <t xml:space="preserve">가 운영을 맡는다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</si>
  <si>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재단 설립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민법 제</t>
    </r>
    <r>
      <rPr>
        <sz val="10"/>
        <rFont val="Noto Sans CJK SC"/>
        <family val="2"/>
        <charset val="1"/>
      </rPr>
      <t xml:space="preserve">62~69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검찰의 재단 감독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공직자 이해충돌</t>
    </r>
  </si>
  <si>
    <t xml:space="preserve">Edson, Marta, Sérgio</t>
  </si>
  <si>
    <t xml:space="preserve">O estagiário novo</t>
  </si>
  <si>
    <t xml:space="preserve">새 인턴</t>
  </si>
  <si>
    <r>
      <rPr>
        <sz val="10"/>
        <rFont val="WenQuanYi Zen Hei"/>
        <family val="2"/>
      </rPr>
      <t xml:space="preserve">새 인턴 </t>
    </r>
    <r>
      <rPr>
        <sz val="10"/>
        <rFont val="Noto Sans CJK SC"/>
        <family val="2"/>
        <charset val="1"/>
      </rPr>
      <t xml:space="preserve">Lucas</t>
    </r>
    <r>
      <rPr>
        <sz val="10"/>
        <rFont val="WenQuanYi Zen Hei"/>
        <family val="2"/>
      </rPr>
      <t xml:space="preserve">가 도착해 </t>
    </r>
    <r>
      <rPr>
        <sz val="10"/>
        <rFont val="Noto Sans CJK SC"/>
        <family val="2"/>
        <charset val="1"/>
      </rPr>
      <t xml:space="preserve">«Desculpa, o que isso significa?»</t>
    </r>
    <r>
      <rPr>
        <sz val="10"/>
        <rFont val="WenQuanYi Zen Hei"/>
        <family val="2"/>
      </rPr>
      <t xml:space="preserve">라고 묻는다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가 답하는 쪽에 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</si>
  <si>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Larissa, Lucas(</t>
    </r>
    <r>
      <rPr>
        <sz val="10"/>
        <rFont val="WenQuanYi Zen Hei"/>
        <family val="2"/>
      </rPr>
      <t xml:space="preserve">신규 엑스트라</t>
    </r>
    <r>
      <rPr>
        <sz val="10"/>
        <rFont val="Arial"/>
        <family val="0"/>
        <charset val="1"/>
      </rPr>
      <t xml:space="preserve">)</t>
    </r>
  </si>
  <si>
    <t xml:space="preserve">A Larissa explica</t>
  </si>
  <si>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의 설명</t>
    </r>
  </si>
  <si>
    <r>
      <rPr>
        <sz val="10"/>
        <rFont val="Arial"/>
        <family val="0"/>
        <charset val="1"/>
      </rPr>
      <t xml:space="preserve">Lucas</t>
    </r>
    <r>
      <rPr>
        <sz val="10"/>
        <rFont val="WenQuanYi Zen Hei"/>
        <family val="2"/>
      </rPr>
      <t xml:space="preserve">의 질문에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가 어려운 말을 쉬운 말로 풀어 준다</t>
    </r>
    <r>
      <rPr>
        <sz val="10"/>
        <rFont val="Arial"/>
        <family val="0"/>
        <charset val="1"/>
      </rPr>
      <t xml:space="preserve">. Zumbi</t>
    </r>
    <r>
      <rPr>
        <sz val="10"/>
        <rFont val="WenQuanYi Zen Hei"/>
        <family val="2"/>
      </rPr>
      <t xml:space="preserve">도 함께 배운다</t>
    </r>
    <r>
      <rPr>
        <sz val="10"/>
        <rFont val="Arial"/>
        <family val="0"/>
        <charset val="1"/>
      </rPr>
      <t xml:space="preserve">.</t>
    </r>
  </si>
  <si>
    <t xml:space="preserve">Larissa, Zumbi</t>
  </si>
  <si>
    <t xml:space="preserve">O relatório do mandato</t>
  </si>
  <si>
    <t xml:space="preserve">임기 보고서</t>
  </si>
  <si>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가 숫자로 성과를 발표하고 </t>
    </r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가 사람 이야기로 보완한다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</si>
  <si>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성과 공시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연방 관보</t>
    </r>
    <r>
      <rPr>
        <sz val="10"/>
        <rFont val="Noto Sans CJK SC"/>
        <family val="2"/>
        <charset val="1"/>
      </rPr>
      <t xml:space="preserve">(Diário Oficial da União)</t>
    </r>
  </si>
  <si>
    <t xml:space="preserve">Bruno, Camila</t>
  </si>
  <si>
    <t xml:space="preserve">E3·S3·N5·N3</t>
  </si>
  <si>
    <t xml:space="preserve">As cartas do povo</t>
  </si>
  <si>
    <t xml:space="preserve">시민들이 보낸 편지</t>
  </si>
  <si>
    <r>
      <rPr>
        <sz val="10"/>
        <rFont val="Arial"/>
        <family val="0"/>
        <charset val="1"/>
      </rPr>
      <t xml:space="preserve">Dumont</t>
    </r>
    <r>
      <rPr>
        <sz val="10"/>
        <rFont val="WenQuanYi Zen Hei"/>
        <family val="2"/>
      </rPr>
      <t xml:space="preserve">이 편지를 낭독하고 </t>
    </r>
    <r>
      <rPr>
        <sz val="10"/>
        <rFont val="Arial"/>
        <family val="0"/>
        <charset val="1"/>
      </rPr>
      <t xml:space="preserve">Machado</t>
    </r>
    <r>
      <rPr>
        <sz val="10"/>
        <rFont val="WenQuanYi Zen Hei"/>
        <family val="2"/>
      </rPr>
      <t xml:space="preserve">가 답장을 쓴다</t>
    </r>
    <r>
      <rPr>
        <sz val="10"/>
        <rFont val="Arial"/>
        <family val="0"/>
        <charset val="1"/>
      </rPr>
      <t xml:space="preserve">.</t>
    </r>
  </si>
  <si>
    <t xml:space="preserve">Dumont, Machado</t>
  </si>
  <si>
    <t xml:space="preserve">A Velha Guarda</t>
  </si>
  <si>
    <t xml:space="preserve">올드 가드</t>
  </si>
  <si>
    <r>
      <rPr>
        <sz val="10"/>
        <rFont val="Arial"/>
        <family val="0"/>
        <charset val="1"/>
      </rPr>
      <t xml:space="preserve">Zumbi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Freire</t>
    </r>
    <r>
      <rPr>
        <sz val="10"/>
        <rFont val="WenQuanYi Zen Hei"/>
        <family val="2"/>
      </rPr>
      <t xml:space="preserve">와 빈 의자</t>
    </r>
    <r>
      <rPr>
        <sz val="10"/>
        <rFont val="Arial"/>
        <family val="0"/>
        <charset val="1"/>
      </rPr>
      <t xml:space="preserve">. Freire</t>
    </r>
    <r>
      <rPr>
        <sz val="10"/>
        <rFont val="WenQuanYi Zen Hei"/>
        <family val="2"/>
      </rPr>
      <t xml:space="preserve">가 마지막 카드를 꺼낸다</t>
    </r>
    <r>
      <rPr>
        <sz val="10"/>
        <rFont val="Arial"/>
        <family val="0"/>
        <charset val="1"/>
      </rPr>
      <t xml:space="preserve">.</t>
    </r>
  </si>
  <si>
    <t xml:space="preserve">Zumbi, Freire</t>
  </si>
  <si>
    <t xml:space="preserve">A ficha que faltava</t>
  </si>
  <si>
    <t xml:space="preserve">빠진 카드</t>
  </si>
  <si>
    <r>
      <rPr>
        <sz val="10"/>
        <rFont val="WenQuanYi Zen Hei"/>
        <family val="2"/>
      </rPr>
      <t xml:space="preserve">카드 뒷면에 끝내 적지 않던 것</t>
    </r>
    <r>
      <rPr>
        <sz val="10"/>
        <rFont val="Noto Sans CJK SC"/>
        <family val="2"/>
        <charset val="1"/>
      </rPr>
      <t xml:space="preserve">. Freire</t>
    </r>
    <r>
      <rPr>
        <sz val="10"/>
        <rFont val="WenQuanYi Zen Hei"/>
        <family val="2"/>
      </rPr>
      <t xml:space="preserve">가 처음으로 결론을 직접 말한다</t>
    </r>
    <r>
      <rPr>
        <sz val="10"/>
        <rFont val="Noto Sans CJK SC"/>
        <family val="2"/>
        <charset val="1"/>
      </rPr>
      <t xml:space="preserve">.</t>
    </r>
  </si>
  <si>
    <t xml:space="preserve">Freire, Larissa</t>
  </si>
  <si>
    <t xml:space="preserve">De novo às cinco</t>
  </si>
  <si>
    <t xml:space="preserve">다시 다섯 시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</si>
  <si>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장면을 새 인턴이 읽고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낭독 학습자도 다시 읽는다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원형 구조</t>
    </r>
    <r>
      <rPr>
        <sz val="10"/>
        <rFont val="Arial"/>
        <family val="0"/>
        <charset val="1"/>
      </rPr>
      <t xml:space="preserve">.</t>
    </r>
  </si>
  <si>
    <t xml:space="preserve">결말</t>
  </si>
  <si>
    <t xml:space="preserve">Senta aí, que eu trago alguma coisa</t>
  </si>
  <si>
    <r>
      <rPr>
        <sz val="10"/>
        <rFont val="WenQuanYi Zen Hei"/>
        <family val="2"/>
      </rPr>
      <t xml:space="preserve">앉아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뭐 좀 내올게</t>
    </r>
  </si>
  <si>
    <r>
      <rPr>
        <sz val="10"/>
        <rFont val="WenQuanYi Zen Hei"/>
        <family val="2"/>
      </rPr>
      <t xml:space="preserve">최종화</t>
    </r>
    <r>
      <rPr>
        <sz val="10"/>
        <rFont val="Noto Sans CJK SC"/>
        <family val="2"/>
        <charset val="1"/>
      </rPr>
      <t xml:space="preserve">. Marta</t>
    </r>
    <r>
      <rPr>
        <sz val="10"/>
        <rFont val="WenQuanYi Zen Hei"/>
        <family val="2"/>
      </rPr>
      <t xml:space="preserve">의 시그니처로 끝난다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</si>
  <si>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Marta, </t>
    </r>
    <r>
      <rPr>
        <sz val="10"/>
        <rFont val="WenQuanYi Zen Hei"/>
        <family val="2"/>
      </rPr>
      <t xml:space="preserve">전원</t>
    </r>
  </si>
  <si>
    <r>
      <rPr>
        <b val="true"/>
        <sz val="14"/>
        <color rgb="FF1F3864"/>
        <rFont val="WenQuanYi Zen Hei"/>
        <family val="2"/>
      </rPr>
      <t xml:space="preserve">복선 설치와 회수 </t>
    </r>
    <r>
      <rPr>
        <b val="true"/>
        <sz val="14"/>
        <color rgb="FF1F3864"/>
        <rFont val="Noto Sans CJK SC"/>
        <family val="2"/>
        <charset val="1"/>
      </rPr>
      <t xml:space="preserve">(Setup → Payoff)</t>
    </r>
  </si>
  <si>
    <r>
      <rPr>
        <i val="true"/>
        <sz val="9"/>
        <color rgb="FF595959"/>
        <rFont val="WenQuanYi Zen Hei"/>
        <family val="2"/>
      </rPr>
      <t xml:space="preserve">설치 부와 회수 부의 간격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부 수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은 수식으로 계산됩니다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간격이 클수록 오래 기다린 복선이라 낭독 시 기억에 남습니다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</si>
  <si>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복선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설치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</si>
  <si>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유형</t>
  </si>
  <si>
    <t xml:space="preserve">설치 부</t>
  </si>
  <si>
    <t xml:space="preserve">설치 위치</t>
  </si>
  <si>
    <t xml:space="preserve">회수 부</t>
  </si>
  <si>
    <r>
      <rPr>
        <b val="true"/>
        <sz val="10"/>
        <color rgb="FFFFFFFF"/>
        <rFont val="WenQuanYi Zen Hei"/>
        <family val="2"/>
      </rPr>
      <t xml:space="preserve">간격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부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</si>
  <si>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회수 위치와 효과</t>
  </si>
  <si>
    <t xml:space="preserve">관련 인물</t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</si>
  <si>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«Este será o meu último inverno» </t>
    </r>
    <r>
      <rPr>
        <sz val="10"/>
        <rFont val="WenQuanYi Zen Hei"/>
        <family val="2"/>
      </rPr>
      <t xml:space="preserve">반복</t>
    </r>
  </si>
  <si>
    <t xml:space="preserve">대사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</si>
  <si>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</si>
  <si>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— 양치기 소년 개그가 진짜 죽음이 되는 낙차</t>
    </r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</si>
  <si>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에게 우산</t>
    </r>
    <r>
      <rPr>
        <sz val="10"/>
        <rFont val="Arial"/>
        <family val="0"/>
        <charset val="1"/>
      </rPr>
      <t xml:space="preserve">(garoa</t>
    </r>
    <r>
      <rPr>
        <sz val="10"/>
        <rFont val="WenQuanYi Zen Hei"/>
        <family val="2"/>
      </rPr>
      <t xml:space="preserve">용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물려준다고 말한다</t>
    </r>
  </si>
  <si>
    <t xml:space="preserve">소품</t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</si>
  <si>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 — 유언장에서 우산이 진짜 유산으로 돌아옴</t>
    </r>
  </si>
  <si>
    <t xml:space="preserve">Dom Pedro, Larissa</t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</si>
  <si>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의 부은 발목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숨참</t>
    </r>
  </si>
  <si>
    <t xml:space="preserve">설정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</si>
  <si>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1·5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</si>
  <si>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6·11~12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가 진단을 알고도 침묵한 이유가 드러남</t>
    </r>
  </si>
  <si>
    <t xml:space="preserve">Camila, Dom Pedro</t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</si>
  <si>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의 최고 칭찬 </t>
    </r>
    <r>
      <rPr>
        <sz val="10"/>
        <rFont val="Arial"/>
        <family val="0"/>
        <charset val="1"/>
      </rPr>
      <t xml:space="preserve">«Não é ruim.»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</si>
  <si>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(Machado</t>
    </r>
    <r>
      <rPr>
        <sz val="10"/>
        <rFont val="WenQuanYi Zen Hei"/>
        <family val="2"/>
      </rPr>
      <t xml:space="preserve">에게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</si>
  <si>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에게 처음이자 마지막 칭찬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브뤼셀 승리 직후라 더 무겁다</t>
    </r>
  </si>
  <si>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폭발</t>
    </r>
  </si>
  <si>
    <t xml:space="preserve">사건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</si>
  <si>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</si>
  <si>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— 몰라서 화내던 </t>
    </r>
    <r>
      <rPr>
        <sz val="10"/>
        <rFont val="Arial"/>
        <family val="0"/>
        <charset val="1"/>
      </rPr>
      <t xml:space="preserve">Larissa → </t>
    </r>
    <r>
      <rPr>
        <sz val="10"/>
        <rFont val="WenQuanYi Zen Hei"/>
        <family val="2"/>
      </rPr>
      <t xml:space="preserve">알아서 화내는 </t>
    </r>
    <r>
      <rPr>
        <sz val="10"/>
        <rFont val="Arial"/>
        <family val="0"/>
        <charset val="1"/>
      </rPr>
      <t xml:space="preserve">Larissa</t>
    </r>
  </si>
  <si>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'o senhor' (Dom Pedro</t>
    </r>
    <r>
      <rPr>
        <sz val="10"/>
        <rFont val="WenQuanYi Zen Hei"/>
        <family val="2"/>
      </rPr>
      <t xml:space="preserve">에게</t>
    </r>
    <r>
      <rPr>
        <sz val="10"/>
        <rFont val="Arial"/>
        <family val="0"/>
        <charset val="1"/>
      </rPr>
      <t xml:space="preserve">)</t>
    </r>
  </si>
  <si>
    <t xml:space="preserve">호칭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</si>
  <si>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— 조사에서 처음 </t>
    </r>
    <r>
      <rPr>
        <sz val="10"/>
        <rFont val="Arial"/>
        <family val="0"/>
        <charset val="1"/>
      </rPr>
      <t xml:space="preserve">'você' — </t>
    </r>
    <r>
      <rPr>
        <sz val="10"/>
        <rFont val="WenQuanYi Zen Hei"/>
        <family val="2"/>
      </rPr>
      <t xml:space="preserve">호칭 전환이 곧 애도</t>
    </r>
  </si>
  <si>
    <t xml:space="preserve">Larissa, Dom Pedro</t>
  </si>
  <si>
    <r>
      <rPr>
        <sz val="10"/>
        <rFont val="Arial"/>
        <family val="0"/>
        <charset val="1"/>
      </rPr>
      <t xml:space="preserve">Freire</t>
    </r>
    <r>
      <rPr>
        <sz val="10"/>
        <rFont val="WenQuanYi Zen Hei"/>
        <family val="2"/>
      </rPr>
      <t xml:space="preserve">의 카드 </t>
    </r>
    <r>
      <rPr>
        <sz val="10"/>
        <rFont val="Arial"/>
        <family val="0"/>
        <charset val="1"/>
      </rPr>
      <t xml:space="preserve">#1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«Procure você.»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</si>
  <si>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</si>
  <si>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 — 끝까지 결론을 말하지 않던 그가 처음 답을 말함</t>
    </r>
  </si>
  <si>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의 조항 </t>
    </r>
    <r>
      <rPr>
        <sz val="10"/>
        <rFont val="Arial"/>
        <family val="0"/>
        <charset val="1"/>
      </rPr>
      <t xml:space="preserve">«retomada para obras»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</si>
  <si>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</si>
  <si>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— 자기가 만든 조항을 국정에서 폐지</t>
    </r>
  </si>
  <si>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«Isso não fecha»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</si>
  <si>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</si>
  <si>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 — 감사인의 눈이 처음 이상을 발견한 순간의 원점</t>
    </r>
  </si>
  <si>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의 복사본 </t>
    </r>
    <r>
      <rPr>
        <sz val="10"/>
        <rFont val="Arial"/>
        <family val="0"/>
        <charset val="1"/>
      </rPr>
      <t xml:space="preserve">USB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</si>
  <si>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</si>
  <si>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5~6</t>
    </r>
    <r>
      <rPr>
        <sz val="10"/>
        <rFont val="WenQuanYi Zen Hei"/>
        <family val="2"/>
      </rPr>
      <t xml:space="preserve">화 — 서명의 죄가 고소의 증거로 바뀜</t>
    </r>
  </si>
  <si>
    <t xml:space="preserve">Bruno, Rafael</t>
  </si>
  <si>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</t>
    </r>
    <r>
      <rPr>
        <sz val="10"/>
        <rFont val="WenQuanYi Zen Hei"/>
        <family val="2"/>
      </rPr>
      <t xml:space="preserve">다시는 서명하지 않는다</t>
    </r>
    <r>
      <rPr>
        <sz val="10"/>
        <rFont val="Arial"/>
        <family val="0"/>
        <charset val="1"/>
      </rPr>
      <t xml:space="preserve">»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</si>
  <si>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</si>
  <si>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«Eu só assino o que verifiquei» — </t>
    </r>
    <r>
      <rPr>
        <sz val="10"/>
        <rFont val="WenQuanYi Zen Hei"/>
        <family val="2"/>
      </rPr>
      <t xml:space="preserve">브뤼셀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협상에서 숫자 서명의 회수</t>
    </r>
  </si>
  <si>
    <r>
      <rPr>
        <sz val="10"/>
        <rFont val="Arial"/>
        <family val="0"/>
        <charset val="1"/>
      </rPr>
      <t xml:space="preserve">Juliana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C47 </t>
    </r>
    <r>
      <rPr>
        <sz val="10"/>
        <rFont val="WenQuanYi Zen Hei"/>
        <family val="2"/>
      </rPr>
      <t xml:space="preserve">셀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</si>
  <si>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</si>
  <si>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— 사람을 지우던 셀이 해고 없는 통합 모델로</t>
    </r>
  </si>
  <si>
    <r>
      <rPr>
        <sz val="10"/>
        <rFont val="Arial"/>
        <family val="0"/>
        <charset val="1"/>
      </rPr>
      <t xml:space="preserve">Juliana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«Vamos colocar isso numa matriz»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</si>
  <si>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«Beleza, sem slide» — </t>
    </r>
    <r>
      <rPr>
        <sz val="10"/>
        <rFont val="WenQuanYi Zen Hei"/>
        <family val="2"/>
      </rPr>
      <t xml:space="preserve">쉬운 말로의 변화</t>
    </r>
  </si>
  <si>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의 이름 명단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</si>
  <si>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</si>
  <si>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— 수첩의 이름들이 임기 보고서의 사람 이야기가 됨</t>
    </r>
  </si>
  <si>
    <r>
      <rPr>
        <sz val="10"/>
        <rFont val="Arial"/>
        <family val="0"/>
        <charset val="1"/>
      </rPr>
      <t xml:space="preserve">Edson–Juliana </t>
    </r>
    <r>
      <rPr>
        <sz val="10"/>
        <rFont val="WenQuanYi Zen Hei"/>
        <family val="2"/>
      </rPr>
      <t xml:space="preserve">갈등</t>
    </r>
  </si>
  <si>
    <t xml:space="preserve">관계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</si>
  <si>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7·10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</si>
  <si>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— 해고한 쪽과 해고당한 쪽의 화해</t>
    </r>
  </si>
  <si>
    <t xml:space="preserve">Edson, Juliana</t>
  </si>
  <si>
    <r>
      <rPr>
        <sz val="10"/>
        <rFont val="Arial"/>
        <family val="0"/>
        <charset val="1"/>
      </rPr>
      <t xml:space="preserve">Sérgio</t>
    </r>
    <r>
      <rPr>
        <sz val="10"/>
        <rFont val="WenQuanYi Zen Hei"/>
        <family val="2"/>
      </rPr>
      <t xml:space="preserve">의 첫 등장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의뢰인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</si>
  <si>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</si>
  <si>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— 내부고발자가 시 계약 스캔들의 열쇠가 됨</t>
    </r>
  </si>
  <si>
    <r>
      <rPr>
        <sz val="10"/>
        <rFont val="Arial"/>
        <family val="0"/>
        <charset val="1"/>
      </rPr>
      <t xml:space="preserve">Grupo Meridiano</t>
    </r>
    <r>
      <rPr>
        <sz val="10"/>
        <rFont val="WenQuanYi Zen Hei"/>
        <family val="2"/>
      </rPr>
      <t xml:space="preserve">의 이름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</si>
  <si>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</si>
  <si>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개 부를 관통하는 악역이 재판에 이르는 흐름</t>
    </r>
  </si>
  <si>
    <r>
      <rPr>
        <sz val="10"/>
        <rFont val="Arial"/>
        <family val="0"/>
        <charset val="1"/>
      </rPr>
      <t xml:space="preserve">Isabel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«E como isso faz você se sentir?»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</si>
  <si>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</si>
  <si>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애도 상담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청년 정신건강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다들 질색하던 질문이 처음 진지하게 쓰임</t>
    </r>
  </si>
  <si>
    <r>
      <rPr>
        <sz val="10"/>
        <rFont val="Arial"/>
        <family val="0"/>
        <charset val="1"/>
      </rPr>
      <t xml:space="preserve">Machado</t>
    </r>
    <r>
      <rPr>
        <sz val="10"/>
        <rFont val="WenQuanYi Zen Hei"/>
        <family val="2"/>
      </rPr>
      <t xml:space="preserve">의 서툰 첫 연설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</si>
  <si>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</si>
  <si>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— 취임 연설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유작 메모까지 이어지는 글쟁이의 성장</t>
    </r>
  </si>
  <si>
    <r>
      <rPr>
        <sz val="10"/>
        <rFont val="Arial"/>
        <family val="0"/>
        <charset val="1"/>
      </rPr>
      <t xml:space="preserve">Zumbi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«Sem novidade no quilombo»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</si>
  <si>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</si>
  <si>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— 대홍수 앞에서 처음으로 </t>
    </r>
    <r>
      <rPr>
        <sz val="10"/>
        <rFont val="Arial"/>
        <family val="0"/>
        <charset val="1"/>
      </rPr>
      <t xml:space="preserve">«Tem novidade.»</t>
    </r>
    <r>
      <rPr>
        <sz val="10"/>
        <rFont val="WenQuanYi Zen Hei"/>
        <family val="2"/>
      </rPr>
      <t xml:space="preserve">라고 보고</t>
    </r>
  </si>
  <si>
    <r>
      <rPr>
        <sz val="10"/>
        <rFont val="Arial"/>
        <family val="0"/>
        <charset val="1"/>
      </rPr>
      <t xml:space="preserve">Marta</t>
    </r>
    <r>
      <rPr>
        <sz val="10"/>
        <rFont val="WenQuanYi Zen Hei"/>
        <family val="2"/>
      </rPr>
      <t xml:space="preserve">의 식탁과 </t>
    </r>
    <r>
      <rPr>
        <sz val="10"/>
        <rFont val="Arial"/>
        <family val="0"/>
        <charset val="1"/>
      </rPr>
      <t xml:space="preserve">«Senta aí, que eu trago alguma coisa.»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</si>
  <si>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1·12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</si>
  <si>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— 같은 대사로 시작해 같은 대사로 끝나는 원형</t>
    </r>
  </si>
  <si>
    <t xml:space="preserve">«São cinco horas. Começa a reunião…»</t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</si>
  <si>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</si>
  <si>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1·11</t>
    </r>
    <r>
      <rPr>
        <sz val="10"/>
        <rFont val="WenQuanYi Zen Hei"/>
        <family val="2"/>
      </rPr>
      <t xml:space="preserve">화 — 시간의 고리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낭독자가 같은 문장을 다시 읽음</t>
    </r>
  </si>
  <si>
    <r>
      <rPr>
        <sz val="10"/>
        <rFont val="Arial"/>
        <family val="0"/>
        <charset val="1"/>
      </rPr>
      <t xml:space="preserve">TB</t>
    </r>
    <r>
      <rPr>
        <sz val="10"/>
        <rFont val="WenQuanYi Zen Hei"/>
        <family val="2"/>
      </rPr>
      <t xml:space="preserve">의 조건부 중립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 부채 재협상 요구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</si>
  <si>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11~12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</si>
  <si>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— 연립 협상의 대가가 탄핵 표결 정국으로 이어짐</t>
    </r>
  </si>
  <si>
    <t xml:space="preserve">Juliana, Rafael</t>
  </si>
  <si>
    <t xml:space="preserve">공익소송 자격 제한 법안</t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</si>
  <si>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</si>
  <si>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1~5</t>
    </r>
    <r>
      <rPr>
        <sz val="10"/>
        <rFont val="WenQuanYi Zen Hei"/>
        <family val="2"/>
      </rPr>
      <t xml:space="preserve">화 — 법정 승리가 법 앞에서 무력해지는 경험이 창당의 동기</t>
    </r>
  </si>
  <si>
    <t xml:space="preserve">Rafael, Edson</t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</si>
  <si>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가 브뤼셀행을 자원한다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</si>
  <si>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</si>
  <si>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— 그의 메모로 팀이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협상을 잇는 복선</t>
    </r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</si>
  <si>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가 상대의 과장을 위성 자료로 반박한다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</si>
  <si>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</si>
  <si>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Machado·Bruno</t>
    </r>
    <r>
      <rPr>
        <sz val="10"/>
        <rFont val="WenQuanYi Zen Hei"/>
        <family val="2"/>
      </rPr>
      <t xml:space="preserve">가 같은 화법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정확한 반박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물려받음</t>
    </r>
  </si>
  <si>
    <t xml:space="preserve">Dom Pedro, Bruno</t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</si>
  <si>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부의 도청 논쟁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</si>
  <si>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</si>
  <si>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— 개인 간 도청 논쟁이 국가적 스캔들로 확장</t>
    </r>
  </si>
  <si>
    <t xml:space="preserve">Freire, Rafael, Dumont</t>
  </si>
  <si>
    <r>
      <rPr>
        <sz val="10"/>
        <rFont val="Arial"/>
        <family val="0"/>
        <charset val="1"/>
      </rPr>
      <t xml:space="preserve">Dumont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«Preciso de duas fontes»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</si>
  <si>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</si>
  <si>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— 폭로 기사에서 두 개의 출처를 갖추는 장면</t>
    </r>
  </si>
  <si>
    <t xml:space="preserve">Dumont, Freire</t>
  </si>
  <si>
    <r>
      <rPr>
        <b val="true"/>
        <sz val="10"/>
        <rFont val="WenQuanYi Zen Hei"/>
        <family val="2"/>
      </rPr>
      <t xml:space="preserve">평균 간격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부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</si>
  <si>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가장 긴 복선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부</t>
    </r>
    <r>
      <rPr>
        <b val="true"/>
        <sz val="10"/>
        <rFont val="Noto Sans CJK SC"/>
        <family val="2"/>
        <charset val="1"/>
      </rPr>
      <t xml:space="preserve">)</t>
    </r>
  </si>
  <si>
    <t xml:space="preserve">복선 개수</t>
  </si>
  <si>
    <r>
      <rPr>
        <b val="true"/>
        <sz val="14"/>
        <color rgb="FF1F3864"/>
        <rFont val="WenQuanYi Zen Hei"/>
        <family val="2"/>
      </rPr>
      <t xml:space="preserve">브라질 현안 </t>
    </r>
    <r>
      <rPr>
        <b val="true"/>
        <sz val="14"/>
        <color rgb="FF1F3864"/>
        <rFont val="Noto Sans CJK SC"/>
        <family val="2"/>
        <charset val="1"/>
      </rPr>
      <t xml:space="preserve">18</t>
    </r>
    <r>
      <rPr>
        <b val="true"/>
        <sz val="14"/>
        <color rgb="FF1F3864"/>
        <rFont val="WenQuanYi Zen Hei"/>
        <family val="2"/>
      </rPr>
      <t xml:space="preserve">개 배치표</t>
    </r>
  </si>
  <si>
    <r>
      <rPr>
        <i val="true"/>
        <sz val="9"/>
        <color rgb="FF595959"/>
        <rFont val="WenQuanYi Zen Hei"/>
        <family val="2"/>
      </rPr>
      <t xml:space="preserve">현재 브라질의 쟁점을 이야기 곳곳에 녹이는 계획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현실의 정당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정치인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참사 희생자는 특정하지 않고 가상 설정으로 각색하며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제도와 통계만 현실 기준으로 쓴다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</si>
  <si>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ID</t>
  </si>
  <si>
    <t xml:space="preserve">분야</t>
  </si>
  <si>
    <t xml:space="preserve">포르투갈어 키워드</t>
  </si>
  <si>
    <t xml:space="preserve">이야기 속 가상 설정</t>
  </si>
  <si>
    <r>
      <rPr>
        <b val="true"/>
        <sz val="10"/>
        <color rgb="FFFFFFFF"/>
        <rFont val="WenQuanYi Zen Hei"/>
        <family val="2"/>
      </rPr>
      <t xml:space="preserve">주요 배치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전용 화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</si>
  <si>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곁가지 배치</t>
  </si>
  <si>
    <t xml:space="preserve">권한 소재</t>
  </si>
  <si>
    <r>
      <rPr>
        <b val="true"/>
        <sz val="10"/>
        <color rgb="FFFFFFFF"/>
        <rFont val="WenQuanYi Zen Hei"/>
        <family val="2"/>
      </rPr>
      <t xml:space="preserve">관련 제도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법</t>
    </r>
  </si>
  <si>
    <t xml:space="preserve">낭독 어휘</t>
  </si>
  <si>
    <r>
      <rPr>
        <b val="true"/>
        <sz val="10"/>
        <color rgb="FFFFFFFF"/>
        <rFont val="WenQuanYi Zen Hei"/>
        <family val="2"/>
      </rPr>
      <t xml:space="preserve">균형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민감도 유의</t>
    </r>
  </si>
  <si>
    <r>
      <rPr>
        <b val="true"/>
        <sz val="10"/>
        <color rgb="FFFFFFFF"/>
        <rFont val="WenQuanYi Zen Hei"/>
        <family val="2"/>
      </rPr>
      <t xml:space="preserve">현실 기준값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확인</t>
    </r>
  </si>
  <si>
    <r>
      <rPr>
        <sz val="10"/>
        <rFont val="WenQuanYi Zen Hei"/>
        <family val="2"/>
      </rPr>
      <t xml:space="preserve">연립 대통령제와 의회 거래</t>
    </r>
    <r>
      <rPr>
        <sz val="10"/>
        <rFont val="Noto Sans CJK SC"/>
        <family val="2"/>
        <charset val="1"/>
      </rPr>
      <t xml:space="preserve">(Centrão)</t>
    </r>
  </si>
  <si>
    <t xml:space="preserve">presidencialismo de coalizão, Centrão, base aliada, cargos, emendas</t>
  </si>
  <si>
    <r>
      <rPr>
        <sz val="10"/>
        <rFont val="WenQuanYi Zen Hei"/>
        <family val="2"/>
      </rPr>
      <t xml:space="preserve">대통령은 직선이지만 의회 과반은 수십 개 정당으로 쪼개져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법안마다 장관직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예산 수정</t>
    </r>
    <r>
      <rPr>
        <sz val="10"/>
        <rFont val="Noto Sans CJK SC"/>
        <family val="2"/>
        <charset val="1"/>
      </rPr>
      <t xml:space="preserve">(emendas)</t>
    </r>
    <r>
      <rPr>
        <sz val="10"/>
        <rFont val="WenQuanYi Zen Hei"/>
        <family val="2"/>
      </rPr>
      <t xml:space="preserve">을 주고받는 거래 비용이 든다</t>
    </r>
    <r>
      <rPr>
        <sz val="10"/>
        <rFont val="Noto Sans CJK SC"/>
        <family val="2"/>
        <charset val="1"/>
      </rPr>
      <t xml:space="preserve">. Casa Comum</t>
    </r>
    <r>
      <rPr>
        <sz val="10"/>
        <rFont val="WenQuanYi Zen Hei"/>
        <family val="2"/>
      </rPr>
      <t xml:space="preserve">도 하원 </t>
    </r>
    <r>
      <rPr>
        <sz val="10"/>
        <rFont val="Noto Sans CJK SC"/>
        <family val="2"/>
        <charset val="1"/>
      </rPr>
      <t xml:space="preserve">48</t>
    </r>
    <r>
      <rPr>
        <sz val="10"/>
        <rFont val="WenQuanYi Zen Hei"/>
        <family val="2"/>
      </rPr>
      <t xml:space="preserve">석으로 중도 연합</t>
    </r>
    <r>
      <rPr>
        <sz val="10"/>
        <rFont val="Noto Sans CJK SC"/>
        <family val="2"/>
        <charset val="1"/>
      </rPr>
      <t xml:space="preserve">(PCN)</t>
    </r>
    <r>
      <rPr>
        <sz val="10"/>
        <rFont val="WenQuanYi Zen Hei"/>
        <family val="2"/>
      </rPr>
      <t xml:space="preserve">과 지역정당을 끌어안아야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</si>
  <si>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불편한 동맹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 정권 인수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연립 협상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합쳐지지 않는 탄핵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</si>
  <si>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왜 새 정당인가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거래 정치 피로</t>
    </r>
    <r>
      <rPr>
        <sz val="10"/>
        <rFont val="Arial"/>
        <family val="0"/>
        <charset val="1"/>
      </rPr>
      <t xml:space="preserve">), 13</t>
    </r>
    <r>
      <rPr>
        <sz val="10"/>
        <rFont val="WenQuanYi Zen Hei"/>
        <family val="2"/>
      </rPr>
      <t xml:space="preserve">부</t>
    </r>
  </si>
  <si>
    <t xml:space="preserve">Juliana, Rafael, Edson</t>
  </si>
  <si>
    <r>
      <rPr>
        <sz val="10"/>
        <rFont val="WenQuanYi Zen Hei"/>
        <family val="2"/>
      </rPr>
      <t xml:space="preserve">연방의회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시의회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</si>
  <si>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84·85·86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예산 수정 규정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166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정당 간 합의</t>
    </r>
  </si>
  <si>
    <t xml:space="preserve">base aliada, governabilidade, fisiologismo, emenda parlamentar, bancada</t>
  </si>
  <si>
    <r>
      <rPr>
        <sz val="10"/>
        <rFont val="WenQuanYi Zen Hei"/>
        <family val="2"/>
      </rPr>
      <t xml:space="preserve">특정 실존 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인물을 비난하는 대사 금지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가상 정당</t>
    </r>
    <r>
      <rPr>
        <sz val="10"/>
        <rFont val="Noto Sans CJK SC"/>
        <family val="2"/>
        <charset val="1"/>
      </rPr>
      <t xml:space="preserve">(UCN·PPS·PCN·HU·TA·TB)</t>
    </r>
    <r>
      <rPr>
        <sz val="10"/>
        <rFont val="WenQuanYi Zen Hei"/>
        <family val="2"/>
      </rPr>
      <t xml:space="preserve">으로만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</si>
  <si>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현실의 하원은 </t>
    </r>
    <r>
      <rPr>
        <sz val="10"/>
        <rFont val="Noto Sans CJK SC"/>
        <family val="2"/>
        <charset val="1"/>
      </rPr>
      <t xml:space="preserve">20</t>
    </r>
    <r>
      <rPr>
        <sz val="10"/>
        <rFont val="WenQuanYi Zen Hei"/>
        <family val="2"/>
      </rPr>
      <t xml:space="preserve">개 안팎의 정당으로 나뉘어 있다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반영 전 확인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이야기에는 실제 정당명을 쓰지 않음</t>
    </r>
  </si>
  <si>
    <t xml:space="preserve">P2</t>
  </si>
  <si>
    <r>
      <rPr>
        <sz val="10"/>
        <rFont val="WenQuanYi Zen Hei"/>
        <family val="2"/>
      </rPr>
      <t xml:space="preserve">연방 갈등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주 정부 부채 재협상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재정 분권</t>
    </r>
  </si>
  <si>
    <t xml:space="preserve">pacto federativo, dívida dos estados, renegociação, ICMS, compensação</t>
  </si>
  <si>
    <r>
      <rPr>
        <sz val="10"/>
        <rFont val="WenQuanYi Zen Hei"/>
        <family val="2"/>
      </rPr>
      <t xml:space="preserve">지역정당 연합 </t>
    </r>
    <r>
      <rPr>
        <sz val="10"/>
        <rFont val="Noto Sans CJK SC"/>
        <family val="2"/>
        <charset val="1"/>
      </rPr>
      <t xml:space="preserve">TB</t>
    </r>
    <r>
      <rPr>
        <sz val="10"/>
        <rFont val="WenQuanYi Zen Hei"/>
        <family val="2"/>
      </rPr>
      <t xml:space="preserve">가 지지의 대가로 자기 주의 연방 부채 재협상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사실상 탕감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과 조세개혁 보상 확대를 요구한다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결선 지지와 탄핵 표결이 여기에 걸린다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</si>
  <si>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 정권 인수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연립 협상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</si>
  <si>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(TV </t>
    </r>
    <r>
      <rPr>
        <sz val="10"/>
        <rFont val="WenQuanYi Zen Hei"/>
        <family val="2"/>
      </rPr>
      <t xml:space="preserve">토론 공격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탄핵 표결에서 </t>
    </r>
    <r>
      <rPr>
        <sz val="10"/>
        <rFont val="Arial"/>
        <family val="0"/>
        <charset val="1"/>
      </rPr>
      <t xml:space="preserve">TB</t>
    </r>
    <r>
      <rPr>
        <sz val="10"/>
        <rFont val="WenQuanYi Zen Hei"/>
        <family val="2"/>
      </rPr>
      <t xml:space="preserve">의 기권</t>
    </r>
    <r>
      <rPr>
        <sz val="10"/>
        <rFont val="Arial"/>
        <family val="0"/>
        <charset val="1"/>
      </rPr>
      <t xml:space="preserve">)</t>
    </r>
  </si>
  <si>
    <t xml:space="preserve">Rafael, Dom Pedro, Edson, Juliana</t>
  </si>
  <si>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연방상원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</si>
  <si>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상원의 부채 한도 권한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주 부채 재협상 프로그램</t>
    </r>
    <r>
      <rPr>
        <sz val="10"/>
        <rFont val="Noto Sans CJK SC"/>
        <family val="2"/>
        <charset val="1"/>
      </rPr>
      <t xml:space="preserve">(LC 212/2025, </t>
    </r>
    <r>
      <rPr>
        <sz val="10"/>
        <rFont val="WenQuanYi Zen Hei"/>
        <family val="2"/>
      </rPr>
      <t xml:space="preserve">확인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조세개혁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개정 </t>
    </r>
    <r>
      <rPr>
        <sz val="10"/>
        <rFont val="Noto Sans CJK SC"/>
        <family val="2"/>
        <charset val="1"/>
      </rPr>
      <t xml:space="preserve">132/2023)</t>
    </r>
  </si>
  <si>
    <t xml:space="preserve">dívida, renegociação, compensação, repartição de receitas</t>
  </si>
  <si>
    <r>
      <rPr>
        <sz val="10"/>
        <rFont val="WenQuanYi Zen Hei"/>
        <family val="2"/>
      </rPr>
      <t xml:space="preserve">가장 민감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부채가 많은 주와 성실히 갚은 주의 논거를 각 인물이 나눠 말하게 하고 결론은 열어 둔다</t>
    </r>
    <r>
      <rPr>
        <sz val="10"/>
        <rFont val="Noto Sans CJK SC"/>
        <family val="2"/>
        <charset val="1"/>
      </rPr>
      <t xml:space="preserve">(Rafael</t>
    </r>
    <r>
      <rPr>
        <sz val="10"/>
        <rFont val="WenQuanYi Zen Hei"/>
        <family val="2"/>
      </rPr>
      <t xml:space="preserve">은 형평 우려</t>
    </r>
    <r>
      <rPr>
        <sz val="10"/>
        <rFont val="Noto Sans CJK SC"/>
        <family val="2"/>
        <charset val="1"/>
      </rPr>
      <t xml:space="preserve">, Edson</t>
    </r>
    <r>
      <rPr>
        <sz val="10"/>
        <rFont val="WenQuanYi Zen Hei"/>
        <family val="2"/>
      </rPr>
      <t xml:space="preserve">은 주민 복지</t>
    </r>
    <r>
      <rPr>
        <sz val="10"/>
        <rFont val="Noto Sans CJK SC"/>
        <family val="2"/>
        <charset val="1"/>
      </rPr>
      <t xml:space="preserve">, Juliana</t>
    </r>
    <r>
      <rPr>
        <sz val="10"/>
        <rFont val="WenQuanYi Zen Hei"/>
        <family val="2"/>
      </rPr>
      <t xml:space="preserve">는 현실 협상</t>
    </r>
    <r>
      <rPr>
        <sz val="10"/>
        <rFont val="Noto Sans CJK SC"/>
        <family val="2"/>
        <charset val="1"/>
      </rPr>
      <t xml:space="preserve">).</t>
    </r>
  </si>
  <si>
    <t xml:space="preserve">주 부채 재협상 제도의 최신 상황은 반영 전 확인</t>
  </si>
  <si>
    <r>
      <rPr>
        <sz val="10"/>
        <rFont val="WenQuanYi Zen Hei"/>
        <family val="2"/>
      </rPr>
      <t xml:space="preserve">사법 지연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사법–정치 충돌과 공권력 남용</t>
    </r>
  </si>
  <si>
    <t xml:space="preserve">morosidade, STF, decisão monocrática, abuso de autoridade, violência policial</t>
  </si>
  <si>
    <r>
      <rPr>
        <sz val="10"/>
        <rFont val="WenQuanYi Zen Hei"/>
        <family val="2"/>
      </rPr>
      <t xml:space="preserve">연방대법원</t>
    </r>
    <r>
      <rPr>
        <sz val="10"/>
        <rFont val="Noto Sans CJK SC"/>
        <family val="2"/>
        <charset val="1"/>
      </rPr>
      <t xml:space="preserve">(STF)</t>
    </r>
    <r>
      <rPr>
        <sz val="10"/>
        <rFont val="WenQuanYi Zen Hei"/>
        <family val="2"/>
      </rPr>
      <t xml:space="preserve">과 의회가 권한을 두고 부딪히는 사이 스캔들 수사는 표류하고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사무소의 고발은 법원에서 지연된다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사무소를 향한 보복에는 경찰의 과잉 단속도 섞여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</si>
  <si>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공익소송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기소 수리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보복</t>
    </r>
    <r>
      <rPr>
        <sz val="10"/>
        <rFont val="Arial"/>
        <family val="0"/>
        <charset val="1"/>
      </rPr>
      <t xml:space="preserve">),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 고발장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</si>
  <si>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재판</t>
    </r>
    <r>
      <rPr>
        <sz val="10"/>
        <rFont val="Arial"/>
        <family val="0"/>
        <charset val="1"/>
      </rPr>
      <t xml:space="preserve">), 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징계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위탁</t>
    </r>
    <r>
      <rPr>
        <sz val="10"/>
        <rFont val="Arial"/>
        <family val="0"/>
        <charset val="1"/>
      </rPr>
      <t xml:space="preserve">), 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연립 조건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교착</t>
    </r>
    <r>
      <rPr>
        <sz val="10"/>
        <rFont val="Arial"/>
        <family val="0"/>
        <charset val="1"/>
      </rPr>
      <t xml:space="preserve">)</t>
    </r>
  </si>
  <si>
    <t xml:space="preserve">Rafael, Dumont, Freire</t>
  </si>
  <si>
    <r>
      <rPr>
        <sz val="10"/>
        <rFont val="WenQuanYi Zen Hei"/>
        <family val="2"/>
      </rPr>
      <t xml:space="preserve">사법부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연방의회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 경찰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</si>
  <si>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직권남용법</t>
    </r>
    <r>
      <rPr>
        <sz val="10"/>
        <rFont val="Noto Sans CJK SC"/>
        <family val="2"/>
        <charset val="1"/>
      </rPr>
      <t xml:space="preserve">(Lei 13.869/2019), </t>
    </r>
    <r>
      <rPr>
        <sz val="10"/>
        <rFont val="WenQuanYi Zen Hei"/>
        <family val="2"/>
      </rPr>
      <t xml:space="preserve">연방대법원 권한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102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</si>
  <si>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t xml:space="preserve">morosidade, prescrição, foro privilegiado, abuso de autoridade</t>
  </si>
  <si>
    <r>
      <rPr>
        <sz val="10"/>
        <rFont val="WenQuanYi Zen Hei"/>
        <family val="2"/>
      </rPr>
      <t xml:space="preserve">여야 모두가 사법부를 압박한다는 비판을 각각 담는다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실제 재판 결과를 단정하지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</si>
  <si>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STF </t>
    </r>
    <r>
      <rPr>
        <sz val="10"/>
        <rFont val="WenQuanYi Zen Hei"/>
        <family val="2"/>
      </rPr>
      <t xml:space="preserve">권한 논쟁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단독 결정 제한 개헌안 등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의 최신 상황 확인</t>
    </r>
  </si>
  <si>
    <t xml:space="preserve">경제</t>
  </si>
  <si>
    <r>
      <rPr>
        <sz val="10"/>
        <rFont val="WenQuanYi Zen Hei"/>
        <family val="2"/>
      </rPr>
      <t xml:space="preserve">주거난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도심 공실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강제퇴거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단기 임대</t>
    </r>
  </si>
  <si>
    <t xml:space="preserve">moradia, despejo, ocupação, aluguel, Airbnb, gentrificação</t>
  </si>
  <si>
    <r>
      <rPr>
        <sz val="10"/>
        <rFont val="WenQuanYi Zen Hei"/>
        <family val="2"/>
      </rPr>
      <t xml:space="preserve">월세가 최저임금보다 빨리 오르고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도심에는 빈 건물과 점거</t>
    </r>
    <r>
      <rPr>
        <sz val="10"/>
        <rFont val="Noto Sans CJK SC"/>
        <family val="2"/>
        <charset val="1"/>
      </rPr>
      <t xml:space="preserve">(ocupação)</t>
    </r>
    <r>
      <rPr>
        <sz val="10"/>
        <rFont val="WenQuanYi Zen Hei"/>
        <family val="2"/>
      </rPr>
      <t xml:space="preserve">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옛 동네에는 단기 임대용 신축이 늘어난다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소규모 임대인의 입장</t>
    </r>
    <r>
      <rPr>
        <sz val="10"/>
        <rFont val="Noto Sans CJK SC"/>
        <family val="2"/>
        <charset val="1"/>
      </rPr>
      <t xml:space="preserve">(Marta</t>
    </r>
    <r>
      <rPr>
        <sz val="10"/>
        <rFont val="WenQuanYi Zen Hei"/>
        <family val="2"/>
      </rPr>
      <t xml:space="preserve">의 친구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도 대사에 넣는다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</si>
  <si>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조항 설계</t>
    </r>
    <r>
      <rPr>
        <sz val="10"/>
        <rFont val="Arial"/>
        <family val="0"/>
        <charset val="1"/>
      </rPr>
      <t xml:space="preserve">), 6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1·3·8·10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(Brás),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임대료 보조 삭감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용도지역 조항</t>
    </r>
    <r>
      <rPr>
        <sz val="10"/>
        <rFont val="Arial"/>
        <family val="0"/>
        <charset val="1"/>
      </rPr>
      <t xml:space="preserve">),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2·3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</si>
  <si>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(Fátima), 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</t>
    </r>
  </si>
  <si>
    <t xml:space="preserve">Marta, Larissa, Bruno, Rafael</t>
  </si>
  <si>
    <r>
      <rPr>
        <sz val="10"/>
        <rFont val="WenQuanYi Zen Hei"/>
        <family val="2"/>
      </rPr>
      <t xml:space="preserve">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도시계획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용도지역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임대차법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주택 재원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주택공사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</si>
  <si>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임대차법</t>
    </r>
    <r>
      <rPr>
        <sz val="10"/>
        <rFont val="Arial"/>
        <family val="0"/>
        <charset val="1"/>
      </rPr>
      <t xml:space="preserve">(Lei 8.245/1991), </t>
    </r>
    <r>
      <rPr>
        <sz val="10"/>
        <rFont val="WenQuanYi Zen Hei"/>
        <family val="2"/>
      </rPr>
      <t xml:space="preserve">도시법</t>
    </r>
    <r>
      <rPr>
        <sz val="10"/>
        <rFont val="Arial"/>
        <family val="0"/>
        <charset val="1"/>
      </rPr>
      <t xml:space="preserve">(Lei 10.257/2001), </t>
    </r>
    <r>
      <rPr>
        <sz val="10"/>
        <rFont val="WenQuanYi Zen Hei"/>
        <family val="2"/>
      </rPr>
      <t xml:space="preserve">주거 지원</t>
    </r>
    <r>
      <rPr>
        <sz val="10"/>
        <rFont val="Arial"/>
        <family val="0"/>
        <charset val="1"/>
      </rPr>
      <t xml:space="preserve">(Lei 14.620/2023), </t>
    </r>
    <r>
      <rPr>
        <sz val="10"/>
        <rFont val="WenQuanYi Zen Hei"/>
        <family val="2"/>
      </rPr>
      <t xml:space="preserve">퇴거 조정</t>
    </r>
    <r>
      <rPr>
        <sz val="10"/>
        <rFont val="Arial"/>
        <family val="0"/>
        <charset val="1"/>
      </rPr>
      <t xml:space="preserve">(ADPF 828)</t>
    </r>
  </si>
  <si>
    <t xml:space="preserve">aluguel, despejo, ocupação, auxílio-aluguel, pequeno proprietário</t>
  </si>
  <si>
    <r>
      <rPr>
        <sz val="10"/>
        <rFont val="WenQuanYi Zen Hei"/>
        <family val="2"/>
      </rPr>
      <t xml:space="preserve">임차인만 피해자로 그리지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소규모 임대인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대형 보유자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점거 운동을 구분해서 말한다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</si>
  <si>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단기 임대 규제는 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콘도미니엄 단위로 제각각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확인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</si>
  <si>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비공식 경제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영세 사업자와 저생산성</t>
    </r>
  </si>
  <si>
    <t xml:space="preserve">informalidade, MEI, microempresa, produtividade, crédito</t>
  </si>
  <si>
    <r>
      <rPr>
        <sz val="10"/>
        <rFont val="Arial"/>
        <family val="0"/>
        <charset val="1"/>
      </rPr>
      <t xml:space="preserve">Juliana</t>
    </r>
    <r>
      <rPr>
        <sz val="10"/>
        <rFont val="WenQuanYi Zen Hei"/>
        <family val="2"/>
      </rPr>
      <t xml:space="preserve">가 컨설팅한 규모의 경제 없는 영세 제조업체들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신용 접근도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정식 고용도 어려웠던 과거</t>
    </r>
    <r>
      <rPr>
        <sz val="10"/>
        <rFont val="Arial"/>
        <family val="0"/>
        <charset val="1"/>
      </rPr>
      <t xml:space="preserve">. 11</t>
    </r>
    <r>
      <rPr>
        <sz val="10"/>
        <rFont val="WenQuanYi Zen Hei"/>
        <family val="2"/>
      </rPr>
      <t xml:space="preserve">부에서 영세 사업자 통합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기술 전환 사업을 설계한다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</si>
  <si>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Tavares </t>
    </r>
    <r>
      <rPr>
        <sz val="10"/>
        <rFont val="WenQuanYi Zen Hei"/>
        <family val="2"/>
      </rPr>
      <t xml:space="preserve">공방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</si>
  <si>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골목 상권</t>
    </r>
    <r>
      <rPr>
        <sz val="10"/>
        <rFont val="Arial"/>
        <family val="0"/>
        <charset val="1"/>
      </rPr>
      <t xml:space="preserve">),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</si>
  <si>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t xml:space="preserve">Juliana, Marta, Edson</t>
  </si>
  <si>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</t>
    </r>
  </si>
  <si>
    <r>
      <rPr>
        <sz val="10"/>
        <rFont val="WenQuanYi Zen Hei"/>
        <family val="2"/>
      </rPr>
      <t xml:space="preserve">개인 소사업자 제도</t>
    </r>
    <r>
      <rPr>
        <sz val="10"/>
        <rFont val="Arial"/>
        <family val="0"/>
        <charset val="1"/>
      </rPr>
      <t xml:space="preserve">(MEI, LC 123/2006), </t>
    </r>
    <r>
      <rPr>
        <sz val="10"/>
        <rFont val="WenQuanYi Zen Hei"/>
        <family val="2"/>
      </rPr>
      <t xml:space="preserve">단순과세</t>
    </r>
    <r>
      <rPr>
        <sz val="10"/>
        <rFont val="Arial"/>
        <family val="0"/>
        <charset val="1"/>
      </rPr>
      <t xml:space="preserve">(Simples Nacional)</t>
    </r>
  </si>
  <si>
    <t xml:space="preserve">informalidade, formalizar, produtividade, crédito, escalar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</si>
  <si>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영세 사업자가 문제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라는 낙인 대신 구조 문제로 설명한다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</si>
  <si>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비공식 고용률 통계는 반영 전 확인</t>
    </r>
    <r>
      <rPr>
        <sz val="10"/>
        <rFont val="Noto Sans CJK SC"/>
        <family val="2"/>
        <charset val="1"/>
      </rPr>
      <t xml:space="preserve">(IBGE)</t>
    </r>
  </si>
  <si>
    <r>
      <rPr>
        <sz val="10"/>
        <rFont val="WenQuanYi Zen Hei"/>
        <family val="2"/>
      </rPr>
      <t xml:space="preserve">공공부채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재정규칙과 고금리</t>
    </r>
  </si>
  <si>
    <t xml:space="preserve">dívida pública, arcabouço fiscal, meta de resultado primário, Selic, previdência</t>
  </si>
  <si>
    <r>
      <rPr>
        <sz val="10"/>
        <rFont val="WenQuanYi Zen Hei"/>
        <family val="2"/>
      </rPr>
      <t xml:space="preserve">재정규칙의 지출 상한과 높은 기준금리 사이에서 연금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보건 지출이 늘어난다</t>
    </r>
    <r>
      <rPr>
        <sz val="10"/>
        <rFont val="Noto Sans CJK SC"/>
        <family val="2"/>
        <charset val="1"/>
      </rPr>
      <t xml:space="preserve">. Bruno</t>
    </r>
    <r>
      <rPr>
        <sz val="10"/>
        <rFont val="WenQuanYi Zen Hei"/>
        <family val="2"/>
      </rPr>
      <t xml:space="preserve">가 숫자로 설명하고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가 되묻는다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</si>
  <si>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초고소득 과세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11·12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예산안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</si>
  <si>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</si>
  <si>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Bruno, Dom Pedro(</t>
    </r>
    <r>
      <rPr>
        <sz val="10"/>
        <rFont val="WenQuanYi Zen Hei"/>
        <family val="2"/>
      </rPr>
      <t xml:space="preserve">메모</t>
    </r>
    <r>
      <rPr>
        <sz val="10"/>
        <rFont val="Arial"/>
        <family val="0"/>
        <charset val="1"/>
      </rPr>
      <t xml:space="preserve">), Sérgio</t>
    </r>
  </si>
  <si>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중앙은행</t>
    </r>
  </si>
  <si>
    <r>
      <rPr>
        <sz val="10"/>
        <rFont val="WenQuanYi Zen Hei"/>
        <family val="2"/>
      </rPr>
      <t xml:space="preserve">재정규칙</t>
    </r>
    <r>
      <rPr>
        <sz val="10"/>
        <rFont val="Noto Sans CJK SC"/>
        <family val="2"/>
        <charset val="1"/>
      </rPr>
      <t xml:space="preserve">(LC 200/2023), </t>
    </r>
    <r>
      <rPr>
        <sz val="10"/>
        <rFont val="WenQuanYi Zen Hei"/>
        <family val="2"/>
      </rPr>
      <t xml:space="preserve">재정책임법</t>
    </r>
    <r>
      <rPr>
        <sz val="10"/>
        <rFont val="Noto Sans CJK SC"/>
        <family val="2"/>
        <charset val="1"/>
      </rPr>
      <t xml:space="preserve">(LC 101/2000), </t>
    </r>
    <r>
      <rPr>
        <sz val="10"/>
        <rFont val="WenQuanYi Zen Hei"/>
        <family val="2"/>
      </rPr>
      <t xml:space="preserve">예산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165~166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</si>
  <si>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t xml:space="preserve">dívida, déficit, meta fiscal, juros, sustentabilidade</t>
  </si>
  <si>
    <r>
      <rPr>
        <sz val="10"/>
        <rFont val="WenQuanYi Zen Hei"/>
        <family val="2"/>
      </rPr>
      <t xml:space="preserve">긴축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확대 양쪽 논거를 모두 숫자로 제시한다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</si>
  <si>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일반정부 총부채 </t>
    </r>
    <r>
      <rPr>
        <sz val="10"/>
        <rFont val="Noto Sans CJK SC"/>
        <family val="2"/>
        <charset val="1"/>
      </rPr>
      <t xml:space="preserve">GDP </t>
    </r>
    <r>
      <rPr>
        <sz val="10"/>
        <rFont val="WenQuanYi Zen Hei"/>
        <family val="2"/>
      </rPr>
      <t xml:space="preserve">대비 약 </t>
    </r>
    <r>
      <rPr>
        <sz val="10"/>
        <rFont val="Noto Sans CJK SC"/>
        <family val="2"/>
        <charset val="1"/>
      </rPr>
      <t xml:space="preserve">78~80%, </t>
    </r>
    <r>
      <rPr>
        <sz val="10"/>
        <rFont val="WenQuanYi Zen Hei"/>
        <family val="2"/>
      </rPr>
      <t xml:space="preserve">기준금리 두 자릿수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중앙은행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반영 전 확인</t>
    </r>
    <r>
      <rPr>
        <sz val="10"/>
        <rFont val="Noto Sans CJK SC"/>
        <family val="2"/>
        <charset val="1"/>
      </rPr>
      <t xml:space="preserve">)</t>
    </r>
  </si>
  <si>
    <t xml:space="preserve">사회</t>
  </si>
  <si>
    <r>
      <rPr>
        <sz val="10"/>
        <rFont val="WenQuanYi Zen Hei"/>
        <family val="2"/>
      </rPr>
      <t xml:space="preserve">청년 고용 불안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비공식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인턴 착취</t>
    </r>
    <r>
      <rPr>
        <sz val="10"/>
        <rFont val="Noto Sans CJK SC"/>
        <family val="2"/>
        <charset val="1"/>
      </rPr>
      <t xml:space="preserve">·PJ</t>
    </r>
    <r>
      <rPr>
        <sz val="10"/>
        <rFont val="WenQuanYi Zen Hei"/>
        <family val="2"/>
      </rPr>
      <t xml:space="preserve">화</t>
    </r>
  </si>
  <si>
    <t xml:space="preserve">estágio, informalidade, pejotização, nem-nem, salário mínimo</t>
  </si>
  <si>
    <r>
      <rPr>
        <sz val="10"/>
        <rFont val="WenQuanYi Zen Hei"/>
        <family val="2"/>
      </rPr>
      <t xml:space="preserve">인턴 계약과 앱 노동</t>
    </r>
    <r>
      <rPr>
        <sz val="10"/>
        <rFont val="Noto Sans CJK SC"/>
        <family val="2"/>
        <charset val="1"/>
      </rPr>
      <t xml:space="preserve">, PJ </t>
    </r>
    <r>
      <rPr>
        <sz val="10"/>
        <rFont val="WenQuanYi Zen Hei"/>
        <family val="2"/>
      </rPr>
      <t xml:space="preserve">계약으로 청년의 자립이 늦어진다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가 그 당사자이자 질문자다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</si>
  <si>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4·6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</si>
  <si>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(Larissa·Álvaro), 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(Juliana</t>
    </r>
    <r>
      <rPr>
        <sz val="10"/>
        <rFont val="WenQuanYi Zen Hei"/>
        <family val="2"/>
      </rPr>
      <t xml:space="preserve">의 인력 감축</t>
    </r>
    <r>
      <rPr>
        <sz val="10"/>
        <rFont val="Arial"/>
        <family val="0"/>
        <charset val="1"/>
      </rPr>
      <t xml:space="preserve">), 8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</si>
  <si>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Larissa, Edson, Juliana</t>
  </si>
  <si>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노동법</t>
    </r>
    <r>
      <rPr>
        <sz val="10"/>
        <rFont val="Noto Sans CJK SC"/>
        <family val="2"/>
        <charset val="1"/>
      </rPr>
      <t xml:space="preserve">)·</t>
    </r>
    <r>
      <rPr>
        <sz val="10"/>
        <rFont val="WenQuanYi Zen Hei"/>
        <family val="2"/>
      </rPr>
      <t xml:space="preserve">사회적 대화</t>
    </r>
  </si>
  <si>
    <r>
      <rPr>
        <sz val="10"/>
        <rFont val="WenQuanYi Zen Hei"/>
        <family val="2"/>
      </rPr>
      <t xml:space="preserve">인턴법</t>
    </r>
    <r>
      <rPr>
        <sz val="10"/>
        <rFont val="Noto Sans CJK SC"/>
        <family val="2"/>
        <charset val="1"/>
      </rPr>
      <t xml:space="preserve">(Lei 11.788/2008), </t>
    </r>
    <r>
      <rPr>
        <sz val="10"/>
        <rFont val="WenQuanYi Zen Hei"/>
        <family val="2"/>
      </rPr>
      <t xml:space="preserve">노동법</t>
    </r>
    <r>
      <rPr>
        <sz val="10"/>
        <rFont val="Noto Sans CJK SC"/>
        <family val="2"/>
        <charset val="1"/>
      </rPr>
      <t xml:space="preserve">(CLT), </t>
    </r>
    <r>
      <rPr>
        <sz val="10"/>
        <rFont val="WenQuanYi Zen Hei"/>
        <family val="2"/>
      </rPr>
      <t xml:space="preserve">청년 견습</t>
    </r>
    <r>
      <rPr>
        <sz val="10"/>
        <rFont val="Noto Sans CJK SC"/>
        <family val="2"/>
        <charset val="1"/>
      </rPr>
      <t xml:space="preserve">(Lei 10.097/2000)</t>
    </r>
  </si>
  <si>
    <t xml:space="preserve">estágio, carteira assinada, bico, precariedade, nem-nem</t>
  </si>
  <si>
    <r>
      <rPr>
        <sz val="10"/>
        <rFont val="WenQuanYi Zen Hei"/>
        <family val="2"/>
      </rPr>
      <t xml:space="preserve">청년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기성세대 구도로 몰지 않는다</t>
    </r>
    <r>
      <rPr>
        <sz val="10"/>
        <rFont val="Noto Sans CJK SC"/>
        <family val="2"/>
        <charset val="1"/>
      </rPr>
      <t xml:space="preserve">(Edson</t>
    </r>
    <r>
      <rPr>
        <sz val="10"/>
        <rFont val="WenQuanYi Zen Hei"/>
        <family val="2"/>
      </rPr>
      <t xml:space="preserve">도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도 청년의 편에서 돕는다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</si>
  <si>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Arial"/>
        <family val="0"/>
        <charset val="1"/>
      </rPr>
      <t xml:space="preserve">18~24</t>
    </r>
    <r>
      <rPr>
        <sz val="10"/>
        <rFont val="WenQuanYi Zen Hei"/>
        <family val="2"/>
      </rPr>
      <t xml:space="preserve">세 실업률은 전체의 약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배</t>
    </r>
    <r>
      <rPr>
        <sz val="10"/>
        <rFont val="Arial"/>
        <family val="0"/>
        <charset val="1"/>
      </rPr>
      <t xml:space="preserve">(IBGE PNAD Contínua, </t>
    </r>
    <r>
      <rPr>
        <sz val="10"/>
        <rFont val="WenQuanYi Zen Hei"/>
        <family val="2"/>
      </rPr>
      <t xml:space="preserve">반영 전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</si>
  <si>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이주민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난민 수용과 노동 착취</t>
    </r>
  </si>
  <si>
    <t xml:space="preserve">imigrante, refugiado, acolhida, interiorização, trabalho análogo à escravidão</t>
  </si>
  <si>
    <r>
      <rPr>
        <sz val="10"/>
        <rFont val="Arial"/>
        <family val="0"/>
        <charset val="1"/>
      </rPr>
      <t xml:space="preserve">Brás</t>
    </r>
    <r>
      <rPr>
        <sz val="10"/>
        <rFont val="WenQuanYi Zen Hei"/>
        <family val="2"/>
      </rPr>
      <t xml:space="preserve">의 봉제 공장에는 서류 없는 볼리비아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파라과이 출신 노동자가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북부 국경에는 베네수엘라 난민이 몰린다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쉼터 과부하와 주 간 떠넘기기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봉제 공장의 노예 노동 유사 조건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</si>
  <si>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8·9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퇴거 저지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서류 없는 이웃</t>
    </r>
    <r>
      <rPr>
        <sz val="10"/>
        <rFont val="Arial"/>
        <family val="0"/>
        <charset val="1"/>
      </rPr>
      <t xml:space="preserve">), 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체류 허가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노동 착취</t>
    </r>
    <r>
      <rPr>
        <sz val="10"/>
        <rFont val="Arial"/>
        <family val="0"/>
        <charset val="1"/>
      </rPr>
      <t xml:space="preserve">),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분담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</si>
  <si>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7~8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서류 없는 환자</t>
    </r>
    <r>
      <rPr>
        <sz val="10"/>
        <rFont val="Arial"/>
        <family val="0"/>
        <charset val="1"/>
      </rPr>
      <t xml:space="preserve">), 8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투표권 없는 이웃</t>
    </r>
    <r>
      <rPr>
        <sz val="10"/>
        <rFont val="Arial"/>
        <family val="0"/>
        <charset val="1"/>
      </rPr>
      <t xml:space="preserve">),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</t>
    </r>
  </si>
  <si>
    <t xml:space="preserve">Marta, Camila, Rafael, Edson, Isabel</t>
  </si>
  <si>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국경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쉼터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아동 보호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</si>
  <si>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이민법</t>
    </r>
    <r>
      <rPr>
        <sz val="10"/>
        <rFont val="Arial"/>
        <family val="0"/>
        <charset val="1"/>
      </rPr>
      <t xml:space="preserve">(Lei 13.445/2017), </t>
    </r>
    <r>
      <rPr>
        <sz val="10"/>
        <rFont val="WenQuanYi Zen Hei"/>
        <family val="2"/>
      </rPr>
      <t xml:space="preserve">난민법</t>
    </r>
    <r>
      <rPr>
        <sz val="10"/>
        <rFont val="Arial"/>
        <family val="0"/>
        <charset val="1"/>
      </rPr>
      <t xml:space="preserve">(Lei 9.474/1997), </t>
    </r>
    <r>
      <rPr>
        <sz val="10"/>
        <rFont val="WenQuanYi Zen Hei"/>
        <family val="2"/>
      </rPr>
      <t xml:space="preserve">형법 제</t>
    </r>
    <r>
      <rPr>
        <sz val="10"/>
        <rFont val="Arial"/>
        <family val="0"/>
        <charset val="1"/>
      </rPr>
      <t xml:space="preserve">149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노예 노동 유사 조건</t>
    </r>
    <r>
      <rPr>
        <sz val="10"/>
        <rFont val="Arial"/>
        <family val="0"/>
        <charset val="1"/>
      </rPr>
      <t xml:space="preserve">)</t>
    </r>
  </si>
  <si>
    <t xml:space="preserve">autorização de residência, refúgio, acolhida, oficina de costura</t>
  </si>
  <si>
    <r>
      <rPr>
        <sz val="10"/>
        <rFont val="WenQuanYi Zen Hei"/>
        <family val="2"/>
      </rPr>
      <t xml:space="preserve">반이민 여론</t>
    </r>
    <r>
      <rPr>
        <sz val="10"/>
        <rFont val="Noto Sans CJK SC"/>
        <family val="2"/>
        <charset val="1"/>
      </rPr>
      <t xml:space="preserve">(HU)</t>
    </r>
    <r>
      <rPr>
        <sz val="10"/>
        <rFont val="WenQuanYi Zen Hei"/>
        <family val="2"/>
      </rPr>
      <t xml:space="preserve">과 수용 부담 지역의 실제 어려움을 함께 담고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이주민을 배경이 아닌 화자로 세운다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</si>
  <si>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국경 수용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분산 정책의 현재 규모 확인</t>
    </r>
  </si>
  <si>
    <t xml:space="preserve">고령화와 지역 의료 격차</t>
  </si>
  <si>
    <t xml:space="preserve">envelhecimento, SUS, fila de espera, vazio assistencial, Mais Médicos</t>
  </si>
  <si>
    <r>
      <rPr>
        <sz val="10"/>
        <rFont val="WenQuanYi Zen Hei"/>
        <family val="2"/>
      </rPr>
      <t xml:space="preserve">상파울루 외곽 보건소가 문을 닫고 시는 병원 위탁을 늘린다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). Zumbi</t>
    </r>
    <r>
      <rPr>
        <sz val="10"/>
        <rFont val="WenQuanYi Zen Hei"/>
        <family val="2"/>
      </rPr>
      <t xml:space="preserve">가 캠프를 이끌며 지나가는 내륙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북동부 마을에는 의사가 없고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일자리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연금 문제가 되풀이된다</t>
    </r>
    <r>
      <rPr>
        <sz val="10"/>
        <rFont val="Noto Sans CJK SC"/>
        <family val="2"/>
        <charset val="1"/>
      </rPr>
      <t xml:space="preserve">(10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</si>
  <si>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시의회의 보건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</si>
  <si>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응급실 고령 환자</t>
    </r>
    <r>
      <rPr>
        <sz val="10"/>
        <rFont val="Arial"/>
        <family val="0"/>
        <charset val="1"/>
      </rPr>
      <t xml:space="preserve">),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의사 없는 마을</t>
    </r>
    <r>
      <rPr>
        <sz val="10"/>
        <rFont val="Arial"/>
        <family val="0"/>
        <charset val="1"/>
      </rPr>
      <t xml:space="preserve">),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</t>
    </r>
  </si>
  <si>
    <t xml:space="preserve">Zumbi, Camila, Larissa</t>
  </si>
  <si>
    <r>
      <rPr>
        <sz val="10"/>
        <rFont val="WenQuanYi Zen Hei"/>
        <family val="2"/>
      </rPr>
      <t xml:space="preserve">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(SUS 3</t>
    </r>
    <r>
      <rPr>
        <sz val="10"/>
        <rFont val="WenQuanYi Zen Hei"/>
        <family val="2"/>
      </rPr>
      <t xml:space="preserve">자 분담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</si>
  <si>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SUS </t>
    </r>
    <r>
      <rPr>
        <sz val="10"/>
        <rFont val="WenQuanYi Zen Hei"/>
        <family val="2"/>
      </rPr>
      <t xml:space="preserve">기본법</t>
    </r>
    <r>
      <rPr>
        <sz val="10"/>
        <rFont val="Noto Sans CJK SC"/>
        <family val="2"/>
        <charset val="1"/>
      </rPr>
      <t xml:space="preserve">(Lei 8.080/1990), </t>
    </r>
    <r>
      <rPr>
        <sz val="10"/>
        <rFont val="WenQuanYi Zen Hei"/>
        <family val="2"/>
      </rPr>
      <t xml:space="preserve">의사 파견</t>
    </r>
    <r>
      <rPr>
        <sz val="10"/>
        <rFont val="Noto Sans CJK SC"/>
        <family val="2"/>
        <charset val="1"/>
      </rPr>
      <t xml:space="preserve">(Lei 12.871/2013), </t>
    </r>
    <r>
      <rPr>
        <sz val="10"/>
        <rFont val="WenQuanYi Zen Hei"/>
        <family val="2"/>
      </rPr>
      <t xml:space="preserve">노인법</t>
    </r>
    <r>
      <rPr>
        <sz val="10"/>
        <rFont val="Noto Sans CJK SC"/>
        <family val="2"/>
        <charset val="1"/>
      </rPr>
      <t xml:space="preserve">(Lei 10.741/2003)</t>
    </r>
  </si>
  <si>
    <t xml:space="preserve">envelhecimento, fila, posto de saúde, médico de família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</si>
  <si>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외딴 마을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동정하지 않고 마을 사람들이 직접 말하게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</si>
  <si>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인구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고령화 통계는 반영 전 확인</t>
    </r>
    <r>
      <rPr>
        <sz val="10"/>
        <rFont val="Noto Sans CJK SC"/>
        <family val="2"/>
        <charset val="1"/>
      </rPr>
      <t xml:space="preserve">(IBGE)</t>
    </r>
  </si>
  <si>
    <r>
      <rPr>
        <sz val="10"/>
        <rFont val="WenQuanYi Zen Hei"/>
        <family val="2"/>
      </rPr>
      <t xml:space="preserve">폭염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가뭄과 에너지 전환 부담</t>
    </r>
  </si>
  <si>
    <t xml:space="preserve">onda de calor, seca, estiagem, crise hídrica, queimadas, transição energética</t>
  </si>
  <si>
    <r>
      <rPr>
        <sz val="10"/>
        <rFont val="WenQuanYi Zen Hei"/>
        <family val="2"/>
      </rPr>
      <t xml:space="preserve">폭염에 응급실이 넘치고</t>
    </r>
    <r>
      <rPr>
        <sz val="10"/>
        <rFont val="Noto Sans CJK SC"/>
        <family val="2"/>
        <charset val="1"/>
      </rPr>
      <t xml:space="preserve">(3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저수지가 마른 마을을 지나며</t>
    </r>
    <r>
      <rPr>
        <sz val="10"/>
        <rFont val="Noto Sans CJK SC"/>
        <family val="2"/>
        <charset val="1"/>
      </rPr>
      <t xml:space="preserve">(10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산불 연기가 도시를 덮는다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초고소득 과세 재원을 전환 비용에 쓸지 논쟁한다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</si>
  <si>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3·10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폭염 응급실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</si>
  <si>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4·8·11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</t>
    </r>
  </si>
  <si>
    <t xml:space="preserve">Camila, Zumbi, Bruno</t>
  </si>
  <si>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유역위원회</t>
    </r>
  </si>
  <si>
    <r>
      <rPr>
        <sz val="10"/>
        <rFont val="WenQuanYi Zen Hei"/>
        <family val="2"/>
      </rPr>
      <t xml:space="preserve">기후변화 국가정책</t>
    </r>
    <r>
      <rPr>
        <sz val="10"/>
        <rFont val="Noto Sans CJK SC"/>
        <family val="2"/>
        <charset val="1"/>
      </rPr>
      <t xml:space="preserve">(Lei 12.187/2009), </t>
    </r>
    <r>
      <rPr>
        <sz val="10"/>
        <rFont val="WenQuanYi Zen Hei"/>
        <family val="2"/>
      </rPr>
      <t xml:space="preserve">수자원법</t>
    </r>
    <r>
      <rPr>
        <sz val="10"/>
        <rFont val="Noto Sans CJK SC"/>
        <family val="2"/>
        <charset val="1"/>
      </rPr>
      <t xml:space="preserve">(Lei 9.433/1997)</t>
    </r>
  </si>
  <si>
    <t xml:space="preserve">seca, onda de calor, INMET, reservatório, transição energética</t>
  </si>
  <si>
    <r>
      <rPr>
        <sz val="10"/>
        <rFont val="WenQuanYi Zen Hei"/>
        <family val="2"/>
      </rPr>
      <t xml:space="preserve">기후를 정치적 구호로 쓰지 않고 현장 사건으로 보여 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</si>
  <si>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최신 가뭄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폭염 통계 확인</t>
    </r>
    <r>
      <rPr>
        <sz val="10"/>
        <rFont val="Noto Sans CJK SC"/>
        <family val="2"/>
        <charset val="1"/>
      </rPr>
      <t xml:space="preserve">(INMET·Cemaden)</t>
    </r>
  </si>
  <si>
    <t xml:space="preserve">N1</t>
  </si>
  <si>
    <t xml:space="preserve">재난</t>
  </si>
  <si>
    <t xml:space="preserve">대홍수와 방재 체계</t>
  </si>
  <si>
    <t xml:space="preserve">enchente, chuva extrema, alerta, Defesa Civil, calamidade pública, desabrigados</t>
  </si>
  <si>
    <r>
      <rPr>
        <sz val="10"/>
        <rFont val="WenQuanYi Zen Hei"/>
        <family val="2"/>
      </rPr>
      <t xml:space="preserve">남부에 가상의 폭우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대홍수가 덮친다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경보 지연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주–연방 책임 공방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공공재난사태 인정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군 투입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이재민 쉼터와 복구 재원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</si>
  <si>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As águas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</si>
  <si>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복구 결산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</si>
  <si>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(1</t>
    </r>
    <r>
      <rPr>
        <sz val="10"/>
        <rFont val="WenQuanYi Zen Hei"/>
        <family val="2"/>
      </rPr>
      <t xml:space="preserve">차 대응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재난 인정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특별 예산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</si>
  <si>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국가 민방위 정책</t>
    </r>
    <r>
      <rPr>
        <sz val="10"/>
        <rFont val="Arial"/>
        <family val="0"/>
        <charset val="1"/>
      </rPr>
      <t xml:space="preserve">(Lei 12.608/2012), </t>
    </r>
    <r>
      <rPr>
        <sz val="10"/>
        <rFont val="WenQuanYi Zen Hei"/>
        <family val="2"/>
      </rPr>
      <t xml:space="preserve">특별 예산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167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휴대전화 긴급 경보</t>
    </r>
  </si>
  <si>
    <t xml:space="preserve">Defesa Civil, alerta, calamidade pública, desabrigados, reconstrução</t>
  </si>
  <si>
    <r>
      <rPr>
        <sz val="10"/>
        <rFont val="WenQuanYi Zen Hei"/>
        <family val="2"/>
      </rPr>
      <t xml:space="preserve">실제 참사와 희생자를 연상시키므로 추모의 톤을 지키고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특정 정치인 비난 없이 제도의 공백을 보여 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</si>
  <si>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2024</t>
    </r>
    <r>
      <rPr>
        <sz val="10"/>
        <rFont val="WenQuanYi Zen Hei"/>
        <family val="2"/>
      </rPr>
      <t xml:space="preserve">년 남부 대홍수 이후 제도 변화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부채 유예 등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는 반영 전 확인</t>
    </r>
  </si>
  <si>
    <t xml:space="preserve">재정</t>
  </si>
  <si>
    <r>
      <rPr>
        <sz val="10"/>
        <rFont val="WenQuanYi Zen Hei"/>
        <family val="2"/>
      </rPr>
      <t xml:space="preserve">의원 예산 수정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특별 이전 예산의 불투명 집행</t>
    </r>
  </si>
  <si>
    <t xml:space="preserve">emendas parlamentares, emendas Pix, transparência, licitação, execução</t>
  </si>
  <si>
    <r>
      <rPr>
        <sz val="10"/>
        <rFont val="WenQuanYi Zen Hei"/>
        <family val="2"/>
      </rPr>
      <t xml:space="preserve">연방 의원들이 시에 보낸 특별 이전 예산이 시 계약으로 흘러가 소수 업체가 독점하고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행정 병목으로 일부는 집행조차 못 한다</t>
    </r>
    <r>
      <rPr>
        <sz val="10"/>
        <rFont val="Noto Sans CJK SC"/>
        <family val="2"/>
        <charset val="1"/>
      </rPr>
      <t xml:space="preserve">. Bruno·Sérgio</t>
    </r>
    <r>
      <rPr>
        <sz val="10"/>
        <rFont val="WenQuanYi Zen Hei"/>
        <family val="2"/>
      </rPr>
      <t xml:space="preserve">가 자금 흐름을 추적한다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</si>
  <si>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 돋보기 아래의 계약들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</si>
  <si>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</si>
  <si>
    <t xml:space="preserve">Bruno, Sérgio, Juliana</t>
  </si>
  <si>
    <r>
      <rPr>
        <sz val="10"/>
        <rFont val="WenQuanYi Zen Hei"/>
        <family val="2"/>
      </rPr>
      <t xml:space="preserve">연방의회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연방감사원</t>
    </r>
    <r>
      <rPr>
        <sz val="10"/>
        <rFont val="Noto Sans CJK SC"/>
        <family val="2"/>
        <charset val="1"/>
      </rPr>
      <t xml:space="preserve">(TCU)</t>
    </r>
  </si>
  <si>
    <r>
      <rPr>
        <sz val="10"/>
        <rFont val="WenQuanYi Zen Hei"/>
        <family val="2"/>
      </rPr>
      <t xml:space="preserve">예산 수정 규정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166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공공조달법</t>
    </r>
    <r>
      <rPr>
        <sz val="10"/>
        <rFont val="Arial"/>
        <family val="0"/>
        <charset val="1"/>
      </rPr>
      <t xml:space="preserve">(Lei 14.133/2021), </t>
    </r>
    <r>
      <rPr>
        <sz val="10"/>
        <rFont val="WenQuanYi Zen Hei"/>
        <family val="2"/>
      </rPr>
      <t xml:space="preserve">연방대법원의 투명성 결정</t>
    </r>
    <r>
      <rPr>
        <sz val="10"/>
        <rFont val="Arial"/>
        <family val="0"/>
        <charset val="1"/>
      </rPr>
      <t xml:space="preserve">(2024)</t>
    </r>
  </si>
  <si>
    <t xml:space="preserve">emenda, transferência especial, licitação, rastreabilidade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</si>
  <si>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의원 예산은 전부 낭비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라는 단정 대신 병목의 원인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절차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투명성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나눠서 보여 준다</t>
    </r>
    <r>
      <rPr>
        <sz val="10"/>
        <rFont val="Arial"/>
        <family val="0"/>
        <charset val="1"/>
      </rPr>
      <t xml:space="preserve">.</t>
    </r>
  </si>
  <si>
    <t xml:space="preserve">투명성 규정의 최신 적용 상황 확인</t>
  </si>
  <si>
    <r>
      <rPr>
        <sz val="10"/>
        <rFont val="WenQuanYi Zen Hei"/>
        <family val="2"/>
      </rPr>
      <t xml:space="preserve">통상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외교</t>
    </r>
  </si>
  <si>
    <r>
      <rPr>
        <sz val="10"/>
        <rFont val="Noto Sans CJK SC"/>
        <family val="2"/>
        <charset val="1"/>
      </rPr>
      <t xml:space="preserve">Mercosul–EU </t>
    </r>
    <r>
      <rPr>
        <sz val="10"/>
        <rFont val="WenQuanYi Zen Hei"/>
        <family val="2"/>
      </rPr>
      <t xml:space="preserve">협정과 관세 압박</t>
    </r>
  </si>
  <si>
    <t xml:space="preserve">acordo Mercosul-UE, salvaguardas, EUDR, tarifas, desmatamento</t>
  </si>
  <si>
    <r>
      <rPr>
        <sz val="10"/>
        <rFont val="Arial"/>
        <family val="0"/>
        <charset val="1"/>
      </rPr>
      <t xml:space="preserve">Mercosul–EU </t>
    </r>
    <r>
      <rPr>
        <sz val="10"/>
        <rFont val="WenQuanYi Zen Hei"/>
        <family val="2"/>
      </rPr>
      <t xml:space="preserve">협정 비준이 </t>
    </r>
    <r>
      <rPr>
        <sz val="10"/>
        <rFont val="Arial"/>
        <family val="0"/>
        <charset val="1"/>
      </rPr>
      <t xml:space="preserve">EU </t>
    </r>
    <r>
      <rPr>
        <sz val="10"/>
        <rFont val="WenQuanYi Zen Hei"/>
        <family val="2"/>
      </rPr>
      <t xml:space="preserve">농민 반발과 산림전용방지규정</t>
    </r>
    <r>
      <rPr>
        <sz val="10"/>
        <rFont val="Arial"/>
        <family val="0"/>
        <charset val="1"/>
      </rPr>
      <t xml:space="preserve">(EUDR)</t>
    </r>
    <r>
      <rPr>
        <sz val="10"/>
        <rFont val="WenQuanYi Zen Hei"/>
        <family val="2"/>
      </rPr>
      <t xml:space="preserve">에 걸리고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북쪽의 관세 압박이 수출을 흔든다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부에서 직접 나서 위성 검증 방식의 이행 경로를 얻어내고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부에서 그 경로를 예산에 반영하는 논쟁이 이어진다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</si>
  <si>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(Dom Pedro</t>
    </r>
    <r>
      <rPr>
        <sz val="10"/>
        <rFont val="WenQuanYi Zen Hei"/>
        <family val="2"/>
      </rPr>
      <t xml:space="preserve">의 직접 협상</t>
    </r>
    <r>
      <rPr>
        <sz val="10"/>
        <rFont val="Arial"/>
        <family val="0"/>
        <charset val="1"/>
      </rPr>
      <t xml:space="preserve">),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</si>
  <si>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(TV </t>
    </r>
    <r>
      <rPr>
        <sz val="10"/>
        <rFont val="WenQuanYi Zen Hei"/>
        <family val="2"/>
      </rPr>
      <t xml:space="preserve">토론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후속 협상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예산 반영</t>
    </r>
    <r>
      <rPr>
        <sz val="10"/>
        <rFont val="Arial"/>
        <family val="0"/>
        <charset val="1"/>
      </rPr>
      <t xml:space="preserve">)</t>
    </r>
  </si>
  <si>
    <t xml:space="preserve">Dom Pedro, Bruno, Machado, Zumbi, Rafael</t>
  </si>
  <si>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·Mercosul·EU</t>
    </r>
  </si>
  <si>
    <r>
      <rPr>
        <sz val="10"/>
        <rFont val="WenQuanYi Zen Hei"/>
        <family val="2"/>
      </rPr>
      <t xml:space="preserve">조약 비준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I), EUDR(</t>
    </r>
    <r>
      <rPr>
        <sz val="10"/>
        <rFont val="WenQuanYi Zen Hei"/>
        <family val="2"/>
      </rPr>
      <t xml:space="preserve">규정 </t>
    </r>
    <r>
      <rPr>
        <sz val="10"/>
        <rFont val="Arial"/>
        <family val="0"/>
        <charset val="1"/>
      </rPr>
      <t xml:space="preserve">2023/1115), </t>
    </r>
    <r>
      <rPr>
        <sz val="10"/>
        <rFont val="WenQuanYi Zen Hei"/>
        <family val="2"/>
      </rPr>
      <t xml:space="preserve">위성 산림 감시</t>
    </r>
    <r>
      <rPr>
        <sz val="10"/>
        <rFont val="Arial"/>
        <family val="0"/>
        <charset val="1"/>
      </rPr>
      <t xml:space="preserve">(INPE)</t>
    </r>
  </si>
  <si>
    <t xml:space="preserve">acordo, ratificação, salvaguarda, desmatamento, tarifa</t>
  </si>
  <si>
    <r>
      <rPr>
        <sz val="10"/>
        <rFont val="WenQuanYi Zen Hei"/>
        <family val="2"/>
      </rPr>
      <t xml:space="preserve">수출 농업계와 환경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원주민 측 두 입장을 모두 설득력 있게 들려준다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</si>
  <si>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협정 서명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비준 단계와 </t>
    </r>
    <r>
      <rPr>
        <sz val="10"/>
        <rFont val="Arial"/>
        <family val="0"/>
        <charset val="1"/>
      </rPr>
      <t xml:space="preserve">EUDR </t>
    </r>
    <r>
      <rPr>
        <sz val="10"/>
        <rFont val="WenQuanYi Zen Hei"/>
        <family val="2"/>
      </rPr>
      <t xml:space="preserve">시행 일정은 최근 변동이 잦음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반영 전 확인</t>
    </r>
    <r>
      <rPr>
        <sz val="10"/>
        <rFont val="Arial"/>
        <family val="0"/>
        <charset val="1"/>
      </rPr>
      <t xml:space="preserve">)</t>
    </r>
  </si>
  <si>
    <t xml:space="preserve">젠더</t>
  </si>
  <si>
    <t xml:space="preserve">젠더 폭력과 부모소외법 논란</t>
  </si>
  <si>
    <t xml:space="preserve">alienação parental, guarda, violência doméstica, Lei Maria da Penha, medida protetiva</t>
  </si>
  <si>
    <r>
      <rPr>
        <sz val="10"/>
        <rFont val="WenQuanYi Zen Hei"/>
        <family val="2"/>
      </rPr>
      <t xml:space="preserve">자녀 보호를 위해 만든 부모소외법이 학대를 신고한 어머니에게서 양육권을 빼앗는 데 쓰인다는 비판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사무소가 피해자 사건을 돕고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은 좋은 뜻의 나쁜 법을 마주한다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</si>
  <si>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피해자를 벌한 법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</si>
  <si>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성별 할당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유령 후보</t>
    </r>
    <r>
      <rPr>
        <sz val="10"/>
        <rFont val="Arial"/>
        <family val="0"/>
        <charset val="1"/>
      </rPr>
      <t xml:space="preserve">),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(TV </t>
    </r>
    <r>
      <rPr>
        <sz val="10"/>
        <rFont val="WenQuanYi Zen Hei"/>
        <family val="2"/>
      </rPr>
      <t xml:space="preserve">토론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</si>
  <si>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가족법</t>
    </r>
    <r>
      <rPr>
        <sz val="10"/>
        <rFont val="Noto Sans CJK SC"/>
        <family val="2"/>
        <charset val="1"/>
      </rPr>
      <t xml:space="preserve">)·</t>
    </r>
    <r>
      <rPr>
        <sz val="10"/>
        <rFont val="WenQuanYi Zen Hei"/>
        <family val="2"/>
      </rPr>
      <t xml:space="preserve">가정법원</t>
    </r>
  </si>
  <si>
    <r>
      <rPr>
        <sz val="10"/>
        <rFont val="WenQuanYi Zen Hei"/>
        <family val="2"/>
      </rPr>
      <t xml:space="preserve">부모소외법</t>
    </r>
    <r>
      <rPr>
        <sz val="10"/>
        <rFont val="Arial"/>
        <family val="0"/>
        <charset val="1"/>
      </rPr>
      <t xml:space="preserve">(Lei 12.318/2010, 2022</t>
    </r>
    <r>
      <rPr>
        <sz val="10"/>
        <rFont val="WenQuanYi Zen Hei"/>
        <family val="2"/>
      </rPr>
      <t xml:space="preserve">년 개정 </t>
    </r>
    <r>
      <rPr>
        <sz val="10"/>
        <rFont val="Arial"/>
        <family val="0"/>
        <charset val="1"/>
      </rPr>
      <t xml:space="preserve">Lei 14.340), </t>
    </r>
    <r>
      <rPr>
        <sz val="10"/>
        <rFont val="WenQuanYi Zen Hei"/>
        <family val="2"/>
      </rPr>
      <t xml:space="preserve">가정폭력법</t>
    </r>
    <r>
      <rPr>
        <sz val="10"/>
        <rFont val="Arial"/>
        <family val="0"/>
        <charset val="1"/>
      </rPr>
      <t xml:space="preserve">(Lei 11.340/2006)</t>
    </r>
  </si>
  <si>
    <t xml:space="preserve">guarda compartilhada, alienação parental, medida protetiva, vítima</t>
  </si>
  <si>
    <r>
      <rPr>
        <sz val="10"/>
        <rFont val="WenQuanYi Zen Hei"/>
        <family val="2"/>
      </rPr>
      <t xml:space="preserve">폐지 주장과 개정 주장을 각자의 가장 강한 논거로 제시한다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아동 피해자의 목소리는 직접 쓰지 않고 어른들의 대사로만 전한다</t>
    </r>
    <r>
      <rPr>
        <sz val="10"/>
        <rFont val="Noto Sans CJK SC"/>
        <family val="2"/>
        <charset val="1"/>
      </rPr>
      <t xml:space="preserve">.</t>
    </r>
  </si>
  <si>
    <t xml:space="preserve">폐지 법안 논의 경과는 반영 전 확인</t>
  </si>
  <si>
    <t xml:space="preserve">N5</t>
  </si>
  <si>
    <t xml:space="preserve">에너지</t>
  </si>
  <si>
    <r>
      <rPr>
        <sz val="10"/>
        <rFont val="WenQuanYi Zen Hei"/>
        <family val="2"/>
      </rPr>
      <t xml:space="preserve">재생에너지 입지 갈등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녹색 대 녹색</t>
    </r>
    <r>
      <rPr>
        <sz val="10"/>
        <rFont val="Noto Sans CJK SC"/>
        <family val="2"/>
        <charset val="1"/>
      </rPr>
      <t xml:space="preserve">)</t>
    </r>
  </si>
  <si>
    <t xml:space="preserve">parque eólico, energia solar, comunidade quilombola, licenciamento, consulta prévia</t>
  </si>
  <si>
    <r>
      <rPr>
        <sz val="10"/>
        <rFont val="WenQuanYi Zen Hei"/>
        <family val="2"/>
      </rPr>
      <t xml:space="preserve">북동부 킬롬부 공동체 옆 대형 풍력단지 계획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일자리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세수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소음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토지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어업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공동체의 찬반이 갈리고 </t>
    </r>
    <r>
      <rPr>
        <sz val="10"/>
        <rFont val="Noto Sans CJK SC"/>
        <family val="2"/>
        <charset val="1"/>
      </rPr>
      <t xml:space="preserve">Zumbi</t>
    </r>
    <r>
      <rPr>
        <sz val="10"/>
        <rFont val="WenQuanYi Zen Hei"/>
        <family val="2"/>
      </rPr>
      <t xml:space="preserve">가 중재한다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</si>
  <si>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일의 유세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북동부 풍력단지 마을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</si>
  <si>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과세 재원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</si>
  <si>
    <t xml:space="preserve">Zumbi, Machado, Larissa, Isabel</t>
  </si>
  <si>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송전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경매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환경 인허가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시</t>
    </r>
  </si>
  <si>
    <r>
      <rPr>
        <sz val="10"/>
        <rFont val="WenQuanYi Zen Hei"/>
        <family val="2"/>
      </rPr>
      <t xml:space="preserve">환경 인허가</t>
    </r>
    <r>
      <rPr>
        <sz val="10"/>
        <rFont val="Arial"/>
        <family val="0"/>
        <charset val="1"/>
      </rPr>
      <t xml:space="preserve">(Resolução CONAMA 237/1997), ILO </t>
    </r>
    <r>
      <rPr>
        <sz val="10"/>
        <rFont val="WenQuanYi Zen Hei"/>
        <family val="2"/>
      </rPr>
      <t xml:space="preserve">협약 </t>
    </r>
    <r>
      <rPr>
        <sz val="10"/>
        <rFont val="Arial"/>
        <family val="0"/>
        <charset val="1"/>
      </rPr>
      <t xml:space="preserve">169</t>
    </r>
    <r>
      <rPr>
        <sz val="10"/>
        <rFont val="WenQuanYi Zen Hei"/>
        <family val="2"/>
      </rPr>
      <t xml:space="preserve">호 사전 협의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헌법 부칙 제</t>
    </r>
    <r>
      <rPr>
        <sz val="10"/>
        <rFont val="Arial"/>
        <family val="0"/>
        <charset val="1"/>
      </rPr>
      <t xml:space="preserve">68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킬롬부 토지</t>
    </r>
    <r>
      <rPr>
        <sz val="10"/>
        <rFont val="Arial"/>
        <family val="0"/>
        <charset val="1"/>
      </rPr>
      <t xml:space="preserve">)</t>
    </r>
  </si>
  <si>
    <t xml:space="preserve">parque eólico, licenciamento ambiental, consulta prévia, arrendamento</t>
  </si>
  <si>
    <r>
      <rPr>
        <sz val="10"/>
        <rFont val="WenQuanYi Zen Hei"/>
        <family val="2"/>
      </rPr>
      <t xml:space="preserve">어느 쪽도 악역으로 만들지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공동체 안의 두 목소리가 모두 옳다는 형태로</t>
    </r>
    <r>
      <rPr>
        <sz val="10"/>
        <rFont val="Noto Sans CJK SC"/>
        <family val="2"/>
        <charset val="1"/>
      </rPr>
      <t xml:space="preserve">.</t>
    </r>
  </si>
  <si>
    <t xml:space="preserve">인허가 권한 배분은 사업 규모별로 확인</t>
  </si>
  <si>
    <t xml:space="preserve">노동</t>
  </si>
  <si>
    <r>
      <rPr>
        <sz val="10"/>
        <rFont val="WenQuanYi Zen Hei"/>
        <family val="2"/>
      </rPr>
      <t xml:space="preserve">앱 노동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운전기사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배달원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갈등</t>
    </r>
  </si>
  <si>
    <t xml:space="preserve">motorista de aplicativo, entregador, algoritmo, breque, vínculo empregatício</t>
  </si>
  <si>
    <r>
      <rPr>
        <sz val="10"/>
        <rFont val="WenQuanYi Zen Hei"/>
        <family val="2"/>
      </rPr>
      <t xml:space="preserve">앱 배달원과 운전기사가 알고리즘 배차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일방적 계정 차단에 항의한다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앱 노동 법안 논의 이후에도 고용 지위 분쟁이 계속됨을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이 현장에서 겪는다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</si>
  <si>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O aplicativo que decide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</si>
  <si>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(Juliana</t>
    </r>
    <r>
      <rPr>
        <sz val="10"/>
        <rFont val="WenQuanYi Zen Hei"/>
        <family val="2"/>
      </rPr>
      <t xml:space="preserve">의 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곁가지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</si>
  <si>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노동법</t>
    </r>
    <r>
      <rPr>
        <sz val="10"/>
        <rFont val="Noto Sans CJK SC"/>
        <family val="2"/>
        <charset val="1"/>
      </rPr>
      <t xml:space="preserve">)·</t>
    </r>
    <r>
      <rPr>
        <sz val="10"/>
        <rFont val="WenQuanYi Zen Hei"/>
        <family val="2"/>
      </rPr>
      <t xml:space="preserve">노동법원</t>
    </r>
    <r>
      <rPr>
        <sz val="10"/>
        <rFont val="Noto Sans CJK SC"/>
        <family val="2"/>
        <charset val="1"/>
      </rPr>
      <t xml:space="preserve">·STF</t>
    </r>
  </si>
  <si>
    <r>
      <rPr>
        <sz val="10"/>
        <rFont val="WenQuanYi Zen Hei"/>
        <family val="2"/>
      </rPr>
      <t xml:space="preserve">앱 운전기사 법안</t>
    </r>
    <r>
      <rPr>
        <sz val="10"/>
        <rFont val="Arial"/>
        <family val="0"/>
        <charset val="1"/>
      </rPr>
      <t xml:space="preserve">(PLP 12/2024), </t>
    </r>
    <r>
      <rPr>
        <sz val="10"/>
        <rFont val="WenQuanYi Zen Hei"/>
        <family val="2"/>
      </rPr>
      <t xml:space="preserve">노동법</t>
    </r>
    <r>
      <rPr>
        <sz val="10"/>
        <rFont val="Arial"/>
        <family val="0"/>
        <charset val="1"/>
      </rPr>
      <t xml:space="preserve">(CLT) </t>
    </r>
    <r>
      <rPr>
        <sz val="10"/>
        <rFont val="WenQuanYi Zen Hei"/>
        <family val="2"/>
      </rPr>
      <t xml:space="preserve">고용 관계 판단</t>
    </r>
  </si>
  <si>
    <t xml:space="preserve">algoritmo, bloqueio, plataforma, vínculo, autônomo</t>
  </si>
  <si>
    <r>
      <rPr>
        <sz val="10"/>
        <rFont val="WenQuanYi Zen Hei"/>
        <family val="2"/>
      </rPr>
      <t xml:space="preserve">플랫폼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노동자 구도를 단순화하지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독립 사업자를 원하는 운전기사의 목소리도 담는다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</si>
  <si>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법안 처리 상황과 </t>
    </r>
    <r>
      <rPr>
        <sz val="10"/>
        <rFont val="Arial"/>
        <family val="0"/>
        <charset val="1"/>
      </rPr>
      <t xml:space="preserve">STF </t>
    </r>
    <r>
      <rPr>
        <sz val="10"/>
        <rFont val="WenQuanYi Zen Hei"/>
        <family val="2"/>
      </rPr>
      <t xml:space="preserve">고용 지위 판결은 반영 전 확인</t>
    </r>
  </si>
  <si>
    <r>
      <rPr>
        <sz val="10"/>
        <rFont val="WenQuanYi Zen Hei"/>
        <family val="2"/>
      </rPr>
      <t xml:space="preserve">사법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통제</t>
    </r>
  </si>
  <si>
    <r>
      <rPr>
        <sz val="10"/>
        <rFont val="WenQuanYi Zen Hei"/>
        <family val="2"/>
      </rPr>
      <t xml:space="preserve">정보기관 불법 사찰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스파이웨어 스캔들</t>
    </r>
  </si>
  <si>
    <t xml:space="preserve">espionagem ilegal, spyware, Abin, controle externo, CPI</t>
  </si>
  <si>
    <r>
      <rPr>
        <sz val="10"/>
        <rFont val="WenQuanYi Zen Hei"/>
        <family val="2"/>
      </rPr>
      <t xml:space="preserve">야당 정치인과 언론인 휴대전화가 위치추적 스파이웨어로 감시당했다는 의혹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군사정권 시절 감시받던 </t>
    </r>
    <r>
      <rPr>
        <sz val="10"/>
        <rFont val="Noto Sans CJK SC"/>
        <family val="2"/>
        <charset val="1"/>
      </rPr>
      <t xml:space="preserve">Freire</t>
    </r>
    <r>
      <rPr>
        <sz val="10"/>
        <rFont val="WenQuanYi Zen Hei"/>
        <family val="2"/>
      </rPr>
      <t xml:space="preserve">가 그 수법을 알아채고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은 합법적 감독 경로를 고집한다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</si>
  <si>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O software que ninguém autorizou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</si>
  <si>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도청 논쟁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연결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확장</t>
    </r>
  </si>
  <si>
    <r>
      <rPr>
        <sz val="10"/>
        <rFont val="WenQuanYi Zen Hei"/>
        <family val="2"/>
      </rPr>
      <t xml:space="preserve">정보청</t>
    </r>
    <r>
      <rPr>
        <sz val="10"/>
        <rFont val="Noto Sans CJK SC"/>
        <family val="2"/>
        <charset val="1"/>
      </rPr>
      <t xml:space="preserve">(Abin, </t>
    </r>
    <r>
      <rPr>
        <sz val="10"/>
        <rFont val="WenQuanYi Zen Hei"/>
        <family val="2"/>
      </rPr>
      <t xml:space="preserve">수석장관실 소속</t>
    </r>
    <r>
      <rPr>
        <sz val="10"/>
        <rFont val="Noto Sans CJK SC"/>
        <family val="2"/>
        <charset val="1"/>
      </rPr>
      <t xml:space="preserve">)·</t>
    </r>
    <r>
      <rPr>
        <sz val="10"/>
        <rFont val="WenQuanYi Zen Hei"/>
        <family val="2"/>
      </rPr>
      <t xml:space="preserve">사법부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연방의회</t>
    </r>
  </si>
  <si>
    <r>
      <rPr>
        <sz val="10"/>
        <rFont val="WenQuanYi Zen Hei"/>
        <family val="2"/>
      </rPr>
      <t xml:space="preserve">정보청법</t>
    </r>
    <r>
      <rPr>
        <sz val="10"/>
        <rFont val="Arial"/>
        <family val="0"/>
        <charset val="1"/>
      </rPr>
      <t xml:space="preserve">(Lei 9.883/1999), </t>
    </r>
    <r>
      <rPr>
        <sz val="10"/>
        <rFont val="WenQuanYi Zen Hei"/>
        <family val="2"/>
      </rPr>
      <t xml:space="preserve">의회 정보활동통제위원회</t>
    </r>
    <r>
      <rPr>
        <sz val="10"/>
        <rFont val="Arial"/>
        <family val="0"/>
        <charset val="1"/>
      </rPr>
      <t xml:space="preserve">(CCAI), </t>
    </r>
    <r>
      <rPr>
        <sz val="10"/>
        <rFont val="WenQuanYi Zen Hei"/>
        <family val="2"/>
      </rPr>
      <t xml:space="preserve">감청법</t>
    </r>
    <r>
      <rPr>
        <sz val="10"/>
        <rFont val="Arial"/>
        <family val="0"/>
        <charset val="1"/>
      </rPr>
      <t xml:space="preserve">(Lei 9.296/1996)</t>
    </r>
  </si>
  <si>
    <t xml:space="preserve">espionagem, controle externo, geolocalização, CPI</t>
  </si>
  <si>
    <r>
      <rPr>
        <sz val="10"/>
        <rFont val="WenQuanYi Zen Hei"/>
        <family val="2"/>
      </rPr>
      <t xml:space="preserve">실제 사건을 특정하지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가상의 스캔들로 각색하고 여야 모두를 향한 감독 공백을 보여 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</si>
  <si>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정보기관의 위치추적 소프트웨어 사용 의혹 등 실제 사례가 있음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세부는 반영 전 확인</t>
    </r>
  </si>
  <si>
    <t xml:space="preserve">청년 정신건강 위기와 온라인 도박</t>
  </si>
  <si>
    <t xml:space="preserve">saúde mental, ansiedade, fila, CAPS, bets, endividamento</t>
  </si>
  <si>
    <r>
      <rPr>
        <sz val="10"/>
        <rFont val="WenQuanYi Zen Hei"/>
        <family val="2"/>
      </rPr>
      <t xml:space="preserve">청년 정신건강 상담 대기가 몇 달씩 밀리고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온라인 도박</t>
    </r>
    <r>
      <rPr>
        <sz val="10"/>
        <rFont val="Noto Sans CJK SC"/>
        <family val="2"/>
        <charset val="1"/>
      </rPr>
      <t xml:space="preserve">(bets) </t>
    </r>
    <r>
      <rPr>
        <sz val="10"/>
        <rFont val="WenQuanYi Zen Hei"/>
        <family val="2"/>
      </rPr>
      <t xml:space="preserve">빚이 불안을 키운다</t>
    </r>
    <r>
      <rPr>
        <sz val="10"/>
        <rFont val="Noto Sans CJK SC"/>
        <family val="2"/>
        <charset val="1"/>
      </rPr>
      <t xml:space="preserve">. CVV </t>
    </r>
    <r>
      <rPr>
        <sz val="10"/>
        <rFont val="WenQuanYi Zen Hei"/>
        <family val="2"/>
      </rPr>
      <t xml:space="preserve">자원봉사자 </t>
    </r>
    <r>
      <rPr>
        <sz val="10"/>
        <rFont val="Noto Sans CJK SC"/>
        <family val="2"/>
        <charset val="1"/>
      </rPr>
      <t xml:space="preserve">Isabel</t>
    </r>
    <r>
      <rPr>
        <sz val="10"/>
        <rFont val="WenQuanYi Zen Hei"/>
        <family val="2"/>
      </rPr>
      <t xml:space="preserve">이 현장에서</t>
    </r>
    <r>
      <rPr>
        <sz val="10"/>
        <rFont val="Noto Sans CJK SC"/>
        <family val="2"/>
        <charset val="1"/>
      </rPr>
      <t xml:space="preserve">, Larissa</t>
    </r>
    <r>
      <rPr>
        <sz val="10"/>
        <rFont val="WenQuanYi Zen Hei"/>
        <family val="2"/>
      </rPr>
      <t xml:space="preserve">가 자신의 불안을 처음 인정하며 함께 부딪힌다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</si>
  <si>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As filas de espera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</si>
  <si>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(Larissa</t>
    </r>
    <r>
      <rPr>
        <sz val="10"/>
        <rFont val="WenQuanYi Zen Hei"/>
        <family val="2"/>
      </rPr>
      <t xml:space="preserve">의 폭발과 연결 가능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곁가지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</si>
  <si>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시</t>
    </r>
    <r>
      <rPr>
        <sz val="10"/>
        <rFont val="Noto Sans CJK SC"/>
        <family val="2"/>
        <charset val="1"/>
      </rPr>
      <t xml:space="preserve">(CAPS)·</t>
    </r>
    <r>
      <rPr>
        <sz val="10"/>
        <rFont val="WenQuanYi Zen Hei"/>
        <family val="2"/>
      </rPr>
      <t xml:space="preserve">연방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재원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도박 규제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</si>
  <si>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정신보건법</t>
    </r>
    <r>
      <rPr>
        <sz val="10"/>
        <rFont val="Noto Sans CJK SC"/>
        <family val="2"/>
        <charset val="1"/>
      </rPr>
      <t xml:space="preserve">(Lei 10.216/2001), </t>
    </r>
    <r>
      <rPr>
        <sz val="10"/>
        <rFont val="WenQuanYi Zen Hei"/>
        <family val="2"/>
      </rPr>
      <t xml:space="preserve">정신보건 네트워크</t>
    </r>
    <r>
      <rPr>
        <sz val="10"/>
        <rFont val="Noto Sans CJK SC"/>
        <family val="2"/>
        <charset val="1"/>
      </rPr>
      <t xml:space="preserve">(RAPS), </t>
    </r>
    <r>
      <rPr>
        <sz val="10"/>
        <rFont val="WenQuanYi Zen Hei"/>
        <family val="2"/>
      </rPr>
      <t xml:space="preserve">온라인 도박 규제법</t>
    </r>
    <r>
      <rPr>
        <sz val="10"/>
        <rFont val="Noto Sans CJK SC"/>
        <family val="2"/>
        <charset val="1"/>
      </rPr>
      <t xml:space="preserve">(Lei 14.790/2023)</t>
    </r>
  </si>
  <si>
    <t xml:space="preserve">saúde mental, ansiedade, terapia, fila de espera, aposta</t>
  </si>
  <si>
    <r>
      <rPr>
        <sz val="10"/>
        <rFont val="WenQuanYi Zen Hei"/>
        <family val="2"/>
      </rPr>
      <t xml:space="preserve">청년 정신건강을 극적 소재로만 소비하지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낙인 없이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도움을 구하는 것이 자연스럽다는 톤으로</t>
    </r>
    <r>
      <rPr>
        <sz val="10"/>
        <rFont val="Noto Sans CJK SC"/>
        <family val="2"/>
        <charset val="1"/>
      </rPr>
      <t xml:space="preserve">.</t>
    </r>
  </si>
  <si>
    <t xml:space="preserve">온라인 도박 규제 이후 통계는 반영 전 확인</t>
  </si>
  <si>
    <r>
      <rPr>
        <b val="true"/>
        <sz val="10"/>
        <rFont val="WenQuanYi Zen Hei"/>
        <family val="2"/>
      </rPr>
      <t xml:space="preserve">현실 기준값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브라질판 전환 시 재확인 필요 — 수치는 반영 전 최신 통계로 교체</t>
    </r>
    <r>
      <rPr>
        <b val="true"/>
        <sz val="10"/>
        <rFont val="Noto Sans CJK SC"/>
        <family val="2"/>
        <charset val="1"/>
      </rPr>
      <t xml:space="preserve">)</t>
    </r>
  </si>
  <si>
    <t xml:space="preserve">구분</t>
  </si>
  <si>
    <t xml:space="preserve">항목</t>
  </si>
  <si>
    <t xml:space="preserve">값</t>
  </si>
  <si>
    <r>
      <rPr>
        <b val="true"/>
        <sz val="10"/>
        <color rgb="FFFFFFFF"/>
        <rFont val="WenQuanYi Zen Hei"/>
        <family val="2"/>
      </rPr>
      <t xml:space="preserve">출처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비고</t>
    </r>
  </si>
  <si>
    <r>
      <rPr>
        <sz val="10"/>
        <rFont val="WenQuanYi Zen Hei"/>
        <family val="2"/>
      </rPr>
      <t xml:space="preserve">일반정부 총부채 </t>
    </r>
    <r>
      <rPr>
        <sz val="10"/>
        <rFont val="Noto Sans CJK SC"/>
        <family val="2"/>
        <charset val="1"/>
      </rPr>
      <t xml:space="preserve">/ GDP</t>
    </r>
  </si>
  <si>
    <r>
      <rPr>
        <sz val="10"/>
        <rFont val="WenQuanYi Zen Hei"/>
        <family val="2"/>
      </rPr>
      <t xml:space="preserve">약 </t>
    </r>
    <r>
      <rPr>
        <sz val="10"/>
        <rFont val="Noto Sans CJK SC"/>
        <family val="2"/>
        <charset val="1"/>
      </rPr>
      <t xml:space="preserve">78~80% (</t>
    </r>
    <r>
      <rPr>
        <sz val="10"/>
        <rFont val="WenQuanYi Zen Hei"/>
        <family val="2"/>
      </rPr>
      <t xml:space="preserve">반영 전 확인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</si>
  <si>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브라질 중앙은행</t>
    </r>
    <r>
      <rPr>
        <sz val="10"/>
        <rFont val="Noto Sans CJK SC"/>
        <family val="2"/>
        <charset val="1"/>
      </rPr>
      <t xml:space="preserve">(BCB) </t>
    </r>
    <r>
      <rPr>
        <sz val="10"/>
        <rFont val="WenQuanYi Zen Hei"/>
        <family val="2"/>
      </rPr>
      <t xml:space="preserve">재정 통계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스페인판의 약 </t>
    </r>
    <r>
      <rPr>
        <sz val="10"/>
        <rFont val="Noto Sans CJK SC"/>
        <family val="2"/>
        <charset val="1"/>
      </rPr>
      <t xml:space="preserve">100%</t>
    </r>
    <r>
      <rPr>
        <sz val="10"/>
        <rFont val="WenQuanYi Zen Hei"/>
        <family val="2"/>
      </rPr>
      <t xml:space="preserve">와 달리 비율은 낮지만 금리가 높아 이자 부담이 크다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</si>
  <si>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18~24</t>
    </r>
    <r>
      <rPr>
        <sz val="10"/>
        <rFont val="WenQuanYi Zen Hei"/>
        <family val="2"/>
      </rPr>
      <t xml:space="preserve">세 실업률</t>
    </r>
  </si>
  <si>
    <r>
      <rPr>
        <sz val="10"/>
        <rFont val="WenQuanYi Zen Hei"/>
        <family val="2"/>
      </rPr>
      <t xml:space="preserve">전체 실업률의 약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반영 전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</si>
  <si>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IBGE </t>
    </r>
    <r>
      <rPr>
        <sz val="10"/>
        <rFont val="WenQuanYi Zen Hei"/>
        <family val="2"/>
      </rPr>
      <t xml:space="preserve">연속 가계조사</t>
    </r>
    <r>
      <rPr>
        <sz val="10"/>
        <rFont val="Arial"/>
        <family val="0"/>
        <charset val="1"/>
      </rPr>
      <t xml:space="preserve">(PNAD Contínua). </t>
    </r>
    <r>
      <rPr>
        <sz val="10"/>
        <rFont val="WenQuanYi Zen Hei"/>
        <family val="2"/>
      </rPr>
      <t xml:space="preserve">비공식 고용 비중도 함께 확인</t>
    </r>
    <r>
      <rPr>
        <sz val="10"/>
        <rFont val="Arial"/>
        <family val="0"/>
        <charset val="1"/>
      </rPr>
      <t xml:space="preserve">.</t>
    </r>
  </si>
  <si>
    <t xml:space="preserve">정부 형태</t>
  </si>
  <si>
    <r>
      <rPr>
        <sz val="10"/>
        <rFont val="WenQuanYi Zen Hei"/>
        <family val="2"/>
      </rPr>
      <t xml:space="preserve">대통령제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다당 연립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연립 대통령제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</si>
  <si>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이야기에는 실존 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인물을 쓰지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표현은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여소야대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가 아니라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연립 정부의 과반 관리</t>
    </r>
    <r>
      <rPr>
        <sz val="10"/>
        <rFont val="Noto Sans CJK SC"/>
        <family val="2"/>
        <charset val="1"/>
      </rPr>
      <t xml:space="preserve">'.</t>
    </r>
  </si>
  <si>
    <t xml:space="preserve">확인 필요</t>
  </si>
  <si>
    <t xml:space="preserve">변동이 잦은 항목</t>
  </si>
  <si>
    <r>
      <rPr>
        <sz val="10"/>
        <rFont val="WenQuanYi Zen Hei"/>
        <family val="2"/>
      </rPr>
      <t xml:space="preserve">주 부채 재협상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앱 노동 법안</t>
    </r>
    <r>
      <rPr>
        <sz val="10"/>
        <rFont val="Noto Sans CJK SC"/>
        <family val="2"/>
        <charset val="1"/>
      </rPr>
      <t xml:space="preserve">, Mercosul–EU </t>
    </r>
    <r>
      <rPr>
        <sz val="10"/>
        <rFont val="WenQuanYi Zen Hei"/>
        <family val="2"/>
      </rPr>
      <t xml:space="preserve">비준</t>
    </r>
    <r>
      <rPr>
        <sz val="10"/>
        <rFont val="Noto Sans CJK SC"/>
        <family val="2"/>
        <charset val="1"/>
      </rPr>
      <t xml:space="preserve">, EUDR </t>
    </r>
    <r>
      <rPr>
        <sz val="10"/>
        <rFont val="WenQuanYi Zen Hei"/>
        <family val="2"/>
      </rPr>
      <t xml:space="preserve">시행 일정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초고소득 과세법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의원 예산 투명성 규정</t>
    </r>
  </si>
  <si>
    <r>
      <rPr>
        <sz val="10"/>
        <rFont val="WenQuanYi Zen Hei"/>
        <family val="2"/>
      </rPr>
      <t xml:space="preserve">교재에 넣기 직전 최신 상태를 확인한다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</si>
  <si>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현안 분포표 </t>
    </r>
    <r>
      <rPr>
        <b val="true"/>
        <sz val="14"/>
        <color rgb="FF1F3864"/>
        <rFont val="Noto Sans CJK SC"/>
        <family val="2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부 </t>
    </r>
    <r>
      <rPr>
        <b val="true"/>
        <sz val="14"/>
        <color rgb="FF1F3864"/>
        <rFont val="Noto Sans CJK SC"/>
        <family val="2"/>
        <charset val="1"/>
      </rPr>
      <t xml:space="preserve">× </t>
    </r>
    <r>
      <rPr>
        <b val="true"/>
        <sz val="14"/>
        <color rgb="FF1F3864"/>
        <rFont val="WenQuanYi Zen Hei"/>
        <family val="2"/>
      </rPr>
      <t xml:space="preserve">현안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</si>
  <si>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● = </t>
    </r>
    <r>
      <rPr>
        <i val="true"/>
        <sz val="9"/>
        <color rgb="FF595959"/>
        <rFont val="WenQuanYi Zen Hei"/>
        <family val="2"/>
      </rPr>
      <t xml:space="preserve">그 화의 주된 사건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전용 화</t>
    </r>
    <r>
      <rPr>
        <i val="true"/>
        <sz val="9"/>
        <color rgb="FF595959"/>
        <rFont val="Arial"/>
        <family val="0"/>
        <charset val="1"/>
      </rPr>
      <t xml:space="preserve">), ○ = </t>
    </r>
    <r>
      <rPr>
        <i val="true"/>
        <sz val="9"/>
        <color rgb="FF595959"/>
        <rFont val="WenQuanYi Zen Hei"/>
        <family val="2"/>
      </rPr>
      <t xml:space="preserve">곁가지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대사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서브플롯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기호를 바꾸면 아래 집계가 자동 갱신됩니다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</si>
  <si>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● 수</t>
  </si>
  <si>
    <t xml:space="preserve">○ 수</t>
  </si>
  <si>
    <r>
      <rPr>
        <sz val="10"/>
        <rFont val="WenQuanYi Zen Hei"/>
        <family val="2"/>
      </rPr>
      <t xml:space="preserve">연립 대통령제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의회 거래</t>
    </r>
  </si>
  <si>
    <t xml:space="preserve">○</t>
  </si>
  <si>
    <t xml:space="preserve">●</t>
  </si>
  <si>
    <r>
      <rPr>
        <sz val="10"/>
        <rFont val="WenQuanYi Zen Hei"/>
        <family val="2"/>
      </rPr>
      <t xml:space="preserve">연방 갈등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 부채 재협상</t>
    </r>
  </si>
  <si>
    <r>
      <rPr>
        <sz val="10"/>
        <rFont val="WenQuanYi Zen Hei"/>
        <family val="2"/>
      </rPr>
      <t xml:space="preserve">사법 지연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공권력 남용</t>
    </r>
  </si>
  <si>
    <r>
      <rPr>
        <sz val="10"/>
        <rFont val="WenQuanYi Zen Hei"/>
        <family val="2"/>
      </rPr>
      <t xml:space="preserve">주거난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퇴거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단기 임대</t>
    </r>
  </si>
  <si>
    <r>
      <rPr>
        <sz val="10"/>
        <rFont val="WenQuanYi Zen Hei"/>
        <family val="2"/>
      </rPr>
      <t xml:space="preserve">비공식 경제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영세 사업자</t>
    </r>
  </si>
  <si>
    <r>
      <rPr>
        <sz val="10"/>
        <rFont val="WenQuanYi Zen Hei"/>
        <family val="2"/>
      </rPr>
      <t xml:space="preserve">부채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재정규칙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고금리</t>
    </r>
  </si>
  <si>
    <t xml:space="preserve">청년 고용 불안</t>
  </si>
  <si>
    <r>
      <rPr>
        <sz val="10"/>
        <rFont val="WenQuanYi Zen Hei"/>
        <family val="2"/>
      </rPr>
      <t xml:space="preserve">이주민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난민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노동 착취</t>
    </r>
  </si>
  <si>
    <r>
      <rPr>
        <sz val="10"/>
        <rFont val="WenQuanYi Zen Hei"/>
        <family val="2"/>
      </rPr>
      <t xml:space="preserve">고령화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지역 의료 격차</t>
    </r>
  </si>
  <si>
    <r>
      <rPr>
        <sz val="10"/>
        <rFont val="WenQuanYi Zen Hei"/>
        <family val="2"/>
      </rPr>
      <t xml:space="preserve">폭염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가뭄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에너지 전환</t>
    </r>
  </si>
  <si>
    <r>
      <rPr>
        <sz val="10"/>
        <rFont val="WenQuanYi Zen Hei"/>
        <family val="2"/>
      </rPr>
      <t xml:space="preserve">대홍수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방재</t>
    </r>
  </si>
  <si>
    <t xml:space="preserve">의원 예산 불투명 집행</t>
  </si>
  <si>
    <r>
      <rPr>
        <sz val="10"/>
        <rFont val="Noto Sans CJK SC"/>
        <family val="2"/>
        <charset val="1"/>
      </rPr>
      <t xml:space="preserve">Mercosul–EU·</t>
    </r>
    <r>
      <rPr>
        <sz val="10"/>
        <rFont val="WenQuanYi Zen Hei"/>
        <family val="2"/>
      </rPr>
      <t xml:space="preserve">관세</t>
    </r>
  </si>
  <si>
    <r>
      <rPr>
        <sz val="10"/>
        <rFont val="WenQuanYi Zen Hei"/>
        <family val="2"/>
      </rPr>
      <t xml:space="preserve">젠더 폭력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부모소외법</t>
    </r>
  </si>
  <si>
    <r>
      <rPr>
        <sz val="10"/>
        <rFont val="WenQuanYi Zen Hei"/>
        <family val="2"/>
      </rPr>
      <t xml:space="preserve">녹색 대 녹색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풍력단지</t>
    </r>
    <r>
      <rPr>
        <sz val="10"/>
        <rFont val="Noto Sans CJK SC"/>
        <family val="2"/>
        <charset val="1"/>
      </rPr>
      <t xml:space="preserve">)</t>
    </r>
  </si>
  <si>
    <t xml:space="preserve">앱 노동</t>
  </si>
  <si>
    <t xml:space="preserve">정보기관 사찰 스캔들</t>
  </si>
  <si>
    <r>
      <rPr>
        <sz val="10"/>
        <rFont val="WenQuanYi Zen Hei"/>
        <family val="2"/>
      </rPr>
      <t xml:space="preserve">청년 정신건강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온라인 도박</t>
    </r>
  </si>
  <si>
    <t xml:space="preserve">부별 ● 수</t>
  </si>
  <si>
    <t xml:space="preserve">부별 ○ 수</t>
  </si>
  <si>
    <r>
      <rPr>
        <i val="true"/>
        <sz val="9"/>
        <color rgb="FF595959"/>
        <rFont val="WenQuanYi Zen Hei"/>
        <family val="2"/>
      </rPr>
      <t xml:space="preserve">읽는 법</t>
    </r>
    <r>
      <rPr>
        <i val="true"/>
        <sz val="9"/>
        <color rgb="FF595959"/>
        <rFont val="Noto Sans CJK SC"/>
        <family val="2"/>
        <charset val="1"/>
      </rPr>
      <t xml:space="preserve">: 1~5</t>
    </r>
    <r>
      <rPr>
        <i val="true"/>
        <sz val="9"/>
        <color rgb="FF595959"/>
        <rFont val="WenQuanYi Zen Hei"/>
        <family val="2"/>
      </rPr>
      <t xml:space="preserve">부는 곁가지 중심이라 </t>
    </r>
    <r>
      <rPr>
        <i val="true"/>
        <sz val="9"/>
        <color rgb="FF595959"/>
        <rFont val="Noto Sans CJK SC"/>
        <family val="2"/>
        <charset val="1"/>
      </rPr>
      <t xml:space="preserve">B1~B2 </t>
    </r>
    <r>
      <rPr>
        <i val="true"/>
        <sz val="9"/>
        <color rgb="FF595959"/>
        <rFont val="WenQuanYi Zen Hei"/>
        <family val="2"/>
      </rPr>
      <t xml:space="preserve">난이도를 지키고</t>
    </r>
    <r>
      <rPr>
        <i val="true"/>
        <sz val="9"/>
        <color rgb="FF595959"/>
        <rFont val="Noto Sans CJK SC"/>
        <family val="2"/>
        <charset val="1"/>
      </rPr>
      <t xml:space="preserve">, 8·9·11·12</t>
    </r>
    <r>
      <rPr>
        <i val="true"/>
        <sz val="9"/>
        <color rgb="FF595959"/>
        <rFont val="WenQuanYi Zen Hei"/>
        <family val="2"/>
      </rPr>
      <t xml:space="preserve">부에서 전용 화가 몰린다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화당 전용 현안은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개</t>
    </r>
    <r>
      <rPr>
        <i val="true"/>
        <sz val="9"/>
        <color rgb="FF595959"/>
        <rFont val="Noto Sans CJK SC"/>
        <family val="2"/>
        <charset val="1"/>
      </rPr>
      <t xml:space="preserve">(+</t>
    </r>
    <r>
      <rPr>
        <i val="true"/>
        <sz val="9"/>
        <color rgb="FF595959"/>
        <rFont val="WenQuanYi Zen Hei"/>
        <family val="2"/>
      </rPr>
      <t xml:space="preserve">곁가지 </t>
    </r>
    <r>
      <rPr>
        <i val="true"/>
        <sz val="9"/>
        <color rgb="FF595959"/>
        <rFont val="Noto Sans CJK SC"/>
        <family val="2"/>
        <charset val="1"/>
      </rPr>
      <t xml:space="preserve">1~2</t>
    </r>
    <r>
      <rPr>
        <i val="true"/>
        <sz val="9"/>
        <color rgb="FF595959"/>
        <rFont val="WenQuanYi Zen Hei"/>
        <family val="2"/>
      </rPr>
      <t xml:space="preserve">개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로 제한해 낭독 분량을 지킨다</t>
    </r>
    <r>
      <rPr>
        <i val="true"/>
        <sz val="9"/>
        <color rgb="FF595959"/>
        <rFont val="Noto Sans CJK SC"/>
        <family val="2"/>
        <charset val="1"/>
      </rPr>
      <t xml:space="preserve">. N6~N8</t>
    </r>
    <r>
      <rPr>
        <i val="true"/>
        <sz val="9"/>
        <color rgb="FF595959"/>
        <rFont val="WenQuanYi Zen Hei"/>
        <family val="2"/>
      </rPr>
      <t xml:space="preserve">은 </t>
    </r>
    <r>
      <rPr>
        <i val="true"/>
        <sz val="9"/>
        <color rgb="FF595959"/>
        <rFont val="Noto Sans CJK SC"/>
        <family val="2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부의 신규 현안으로 각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개 전용 화를 받는다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</si>
  <si>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현안 </t>
    </r>
    <r>
      <rPr>
        <i val="true"/>
        <sz val="9"/>
        <color rgb="FF595959"/>
        <rFont val="Noto Sans CJK SC"/>
        <family val="2"/>
        <charset val="1"/>
      </rPr>
      <t xml:space="preserve">ID</t>
    </r>
    <r>
      <rPr>
        <i val="true"/>
        <sz val="9"/>
        <color rgb="FF595959"/>
        <rFont val="WenQuanYi Zen Hei"/>
        <family val="2"/>
      </rPr>
      <t xml:space="preserve">와 설명은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현안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배치</t>
    </r>
    <r>
      <rPr>
        <i val="true"/>
        <sz val="9"/>
        <color rgb="FF595959"/>
        <rFont val="Noto Sans CJK SC"/>
        <family val="2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시트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화별 반영은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화별목차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전체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의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반영 현안</t>
    </r>
    <r>
      <rPr>
        <i val="true"/>
        <sz val="9"/>
        <color rgb="FF595959"/>
        <rFont val="Noto Sans CJK SC"/>
        <family val="2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열을 참고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</si>
  <si>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현실 정치 제도 기준표 </t>
    </r>
    <r>
      <rPr>
        <b val="true"/>
        <sz val="14"/>
        <color rgb="FF1F3864"/>
        <rFont val="Noto Sans CJK SC"/>
        <family val="2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브라질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</si>
  <si>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8~13</t>
    </r>
    <r>
      <rPr>
        <i val="true"/>
        <sz val="9"/>
        <color rgb="FF595959"/>
        <rFont val="WenQuanYi Zen Hei"/>
        <family val="2"/>
      </rPr>
      <t xml:space="preserve">부에 반영한 실제 제도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정당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정치인은 전부 가상이며 실존 정치인의 대사는 쓰지 않는다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확인 상태가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기획 시점 지식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인 항목은 교재 반영 전 </t>
    </r>
    <r>
      <rPr>
        <i val="true"/>
        <sz val="9"/>
        <color rgb="FF595959"/>
        <rFont val="Arial"/>
        <family val="0"/>
        <charset val="1"/>
      </rPr>
      <t xml:space="preserve">Planalto </t>
    </r>
    <r>
      <rPr>
        <i val="true"/>
        <sz val="9"/>
        <color rgb="FF595959"/>
        <rFont val="WenQuanYi Zen Hei"/>
        <family val="2"/>
      </rPr>
      <t xml:space="preserve">법령 사이트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선거법원</t>
    </r>
    <r>
      <rPr>
        <i val="true"/>
        <sz val="9"/>
        <color rgb="FF595959"/>
        <rFont val="Arial"/>
        <family val="0"/>
        <charset val="1"/>
      </rPr>
      <t xml:space="preserve">(TSE) </t>
    </r>
    <r>
      <rPr>
        <i val="true"/>
        <sz val="9"/>
        <color rgb="FF595959"/>
        <rFont val="WenQuanYi Zen Hei"/>
        <family val="2"/>
      </rPr>
      <t xml:space="preserve">자료로 확인한다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</si>
  <si>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영역</t>
  </si>
  <si>
    <r>
      <rPr>
        <b val="true"/>
        <sz val="10"/>
        <color rgb="FFFFFFFF"/>
        <rFont val="WenQuanYi Zen Hei"/>
        <family val="2"/>
      </rPr>
      <t xml:space="preserve">제도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규칙</t>
    </r>
  </si>
  <si>
    <t xml:space="preserve">근거</t>
  </si>
  <si>
    <t xml:space="preserve">이야기 반영</t>
  </si>
  <si>
    <t xml:space="preserve">확인 상태</t>
  </si>
  <si>
    <r>
      <rPr>
        <b val="true"/>
        <sz val="10"/>
        <rFont val="WenQuanYi Zen Hei"/>
        <family val="2"/>
      </rPr>
      <t xml:space="preserve">정당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선거</t>
    </r>
  </si>
  <si>
    <t xml:space="preserve">정당 창당</t>
  </si>
  <si>
    <r>
      <rPr>
        <sz val="10"/>
        <rFont val="WenQuanYi Zen Hei"/>
        <family val="2"/>
      </rPr>
      <t xml:space="preserve">창립자들이 창립 문서와 정관을 민사 등기소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브라질리아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에 등록해 법인격을 얻은 뒤</t>
    </r>
    <r>
      <rPr>
        <sz val="10"/>
        <rFont val="Noto Sans CJK SC"/>
        <family val="2"/>
        <charset val="1"/>
      </rPr>
      <t xml:space="preserve">, 2</t>
    </r>
    <r>
      <rPr>
        <sz val="10"/>
        <rFont val="WenQuanYi Zen Hei"/>
        <family val="2"/>
      </rPr>
      <t xml:space="preserve">년 안에 직전 하원선거 유효표의 </t>
    </r>
    <r>
      <rPr>
        <sz val="10"/>
        <rFont val="Noto Sans CJK SC"/>
        <family val="2"/>
        <charset val="1"/>
      </rPr>
      <t xml:space="preserve">0.5% </t>
    </r>
    <r>
      <rPr>
        <sz val="10"/>
        <rFont val="WenQuanYi Zen Hei"/>
        <family val="2"/>
      </rPr>
      <t xml:space="preserve">이상에 해당하는 비당원 유권자 지지 서명을 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개 주 이상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각 주 유권자 </t>
    </r>
    <r>
      <rPr>
        <sz val="10"/>
        <rFont val="Noto Sans CJK SC"/>
        <family val="2"/>
        <charset val="1"/>
      </rPr>
      <t xml:space="preserve">0.1% </t>
    </r>
    <r>
      <rPr>
        <sz val="10"/>
        <rFont val="WenQuanYi Zen Hei"/>
        <family val="2"/>
      </rPr>
      <t xml:space="preserve">이상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에서 모아 선거법원</t>
    </r>
    <r>
      <rPr>
        <sz val="10"/>
        <rFont val="Noto Sans CJK SC"/>
        <family val="2"/>
        <charset val="1"/>
      </rPr>
      <t xml:space="preserve">(TSE)</t>
    </r>
    <r>
      <rPr>
        <sz val="10"/>
        <rFont val="WenQuanYi Zen Hei"/>
        <family val="2"/>
      </rPr>
      <t xml:space="preserve">에 등록해야 선거에 나갈 수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</si>
  <si>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정당법</t>
    </r>
    <r>
      <rPr>
        <sz val="10"/>
        <rFont val="Arial"/>
        <family val="0"/>
        <charset val="1"/>
      </rPr>
      <t xml:space="preserve">(Lei 9.096/1995)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7~9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TSE </t>
    </r>
    <r>
      <rPr>
        <sz val="10"/>
        <rFont val="WenQuanYi Zen Hei"/>
        <family val="2"/>
      </rPr>
      <t xml:space="preserve">정당 등록 결의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</si>
  <si>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</si>
  <si>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ata de fundação, estatuto, apoiamento, registro no TSE</t>
  </si>
  <si>
    <r>
      <rPr>
        <sz val="10"/>
        <rFont val="WenQuanYi Zen Hei"/>
        <family val="2"/>
      </rPr>
      <t xml:space="preserve">기획 시점 지식 — </t>
    </r>
    <r>
      <rPr>
        <sz val="10"/>
        <rFont val="Noto Sans CJK SC"/>
        <family val="2"/>
        <charset val="1"/>
      </rPr>
      <t xml:space="preserve">Planalto </t>
    </r>
    <r>
      <rPr>
        <sz val="10"/>
        <rFont val="WenQuanYi Zen Hei"/>
        <family val="2"/>
      </rPr>
      <t xml:space="preserve">현행본 확인 필요</t>
    </r>
  </si>
  <si>
    <t xml:space="preserve">정당 자율과 내부 운영</t>
  </si>
  <si>
    <r>
      <rPr>
        <sz val="10"/>
        <rFont val="WenQuanYi Zen Hei"/>
        <family val="2"/>
      </rPr>
      <t xml:space="preserve">정당은 내부 조직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운영을 자율로 정하되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정관에 당원 규율과 충실 의무를 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전국적 성격을 가져야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</si>
  <si>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17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</si>
  <si>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</si>
  <si>
    <t xml:space="preserve">autonomia partidária, filiado, fidelidade partidária</t>
  </si>
  <si>
    <r>
      <rPr>
        <sz val="10"/>
        <rFont val="WenQuanYi Zen Hei"/>
        <family val="2"/>
      </rPr>
      <t xml:space="preserve">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선거 재정</t>
    </r>
  </si>
  <si>
    <r>
      <rPr>
        <sz val="10"/>
        <rFont val="WenQuanYi Zen Hei"/>
        <family val="2"/>
      </rPr>
      <t xml:space="preserve">기업 후원은 금지</t>
    </r>
    <r>
      <rPr>
        <sz val="10"/>
        <rFont val="Noto Sans CJK SC"/>
        <family val="2"/>
        <charset val="1"/>
      </rPr>
      <t xml:space="preserve">(STF 2015 </t>
    </r>
    <r>
      <rPr>
        <sz val="10"/>
        <rFont val="WenQuanYi Zen Hei"/>
        <family val="2"/>
      </rPr>
      <t xml:space="preserve">위헌 결정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공적 재원은 정당기금</t>
    </r>
    <r>
      <rPr>
        <sz val="10"/>
        <rFont val="Noto Sans CJK SC"/>
        <family val="2"/>
        <charset val="1"/>
      </rPr>
      <t xml:space="preserve">(Fundo Partidário)</t>
    </r>
    <r>
      <rPr>
        <sz val="10"/>
        <rFont val="WenQuanYi Zen Hei"/>
        <family val="2"/>
      </rPr>
      <t xml:space="preserve">과 선거기금</t>
    </r>
    <r>
      <rPr>
        <sz val="10"/>
        <rFont val="Noto Sans CJK SC"/>
        <family val="2"/>
        <charset val="1"/>
      </rPr>
      <t xml:space="preserve">(FEFC)</t>
    </r>
    <r>
      <rPr>
        <sz val="10"/>
        <rFont val="WenQuanYi Zen Hei"/>
        <family val="2"/>
      </rPr>
      <t xml:space="preserve">이며 대부분 하원 의석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득표에 비례해 배분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개인 후원은 소득 </t>
    </r>
    <r>
      <rPr>
        <sz val="10"/>
        <rFont val="Noto Sans CJK SC"/>
        <family val="2"/>
        <charset val="1"/>
      </rPr>
      <t xml:space="preserve">10% </t>
    </r>
    <r>
      <rPr>
        <sz val="10"/>
        <rFont val="WenQuanYi Zen Hei"/>
        <family val="2"/>
      </rPr>
      <t xml:space="preserve">한도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온라인 모금 허용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회계는 선거법원에 보고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</si>
  <si>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정당법 제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조 이하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선거법</t>
    </r>
    <r>
      <rPr>
        <sz val="10"/>
        <rFont val="Arial"/>
        <family val="0"/>
        <charset val="1"/>
      </rPr>
      <t xml:space="preserve">(Lei 9.504/1997)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16-C·23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STF ADI 4650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</si>
  <si>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</si>
  <si>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Fundo Partidário, FEFC, doação, vaquinha, prestação de contas</t>
  </si>
  <si>
    <t xml:space="preserve">집회 사전 통지</t>
  </si>
  <si>
    <r>
      <rPr>
        <sz val="10"/>
        <rFont val="WenQuanYi Zen Hei"/>
        <family val="2"/>
      </rPr>
      <t xml:space="preserve">평화적 비무장 집회는 허가 없이 할 수 있고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같은 장소의 다른 집회를 방해하지 않도록 관할 당국에 미리 알리기만 하면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</si>
  <si>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XVI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</si>
  <si>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</si>
  <si>
    <t xml:space="preserve">aviso prévio, manifestação, ato público</t>
  </si>
  <si>
    <r>
      <rPr>
        <sz val="10"/>
        <rFont val="WenQuanYi Zen Hei"/>
        <family val="2"/>
      </rPr>
      <t xml:space="preserve">국민발안 </t>
    </r>
    <r>
      <rPr>
        <sz val="10"/>
        <rFont val="Noto Sans CJK SC"/>
        <family val="2"/>
        <charset val="1"/>
      </rPr>
      <t xml:space="preserve">(iniciativa popular)</t>
    </r>
  </si>
  <si>
    <r>
      <rPr>
        <sz val="10"/>
        <rFont val="WenQuanYi Zen Hei"/>
        <family val="2"/>
      </rPr>
      <t xml:space="preserve">전국 유권자 </t>
    </r>
    <r>
      <rPr>
        <sz val="10"/>
        <rFont val="Noto Sans CJK SC"/>
        <family val="2"/>
        <charset val="1"/>
      </rPr>
      <t xml:space="preserve">1% </t>
    </r>
    <r>
      <rPr>
        <sz val="10"/>
        <rFont val="WenQuanYi Zen Hei"/>
        <family val="2"/>
      </rPr>
      <t xml:space="preserve">이상</t>
    </r>
    <r>
      <rPr>
        <sz val="10"/>
        <rFont val="Noto Sans CJK SC"/>
        <family val="2"/>
        <charset val="1"/>
      </rPr>
      <t xml:space="preserve">, 5</t>
    </r>
    <r>
      <rPr>
        <sz val="10"/>
        <rFont val="WenQuanYi Zen Hei"/>
        <family val="2"/>
      </rPr>
      <t xml:space="preserve">개 주 이상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각 주 유권자 </t>
    </r>
    <r>
      <rPr>
        <sz val="10"/>
        <rFont val="Noto Sans CJK SC"/>
        <family val="2"/>
        <charset val="1"/>
      </rPr>
      <t xml:space="preserve">0.3% </t>
    </r>
    <r>
      <rPr>
        <sz val="10"/>
        <rFont val="WenQuanYi Zen Hei"/>
        <family val="2"/>
      </rPr>
      <t xml:space="preserve">이상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의 서명으로 하원에 법안을 낼 수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현실에서는 서명 검증이 어려워 의원이 대리 발의하는 경우가 많다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선례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클린기록법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</si>
  <si>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, Lei 9.709/1998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</si>
  <si>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3~4</t>
    </r>
    <r>
      <rPr>
        <sz val="10"/>
        <rFont val="WenQuanYi Zen Hei"/>
        <family val="2"/>
      </rPr>
      <t xml:space="preserve">화</t>
    </r>
  </si>
  <si>
    <t xml:space="preserve">iniciativa popular, assinaturas, projeto de lei</t>
  </si>
  <si>
    <t xml:space="preserve">대통령 선거</t>
  </si>
  <si>
    <r>
      <rPr>
        <sz val="10"/>
        <rFont val="WenQuanYi Zen Hei"/>
        <family val="2"/>
      </rPr>
      <t xml:space="preserve">대통령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부통령은 한 조로 직선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유효표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백표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무효표 제외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과반을 얻으면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차에서 당선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아니면 상위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인이 결선</t>
    </r>
    <r>
      <rPr>
        <sz val="10"/>
        <rFont val="Noto Sans CJK SC"/>
        <family val="2"/>
        <charset val="1"/>
      </rPr>
      <t xml:space="preserve">. 1</t>
    </r>
    <r>
      <rPr>
        <sz val="10"/>
        <rFont val="WenQuanYi Zen Hei"/>
        <family val="2"/>
      </rPr>
      <t xml:space="preserve">차는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월 첫 일요일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결선은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월 마지막 일요일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</si>
  <si>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</si>
  <si>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4·10</t>
    </r>
    <r>
      <rPr>
        <sz val="10"/>
        <rFont val="WenQuanYi Zen Hei"/>
        <family val="2"/>
      </rPr>
      <t xml:space="preserve">화</t>
    </r>
  </si>
  <si>
    <t xml:space="preserve">primeiro turno, segundo turno, votos válidos, chapa</t>
  </si>
  <si>
    <r>
      <rPr>
        <sz val="10"/>
        <rFont val="WenQuanYi Zen Hei"/>
        <family val="2"/>
      </rPr>
      <t xml:space="preserve">기획 시점 지식 — </t>
    </r>
    <r>
      <rPr>
        <sz val="10"/>
        <rFont val="Arial"/>
        <family val="0"/>
        <charset val="1"/>
      </rPr>
      <t xml:space="preserve">Planalto </t>
    </r>
    <r>
      <rPr>
        <sz val="10"/>
        <rFont val="WenQuanYi Zen Hei"/>
        <family val="2"/>
      </rPr>
      <t xml:space="preserve">현행본 확인 필요</t>
    </r>
  </si>
  <si>
    <t xml:space="preserve">하원 선거</t>
  </si>
  <si>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513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주별 비례대표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최소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최대 </t>
    </r>
    <r>
      <rPr>
        <sz val="10"/>
        <rFont val="Noto Sans CJK SC"/>
        <family val="2"/>
        <charset val="1"/>
      </rPr>
      <t xml:space="preserve">70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개방형 명부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유권자가 후보 개인에게 투표하고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정당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또는 정당 연합체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득표로 의석을 나눈 뒤 개인 득표순으로 당선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선거지수</t>
    </r>
    <r>
      <rPr>
        <sz val="10"/>
        <rFont val="Noto Sans CJK SC"/>
        <family val="2"/>
        <charset val="1"/>
      </rPr>
      <t xml:space="preserve">(quociente eleitoral)</t>
    </r>
    <r>
      <rPr>
        <sz val="10"/>
        <rFont val="WenQuanYi Zen Hei"/>
        <family val="2"/>
      </rPr>
      <t xml:space="preserve">가 기준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</si>
  <si>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선거법</t>
    </r>
    <r>
      <rPr>
        <sz val="10"/>
        <rFont val="Arial"/>
        <family val="0"/>
        <charset val="1"/>
      </rPr>
      <t xml:space="preserve">(Código Eleitoral, Lei 4.737/1965)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</si>
  <si>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4~5</t>
    </r>
    <r>
      <rPr>
        <sz val="10"/>
        <rFont val="WenQuanYi Zen Hei"/>
        <family val="2"/>
      </rPr>
      <t xml:space="preserve">화</t>
    </r>
  </si>
  <si>
    <t xml:space="preserve">quociente eleitoral, lista aberta, bancada, federação partidária</t>
  </si>
  <si>
    <r>
      <rPr>
        <sz val="10"/>
        <rFont val="WenQuanYi Zen Hei"/>
        <family val="2"/>
      </rPr>
      <t xml:space="preserve">정당 성과 기준 </t>
    </r>
    <r>
      <rPr>
        <sz val="10"/>
        <rFont val="Noto Sans CJK SC"/>
        <family val="2"/>
        <charset val="1"/>
      </rPr>
      <t xml:space="preserve">(cláusula de desempenho)</t>
    </r>
  </si>
  <si>
    <r>
      <rPr>
        <sz val="10"/>
        <rFont val="WenQuanYi Zen Hei"/>
        <family val="2"/>
      </rPr>
      <t xml:space="preserve">일정 득표율 또는 연방의원 수 기준을 넘지 못한 정당은 정당기금과 무료 방송 시간을 잃는다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기준은 선거마다 단계적으로 높아진다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</si>
  <si>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개정 </t>
    </r>
    <r>
      <rPr>
        <sz val="10"/>
        <rFont val="Arial"/>
        <family val="0"/>
        <charset val="1"/>
      </rPr>
      <t xml:space="preserve">97/2017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</si>
  <si>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</si>
  <si>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cláusula de barreira, Fundo Partidário, tempo de TV</t>
  </si>
  <si>
    <t xml:space="preserve">후보 등록과 피선거권</t>
  </si>
  <si>
    <r>
      <rPr>
        <sz val="10"/>
        <rFont val="WenQuanYi Zen Hei"/>
        <family val="2"/>
      </rPr>
      <t xml:space="preserve">후보는 선거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개월 전까지 당적을 보유하고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전당대회</t>
    </r>
    <r>
      <rPr>
        <sz val="10"/>
        <rFont val="Arial"/>
        <family val="0"/>
        <charset val="1"/>
      </rPr>
      <t xml:space="preserve">(7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~8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선출된 뒤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일까지 선거법원에 등록한다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클린기록법에 따라 확정 유죄 등은 결격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</si>
  <si>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선거법</t>
    </r>
    <r>
      <rPr>
        <sz val="10"/>
        <rFont val="Arial"/>
        <family val="0"/>
        <charset val="1"/>
      </rPr>
      <t xml:space="preserve">(Lei 9.504/1997)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8·9·11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LC 64/1990, LC 135/2010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</si>
  <si>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</si>
  <si>
    <t xml:space="preserve">convenção, registro de candidatura, Ficha Limpa, inelegibilidade</t>
  </si>
  <si>
    <t xml:space="preserve">선거운동 일정</t>
  </si>
  <si>
    <r>
      <rPr>
        <sz val="10"/>
        <rFont val="WenQuanYi Zen Hei"/>
        <family val="2"/>
      </rPr>
      <t xml:space="preserve">공식 선거운동은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일부터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무료 선거방송</t>
    </r>
    <r>
      <rPr>
        <sz val="10"/>
        <rFont val="Arial"/>
        <family val="0"/>
        <charset val="1"/>
      </rPr>
      <t xml:space="preserve">(HGPE)</t>
    </r>
    <r>
      <rPr>
        <sz val="10"/>
        <rFont val="WenQuanYi Zen Hei"/>
        <family val="2"/>
      </rPr>
      <t xml:space="preserve">은 투표 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일 전부터 이틀 전까지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투표일에는 투표소 앞 선거운동</t>
    </r>
    <r>
      <rPr>
        <sz val="10"/>
        <rFont val="Arial"/>
        <family val="0"/>
        <charset val="1"/>
      </rPr>
      <t xml:space="preserve">(boca de urna)</t>
    </r>
    <r>
      <rPr>
        <sz val="10"/>
        <rFont val="WenQuanYi Zen Hei"/>
        <family val="2"/>
      </rPr>
      <t xml:space="preserve">이 범죄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여론조사는 선거법원 등록 후 공표 가능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투표일 전 공표 금지 기간 없음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</si>
  <si>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선거법 제</t>
    </r>
    <r>
      <rPr>
        <sz val="10"/>
        <rFont val="Arial"/>
        <family val="0"/>
        <charset val="1"/>
      </rPr>
      <t xml:space="preserve">36·39·47</t>
    </r>
    <r>
      <rPr>
        <sz val="10"/>
        <rFont val="WenQuanYi Zen Hei"/>
        <family val="2"/>
      </rPr>
      <t xml:space="preserve">조 등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</si>
  <si>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</t>
    </r>
  </si>
  <si>
    <t xml:space="preserve">propaganda eleitoral, horário eleitoral gratuito, boca de urna, pesquisa registrada</t>
  </si>
  <si>
    <t xml:space="preserve">지방선거</t>
  </si>
  <si>
    <r>
      <rPr>
        <sz val="10"/>
        <rFont val="WenQuanYi Zen Hei"/>
        <family val="2"/>
      </rPr>
      <t xml:space="preserve">시장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시의원 선거는 총선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년 뒤 따로 치른다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년 주기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상파울루 시의회는 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개방형 비례대표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유권자 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만 명 이상 도시의 시장은 결선제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</si>
  <si>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상파울루시 조직법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</si>
  <si>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</t>
    </r>
  </si>
  <si>
    <t xml:space="preserve">vereador, prefeito, Câmara Municipal, segundo turno</t>
  </si>
  <si>
    <t xml:space="preserve">성별 할당</t>
  </si>
  <si>
    <r>
      <rPr>
        <sz val="10"/>
        <rFont val="WenQuanYi Zen Hei"/>
        <family val="2"/>
      </rPr>
      <t xml:space="preserve">비례대표 명부의 각 성별 후보는 최소 </t>
    </r>
    <r>
      <rPr>
        <sz val="10"/>
        <rFont val="Noto Sans CJK SC"/>
        <family val="2"/>
        <charset val="1"/>
      </rPr>
      <t xml:space="preserve">30%. </t>
    </r>
    <r>
      <rPr>
        <sz val="10"/>
        <rFont val="WenQuanYi Zen Hei"/>
        <family val="2"/>
      </rPr>
      <t xml:space="preserve">할당을 채우려 내세우는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유령 후보</t>
    </r>
    <r>
      <rPr>
        <sz val="10"/>
        <rFont val="Noto Sans CJK SC"/>
        <family val="2"/>
        <charset val="1"/>
      </rPr>
      <t xml:space="preserve">(laranja)'</t>
    </r>
    <r>
      <rPr>
        <sz val="10"/>
        <rFont val="WenQuanYi Zen Hei"/>
        <family val="2"/>
      </rPr>
      <t xml:space="preserve">는 선거 사기로 명부 전체가 무효가 될 수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</si>
  <si>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선거법 제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항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</si>
  <si>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</si>
  <si>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t xml:space="preserve">cota de gênero, candidatura laranja, fraude</t>
  </si>
  <si>
    <r>
      <rPr>
        <sz val="10"/>
        <rFont val="WenQuanYi Zen Hei"/>
        <family val="2"/>
      </rPr>
      <t xml:space="preserve">선거 분쟁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가짜뉴스</t>
    </r>
  </si>
  <si>
    <r>
      <rPr>
        <sz val="10"/>
        <rFont val="WenQuanYi Zen Hei"/>
        <family val="2"/>
      </rPr>
      <t xml:space="preserve">선거법원</t>
    </r>
    <r>
      <rPr>
        <sz val="10"/>
        <rFont val="Noto Sans CJK SC"/>
        <family val="2"/>
        <charset val="1"/>
      </rPr>
      <t xml:space="preserve">(TSE·TRE)</t>
    </r>
    <r>
      <rPr>
        <sz val="10"/>
        <rFont val="WenQuanYi Zen Hei"/>
        <family val="2"/>
      </rPr>
      <t xml:space="preserve">이 선거를 관리하고 후보 등록 이의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선전물 삭제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반론권을 심판한다</t>
    </r>
    <r>
      <rPr>
        <sz val="10"/>
        <rFont val="Noto Sans CJK SC"/>
        <family val="2"/>
        <charset val="1"/>
      </rPr>
      <t xml:space="preserve">. AI</t>
    </r>
    <r>
      <rPr>
        <sz val="10"/>
        <rFont val="WenQuanYi Zen Hei"/>
        <family val="2"/>
      </rPr>
      <t xml:space="preserve">로 만든 딥페이크 선전은 금지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</si>
  <si>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선거법 제</t>
    </r>
    <r>
      <rPr>
        <sz val="10"/>
        <rFont val="Arial"/>
        <family val="0"/>
        <charset val="1"/>
      </rPr>
      <t xml:space="preserve">57-D·58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TSE </t>
    </r>
    <r>
      <rPr>
        <sz val="10"/>
        <rFont val="WenQuanYi Zen Hei"/>
        <family val="2"/>
      </rPr>
      <t xml:space="preserve">결의</t>
    </r>
    <r>
      <rPr>
        <sz val="10"/>
        <rFont val="Arial"/>
        <family val="0"/>
        <charset val="1"/>
      </rPr>
      <t xml:space="preserve">(2024, AI </t>
    </r>
    <r>
      <rPr>
        <sz val="10"/>
        <rFont val="WenQuanYi Zen Hei"/>
        <family val="2"/>
      </rPr>
      <t xml:space="preserve">선전 규정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</si>
  <si>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</si>
  <si>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Justiça Eleitoral, direito de resposta, deepfake, remoção de conteúdo</t>
  </si>
  <si>
    <r>
      <rPr>
        <sz val="10"/>
        <rFont val="Arial"/>
        <family val="0"/>
        <charset val="1"/>
      </rPr>
      <t xml:space="preserve">TV </t>
    </r>
    <r>
      <rPr>
        <sz val="10"/>
        <rFont val="WenQuanYi Zen Hei"/>
        <family val="2"/>
      </rPr>
      <t xml:space="preserve">토론 초청</t>
    </r>
  </si>
  <si>
    <r>
      <rPr>
        <sz val="10"/>
        <rFont val="WenQuanYi Zen Hei"/>
        <family val="2"/>
      </rPr>
      <t xml:space="preserve">방송사는 하원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석 이상 정당의 후보를 토론에 초청해야 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그 밖의 후보 초청은 방송사와 다른 후보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분의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의 합의에 달려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</si>
  <si>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선거법 제</t>
    </r>
    <r>
      <rPr>
        <sz val="10"/>
        <rFont val="Noto Sans CJK SC"/>
        <family val="2"/>
        <charset val="1"/>
      </rPr>
      <t xml:space="preserve">46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</si>
  <si>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</si>
  <si>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debate, convite obrigatório, regras do debate</t>
  </si>
  <si>
    <t xml:space="preserve">반론권</t>
  </si>
  <si>
    <r>
      <rPr>
        <sz val="10"/>
        <rFont val="WenQuanYi Zen Hei"/>
        <family val="2"/>
      </rPr>
      <t xml:space="preserve">허위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왜곡 보도의 피해자는 해당 매체에 반론 게재를 청구할 수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선거 기간에는 선거법원이 짧은 기한으로 심판한다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</si>
  <si>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Lei 13.188/2015, </t>
    </r>
    <r>
      <rPr>
        <sz val="10"/>
        <rFont val="WenQuanYi Zen Hei"/>
        <family val="2"/>
      </rPr>
      <t xml:space="preserve">선거법 제</t>
    </r>
    <r>
      <rPr>
        <sz val="10"/>
        <rFont val="Noto Sans CJK SC"/>
        <family val="2"/>
        <charset val="1"/>
      </rPr>
      <t xml:space="preserve">58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</si>
  <si>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</si>
  <si>
    <t xml:space="preserve">direito de resposta, retratação</t>
  </si>
  <si>
    <t xml:space="preserve">의회</t>
  </si>
  <si>
    <r>
      <rPr>
        <sz val="10"/>
        <rFont val="WenQuanYi Zen Hei"/>
        <family val="2"/>
      </rPr>
      <t xml:space="preserve">연방의회 </t>
    </r>
    <r>
      <rPr>
        <sz val="10"/>
        <rFont val="Noto Sans CJK SC"/>
        <family val="2"/>
        <charset val="1"/>
      </rPr>
      <t xml:space="preserve">(Congresso Nacional)</t>
    </r>
  </si>
  <si>
    <r>
      <rPr>
        <sz val="10"/>
        <rFont val="WenQuanYi Zen Hei"/>
        <family val="2"/>
      </rPr>
      <t xml:space="preserve">하원</t>
    </r>
    <r>
      <rPr>
        <sz val="10"/>
        <rFont val="Noto Sans CJK SC"/>
        <family val="2"/>
        <charset val="1"/>
      </rPr>
      <t xml:space="preserve">(513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과 상원</t>
    </r>
    <r>
      <rPr>
        <sz val="10"/>
        <rFont val="Noto Sans CJK SC"/>
        <family val="2"/>
        <charset val="1"/>
      </rPr>
      <t xml:space="preserve">(81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주당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의 양원제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법안은 양원을 모두 통과해야 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대통령은 </t>
    </r>
    <r>
      <rPr>
        <sz val="10"/>
        <rFont val="Noto Sans CJK SC"/>
        <family val="2"/>
        <charset val="1"/>
      </rPr>
      <t xml:space="preserve">15</t>
    </r>
    <r>
      <rPr>
        <sz val="10"/>
        <rFont val="WenQuanYi Zen Hei"/>
        <family val="2"/>
      </rPr>
      <t xml:space="preserve">일 안에 재가하거나 거부</t>
    </r>
    <r>
      <rPr>
        <sz val="10"/>
        <rFont val="Noto Sans CJK SC"/>
        <family val="2"/>
        <charset val="1"/>
      </rPr>
      <t xml:space="preserve">(veto)</t>
    </r>
    <r>
      <rPr>
        <sz val="10"/>
        <rFont val="WenQuanYi Zen Hei"/>
        <family val="2"/>
      </rPr>
      <t xml:space="preserve">할 수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거부권은 양원 합동회의 과반으로 뒤집힌다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</si>
  <si>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44~66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</si>
  <si>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10~12</t>
    </r>
    <r>
      <rPr>
        <sz val="10"/>
        <rFont val="WenQuanYi Zen Hei"/>
        <family val="2"/>
      </rPr>
      <t xml:space="preserve">부</t>
    </r>
  </si>
  <si>
    <t xml:space="preserve">Câmara dos Deputados, Senado, sanção, veto</t>
  </si>
  <si>
    <t xml:space="preserve">의원단과 의장단</t>
  </si>
  <si>
    <r>
      <rPr>
        <sz val="10"/>
        <rFont val="WenQuanYi Zen Hei"/>
        <family val="2"/>
      </rPr>
      <t xml:space="preserve">각 원은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년 임기의 의장단</t>
    </r>
    <r>
      <rPr>
        <sz val="10"/>
        <rFont val="Noto Sans CJK SC"/>
        <family val="2"/>
        <charset val="1"/>
      </rPr>
      <t xml:space="preserve">(Mesa)</t>
    </r>
    <r>
      <rPr>
        <sz val="10"/>
        <rFont val="WenQuanYi Zen Hei"/>
        <family val="2"/>
      </rPr>
      <t xml:space="preserve">을 뽑는다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하원의장은 의사일정과 탄핵 청구 수리 권한을 가져 가장 강력한 자리 중 하나다</t>
    </r>
    <r>
      <rPr>
        <sz val="10"/>
        <rFont val="Noto Sans CJK SC"/>
        <family val="2"/>
        <charset val="1"/>
      </rPr>
      <t xml:space="preserve">.</t>
    </r>
  </si>
  <si>
    <t xml:space="preserve">하원 의사규칙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</si>
  <si>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</si>
  <si>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Mesa Diretora, presidente da Câmara, líder de bancada, pauta</t>
  </si>
  <si>
    <t xml:space="preserve">입법 절차</t>
  </si>
  <si>
    <r>
      <rPr>
        <sz val="10"/>
        <rFont val="WenQuanYi Zen Hei"/>
        <family val="2"/>
      </rPr>
      <t xml:space="preserve">정부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국민발안 법안 → 위원회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헌법사법위원회 등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본회의 → 상대 원 → 재가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거부 → 관보 공포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</si>
  <si>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59~69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</si>
  <si>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</t>
    </r>
  </si>
  <si>
    <t xml:space="preserve">projeto de lei, comissão, plenário, sanção, Diário Oficial</t>
  </si>
  <si>
    <t xml:space="preserve">보충법률과 헌법 개정</t>
  </si>
  <si>
    <r>
      <rPr>
        <sz val="10"/>
        <rFont val="WenQuanYi Zen Hei"/>
        <family val="2"/>
      </rPr>
      <t xml:space="preserve">보충법률</t>
    </r>
    <r>
      <rPr>
        <sz val="10"/>
        <rFont val="Noto Sans CJK SC"/>
        <family val="2"/>
        <charset val="1"/>
      </rPr>
      <t xml:space="preserve">(lei complementar)</t>
    </r>
    <r>
      <rPr>
        <sz val="10"/>
        <rFont val="WenQuanYi Zen Hei"/>
        <family val="2"/>
      </rPr>
      <t xml:space="preserve">은 절대과반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257</t>
    </r>
    <r>
      <rPr>
        <sz val="10"/>
        <rFont val="WenQuanYi Zen Hei"/>
        <family val="2"/>
      </rPr>
      <t xml:space="preserve">표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헌법 개정</t>
    </r>
    <r>
      <rPr>
        <sz val="10"/>
        <rFont val="Noto Sans CJK SC"/>
        <family val="2"/>
        <charset val="1"/>
      </rPr>
      <t xml:space="preserve">(PEC)</t>
    </r>
    <r>
      <rPr>
        <sz val="10"/>
        <rFont val="WenQuanYi Zen Hei"/>
        <family val="2"/>
      </rPr>
      <t xml:space="preserve">은 양원에서 각각 두 차례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분의 </t>
    </r>
    <r>
      <rPr>
        <sz val="10"/>
        <rFont val="Noto Sans CJK SC"/>
        <family val="2"/>
        <charset val="1"/>
      </rPr>
      <t xml:space="preserve">3(</t>
    </r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308</t>
    </r>
    <r>
      <rPr>
        <sz val="10"/>
        <rFont val="WenQuanYi Zen Hei"/>
        <family val="2"/>
      </rPr>
      <t xml:space="preserve">표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찬성이 필요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</si>
  <si>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60·69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</si>
  <si>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</si>
  <si>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lei complementar, PEC, maioria absoluta, três quintos</t>
  </si>
  <si>
    <r>
      <rPr>
        <sz val="10"/>
        <rFont val="WenQuanYi Zen Hei"/>
        <family val="2"/>
      </rPr>
      <t xml:space="preserve">임시조치 </t>
    </r>
    <r>
      <rPr>
        <sz val="10"/>
        <rFont val="Noto Sans CJK SC"/>
        <family val="2"/>
        <charset val="1"/>
      </rPr>
      <t xml:space="preserve">(Medida Provisória)</t>
    </r>
  </si>
  <si>
    <r>
      <rPr>
        <sz val="10"/>
        <rFont val="WenQuanYi Zen Hei"/>
        <family val="2"/>
      </rPr>
      <t xml:space="preserve">대통령이 긴급하고 중대한 경우 법률의 효력을 갖는 임시조치를 발령</t>
    </r>
    <r>
      <rPr>
        <sz val="10"/>
        <rFont val="Noto Sans CJK SC"/>
        <family val="2"/>
        <charset val="1"/>
      </rPr>
      <t xml:space="preserve">. 60+60</t>
    </r>
    <r>
      <rPr>
        <sz val="10"/>
        <rFont val="WenQuanYi Zen Hei"/>
        <family val="2"/>
      </rPr>
      <t xml:space="preserve">일 안에 의회가 법률로 전환하지 않으면 효력을 잃는다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세금을 신설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인상하는 임시조치는 연내 법률로 전환돼야 이듬해부터 효력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</si>
  <si>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62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</si>
  <si>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</si>
  <si>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t xml:space="preserve">medida provisória, conversão em lei, urgência e relevância</t>
  </si>
  <si>
    <t xml:space="preserve">예산</t>
  </si>
  <si>
    <r>
      <rPr>
        <sz val="10"/>
        <rFont val="WenQuanYi Zen Hei"/>
        <family val="2"/>
      </rPr>
      <t xml:space="preserve">정부는 다년계획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예산지침법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연간 예산안을 제출하며 연간 예산안은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31</t>
    </r>
    <r>
      <rPr>
        <sz val="10"/>
        <rFont val="WenQuanYi Zen Hei"/>
        <family val="2"/>
      </rPr>
      <t xml:space="preserve">일까지 의회에 보낸다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의원들의 예산 수정</t>
    </r>
    <r>
      <rPr>
        <sz val="10"/>
        <rFont val="Noto Sans CJK SC"/>
        <family val="2"/>
        <charset val="1"/>
      </rPr>
      <t xml:space="preserve">(emendas)</t>
    </r>
    <r>
      <rPr>
        <sz val="10"/>
        <rFont val="WenQuanYi Zen Hei"/>
        <family val="2"/>
      </rPr>
      <t xml:space="preserve">은 일부가 의무 집행된다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연말까지 통과되지 않으면 예산지침법에 따라 잠정 집행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</si>
  <si>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165~166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헌법 부칙 제</t>
    </r>
    <r>
      <rPr>
        <sz val="10"/>
        <rFont val="Noto Sans CJK SC"/>
        <family val="2"/>
        <charset val="1"/>
      </rPr>
      <t xml:space="preserve">35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</si>
  <si>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11~12</t>
    </r>
    <r>
      <rPr>
        <sz val="10"/>
        <rFont val="WenQuanYi Zen Hei"/>
        <family val="2"/>
      </rPr>
      <t xml:space="preserve">화</t>
    </r>
  </si>
  <si>
    <t xml:space="preserve">PLOA, LDO, emenda parlamentar, execução provisória</t>
  </si>
  <si>
    <t xml:space="preserve">의원 특권</t>
  </si>
  <si>
    <r>
      <rPr>
        <sz val="10"/>
        <rFont val="WenQuanYi Zen Hei"/>
        <family val="2"/>
      </rPr>
      <t xml:space="preserve">의원은 발언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표결에 대해 면책이며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현행범이 아니면 체포되지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형사 재판은 연방대법원</t>
    </r>
    <r>
      <rPr>
        <sz val="10"/>
        <rFont val="Noto Sans CJK SC"/>
        <family val="2"/>
        <charset val="1"/>
      </rPr>
      <t xml:space="preserve">(STF) </t>
    </r>
    <r>
      <rPr>
        <sz val="10"/>
        <rFont val="WenQuanYi Zen Hei"/>
        <family val="2"/>
      </rPr>
      <t xml:space="preserve">관할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</si>
  <si>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53</t>
    </r>
    <r>
      <rPr>
        <sz val="10"/>
        <rFont val="WenQuanYi Zen Hei"/>
        <family val="2"/>
      </rPr>
      <t xml:space="preserve">조</t>
    </r>
  </si>
  <si>
    <t xml:space="preserve">imunidade parlamentar, foro privilegiado</t>
  </si>
  <si>
    <r>
      <rPr>
        <sz val="10"/>
        <rFont val="WenQuanYi Zen Hei"/>
        <family val="2"/>
      </rPr>
      <t xml:space="preserve">의회조사위원회 </t>
    </r>
    <r>
      <rPr>
        <sz val="10"/>
        <rFont val="Noto Sans CJK SC"/>
        <family val="2"/>
        <charset val="1"/>
      </rPr>
      <t xml:space="preserve">(CPI)</t>
    </r>
  </si>
  <si>
    <r>
      <rPr>
        <sz val="10"/>
        <rFont val="WenQuanYi Zen Hei"/>
        <family val="2"/>
      </rPr>
      <t xml:space="preserve">각 원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시의회 포함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의원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분의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의 서명으로 </t>
    </r>
    <r>
      <rPr>
        <sz val="10"/>
        <rFont val="Noto Sans CJK SC"/>
        <family val="2"/>
        <charset val="1"/>
      </rPr>
      <t xml:space="preserve">CPI</t>
    </r>
    <r>
      <rPr>
        <sz val="10"/>
        <rFont val="WenQuanYi Zen Hei"/>
        <family val="2"/>
      </rPr>
      <t xml:space="preserve">를 만들 수 있고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증인 소환 등 사법기관에 준하는 조사권을 가진다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결과는 검찰에 보낸다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</si>
  <si>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58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항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 조직법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</si>
  <si>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</si>
  <si>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CPI, convocação, depoimento, relatório final</t>
  </si>
  <si>
    <r>
      <rPr>
        <b val="true"/>
        <sz val="10"/>
        <rFont val="WenQuanYi Zen Hei"/>
        <family val="2"/>
      </rPr>
      <t xml:space="preserve">대통령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정부</t>
    </r>
  </si>
  <si>
    <t xml:space="preserve">대통령 취임</t>
  </si>
  <si>
    <r>
      <rPr>
        <sz val="10"/>
        <rFont val="WenQuanYi Zen Hei"/>
        <family val="2"/>
      </rPr>
      <t xml:space="preserve">선거법원이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월에 당선증을 수여</t>
    </r>
    <r>
      <rPr>
        <sz val="10"/>
        <rFont val="Noto Sans CJK SC"/>
        <family val="2"/>
        <charset val="1"/>
      </rPr>
      <t xml:space="preserve">(diplomação)</t>
    </r>
    <r>
      <rPr>
        <sz val="10"/>
        <rFont val="WenQuanYi Zen Hei"/>
        <family val="2"/>
      </rPr>
      <t xml:space="preserve">하고</t>
    </r>
    <r>
      <rPr>
        <sz val="10"/>
        <rFont val="Noto Sans CJK SC"/>
        <family val="2"/>
        <charset val="1"/>
      </rPr>
      <t xml:space="preserve">, 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일 연방의회 합동회의에서 헌법 수호를 선서하며 취임한다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이어 </t>
    </r>
    <r>
      <rPr>
        <sz val="10"/>
        <rFont val="Noto Sans CJK SC"/>
        <family val="2"/>
        <charset val="1"/>
      </rPr>
      <t xml:space="preserve">Planalto</t>
    </r>
    <r>
      <rPr>
        <sz val="10"/>
        <rFont val="WenQuanYi Zen Hei"/>
        <family val="2"/>
      </rPr>
      <t xml:space="preserve">에서 대통령 휘장을 받는 의전이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</si>
  <si>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78·82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개정 </t>
    </r>
    <r>
      <rPr>
        <sz val="10"/>
        <rFont val="Noto Sans CJK SC"/>
        <family val="2"/>
        <charset val="1"/>
      </rPr>
      <t xml:space="preserve">111/2021</t>
    </r>
    <r>
      <rPr>
        <sz val="10"/>
        <rFont val="WenQuanYi Zen Hei"/>
        <family val="2"/>
      </rPr>
      <t xml:space="preserve">로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일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</si>
  <si>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</si>
  <si>
    <t xml:space="preserve">diplomação, posse, compromisso constitucional, faixa presidencial</t>
  </si>
  <si>
    <t xml:space="preserve">장관과 대통령실</t>
  </si>
  <si>
    <r>
      <rPr>
        <sz val="10"/>
        <rFont val="WenQuanYi Zen Hei"/>
        <family val="2"/>
      </rPr>
      <t xml:space="preserve">장관은 대통령이 자유롭게 임명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해임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수석장관실</t>
    </r>
    <r>
      <rPr>
        <sz val="10"/>
        <rFont val="Noto Sans CJK SC"/>
        <family val="2"/>
        <charset val="1"/>
      </rPr>
      <t xml:space="preserve">(Casa Civil)</t>
    </r>
    <r>
      <rPr>
        <sz val="10"/>
        <rFont val="WenQuanYi Zen Hei"/>
        <family val="2"/>
      </rPr>
      <t xml:space="preserve">이 정부 조정과 법안 검토를 맡고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정보청</t>
    </r>
    <r>
      <rPr>
        <sz val="10"/>
        <rFont val="Noto Sans CJK SC"/>
        <family val="2"/>
        <charset val="1"/>
      </rPr>
      <t xml:space="preserve">(Abin)</t>
    </r>
    <r>
      <rPr>
        <sz val="10"/>
        <rFont val="WenQuanYi Zen Hei"/>
        <family val="2"/>
      </rPr>
      <t xml:space="preserve">도 현재 수석장관실 소속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대변인은 대통령실 소속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</si>
  <si>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84·87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정부조직법</t>
    </r>
    <r>
      <rPr>
        <sz val="10"/>
        <rFont val="Noto Sans CJK SC"/>
        <family val="2"/>
        <charset val="1"/>
      </rPr>
      <t xml:space="preserve">(Lei 14.600/2023)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</si>
  <si>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</si>
  <si>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ministro, Casa Civil, Secom, porta-voz, reunião ministerial</t>
  </si>
  <si>
    <t xml:space="preserve">연립 대통령제</t>
  </si>
  <si>
    <r>
      <rPr>
        <sz val="10"/>
        <rFont val="WenQuanYi Zen Hei"/>
        <family val="2"/>
      </rPr>
      <t xml:space="preserve">대통령당이 의회 과반을 갖는 경우가 거의 없어 여러 정당에 장관직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예산을 나눠 주고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정부 지지 기반</t>
    </r>
    <r>
      <rPr>
        <sz val="10"/>
        <rFont val="Noto Sans CJK SC"/>
        <family val="2"/>
        <charset val="1"/>
      </rPr>
      <t xml:space="preserve">(base aliada)'</t>
    </r>
    <r>
      <rPr>
        <sz val="10"/>
        <rFont val="WenQuanYi Zen Hei"/>
        <family val="2"/>
      </rPr>
      <t xml:space="preserve">을 만든다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법안 표결마다 기반이 흔들린다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</si>
  <si>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관행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정치학 용어 </t>
    </r>
    <r>
      <rPr>
        <sz val="10"/>
        <rFont val="Noto Sans CJK SC"/>
        <family val="2"/>
        <charset val="1"/>
      </rPr>
      <t xml:space="preserve">presidencialismo de coalizão)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</si>
  <si>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11~12</t>
    </r>
    <r>
      <rPr>
        <sz val="10"/>
        <rFont val="WenQuanYi Zen Hei"/>
        <family val="2"/>
      </rPr>
      <t xml:space="preserve">부</t>
    </r>
  </si>
  <si>
    <t xml:space="preserve">base aliada, governabilidade, Centrão, ministérios</t>
  </si>
  <si>
    <r>
      <rPr>
        <sz val="10"/>
        <rFont val="WenQuanYi Zen Hei"/>
        <family val="2"/>
      </rPr>
      <t xml:space="preserve">탄핵 </t>
    </r>
    <r>
      <rPr>
        <sz val="10"/>
        <rFont val="Noto Sans CJK SC"/>
        <family val="2"/>
        <charset val="1"/>
      </rPr>
      <t xml:space="preserve">(impeachment)</t>
    </r>
  </si>
  <si>
    <r>
      <rPr>
        <sz val="10"/>
        <rFont val="WenQuanYi Zen Hei"/>
        <family val="2"/>
      </rPr>
      <t xml:space="preserve">누구나 하원에 탄핵을 청구할 수 있고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하원의장이 수리 여부를 정한다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분의 </t>
    </r>
    <r>
      <rPr>
        <sz val="10"/>
        <rFont val="Noto Sans CJK SC"/>
        <family val="2"/>
        <charset val="1"/>
      </rPr>
      <t xml:space="preserve">2(342</t>
    </r>
    <r>
      <rPr>
        <sz val="10"/>
        <rFont val="WenQuanYi Zen Hei"/>
        <family val="2"/>
      </rPr>
      <t xml:space="preserve">표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가 승인하면 상원이 심판하며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상원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분의 </t>
    </r>
    <r>
      <rPr>
        <sz val="10"/>
        <rFont val="Noto Sans CJK SC"/>
        <family val="2"/>
        <charset val="1"/>
      </rPr>
      <t xml:space="preserve">2(54</t>
    </r>
    <r>
      <rPr>
        <sz val="10"/>
        <rFont val="WenQuanYi Zen Hei"/>
        <family val="2"/>
      </rPr>
      <t xml:space="preserve">표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로 파면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불신임 투표 제도는 없다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</si>
  <si>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85·86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책임범죄법</t>
    </r>
    <r>
      <rPr>
        <sz val="10"/>
        <rFont val="Arial"/>
        <family val="0"/>
        <charset val="1"/>
      </rPr>
      <t xml:space="preserve">(Lei 1.079/1950)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</si>
  <si>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</si>
  <si>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impeachment, crime de responsabilidade, admissibilidade, dois terços</t>
  </si>
  <si>
    <r>
      <rPr>
        <sz val="10"/>
        <rFont val="WenQuanYi Zen Hei"/>
        <family val="2"/>
      </rPr>
      <t xml:space="preserve">당선인은 인수팀을 꾸려 정부 자료에 접근할 수 있다</t>
    </r>
    <r>
      <rPr>
        <sz val="10"/>
        <rFont val="Noto Sans CJK SC"/>
        <family val="2"/>
        <charset val="1"/>
      </rPr>
      <t xml:space="preserve">.</t>
    </r>
  </si>
  <si>
    <t xml:space="preserve">Lei 10.609/2002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</si>
  <si>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</si>
  <si>
    <t xml:space="preserve">equipe de transição, gabinete de transição</t>
  </si>
  <si>
    <t xml:space="preserve">공직자 이해충돌</t>
  </si>
  <si>
    <r>
      <rPr>
        <sz val="10"/>
        <rFont val="WenQuanYi Zen Hei"/>
        <family val="2"/>
      </rPr>
      <t xml:space="preserve">장관 등 고위직은 겸직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민간 활동이 제한되고 퇴임 후 일정 기간 제한</t>
    </r>
    <r>
      <rPr>
        <sz val="10"/>
        <rFont val="Arial"/>
        <family val="0"/>
        <charset val="1"/>
      </rPr>
      <t xml:space="preserve">(quarentena)</t>
    </r>
    <r>
      <rPr>
        <sz val="10"/>
        <rFont val="WenQuanYi Zen Hei"/>
        <family val="2"/>
      </rPr>
      <t xml:space="preserve">이 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대통령 등 행정부 수장은 변호사 업무가 금지된다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</si>
  <si>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Lei 12.813/2013, </t>
    </r>
    <r>
      <rPr>
        <sz val="10"/>
        <rFont val="WenQuanYi Zen Hei"/>
        <family val="2"/>
      </rPr>
      <t xml:space="preserve">변호사법</t>
    </r>
    <r>
      <rPr>
        <sz val="10"/>
        <rFont val="Arial"/>
        <family val="0"/>
        <charset val="1"/>
      </rPr>
      <t xml:space="preserve">(Lei 8.906/1994)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</si>
  <si>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1·4</t>
    </r>
    <r>
      <rPr>
        <sz val="10"/>
        <rFont val="WenQuanYi Zen Hei"/>
        <family val="2"/>
      </rPr>
      <t xml:space="preserve">화</t>
    </r>
  </si>
  <si>
    <t xml:space="preserve">conflito de interesses, quarentena, incompatibilidade</t>
  </si>
  <si>
    <t xml:space="preserve">사회적 대화</t>
  </si>
  <si>
    <r>
      <rPr>
        <sz val="10"/>
        <rFont val="WenQuanYi Zen Hei"/>
        <family val="2"/>
      </rPr>
      <t xml:space="preserve">정부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노조 연합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경영계가 청년 고용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최저임금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앱 노동을 협의하는 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대통령 자문 기구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경제사회개발위원회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도 있다</t>
    </r>
    <r>
      <rPr>
        <sz val="10"/>
        <rFont val="Noto Sans CJK SC"/>
        <family val="2"/>
        <charset val="1"/>
      </rPr>
      <t xml:space="preserve">.</t>
    </r>
  </si>
  <si>
    <t xml:space="preserve">관행 및 각종 협약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</si>
  <si>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</si>
  <si>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t xml:space="preserve">diálogo social, centrais sindicais, setor empresarial, pacto</t>
  </si>
  <si>
    <t xml:space="preserve">연방</t>
  </si>
  <si>
    <t xml:space="preserve">권한 배분</t>
  </si>
  <si>
    <r>
      <rPr>
        <sz val="10"/>
        <rFont val="WenQuanYi Zen Hei"/>
        <family val="2"/>
      </rPr>
      <t xml:space="preserve">보건</t>
    </r>
    <r>
      <rPr>
        <sz val="10"/>
        <rFont val="Noto Sans CJK SC"/>
        <family val="2"/>
        <charset val="1"/>
      </rPr>
      <t xml:space="preserve">(SUS)</t>
    </r>
    <r>
      <rPr>
        <sz val="10"/>
        <rFont val="WenQuanYi Zen Hei"/>
        <family val="2"/>
      </rPr>
      <t xml:space="preserve">은 연방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시가 함께 책임지며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병원 운영과 위탁 계약은 대개 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 몫이다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도시계획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용도지역은 시 권한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주거는 공동 권한이라 연방은 재원과 기본법으로 개입한다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</si>
  <si>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23·24·30·182·198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</si>
  <si>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3~5</t>
    </r>
    <r>
      <rPr>
        <sz val="10"/>
        <rFont val="WenQuanYi Zen Hei"/>
        <family val="2"/>
      </rPr>
      <t xml:space="preserve">화</t>
    </r>
  </si>
  <si>
    <t xml:space="preserve">competência comum, competência concorrente, municipal, SUS tripartite</t>
  </si>
  <si>
    <r>
      <rPr>
        <sz val="10"/>
        <rFont val="Noto Sans CJK SC"/>
        <family val="2"/>
        <charset val="1"/>
      </rPr>
      <t xml:space="preserve">SUS </t>
    </r>
    <r>
      <rPr>
        <sz val="10"/>
        <rFont val="WenQuanYi Zen Hei"/>
        <family val="2"/>
      </rPr>
      <t xml:space="preserve">협의체</t>
    </r>
  </si>
  <si>
    <r>
      <rPr>
        <sz val="10"/>
        <rFont val="WenQuanYi Zen Hei"/>
        <family val="2"/>
      </rPr>
      <t xml:space="preserve">연방–주–시 보건 협의는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자 협의체</t>
    </r>
    <r>
      <rPr>
        <sz val="10"/>
        <rFont val="Noto Sans CJK SC"/>
        <family val="2"/>
        <charset val="1"/>
      </rPr>
      <t xml:space="preserve">(CIT)</t>
    </r>
    <r>
      <rPr>
        <sz val="10"/>
        <rFont val="WenQuanYi Zen Hei"/>
        <family val="2"/>
      </rPr>
      <t xml:space="preserve">와 주별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자 협의체</t>
    </r>
    <r>
      <rPr>
        <sz val="10"/>
        <rFont val="Noto Sans CJK SC"/>
        <family val="2"/>
        <charset val="1"/>
      </rPr>
      <t xml:space="preserve">(CIB)</t>
    </r>
    <r>
      <rPr>
        <sz val="10"/>
        <rFont val="WenQuanYi Zen Hei"/>
        <family val="2"/>
      </rPr>
      <t xml:space="preserve">에서 합의로 이뤄진다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</si>
  <si>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SUS </t>
    </r>
    <r>
      <rPr>
        <sz val="10"/>
        <rFont val="WenQuanYi Zen Hei"/>
        <family val="2"/>
      </rPr>
      <t xml:space="preserve">기본법</t>
    </r>
    <r>
      <rPr>
        <sz val="10"/>
        <rFont val="Noto Sans CJK SC"/>
        <family val="2"/>
        <charset val="1"/>
      </rPr>
      <t xml:space="preserve">(Lei 8.080/1990), Lei 12.466/2011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</si>
  <si>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</si>
  <si>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t xml:space="preserve">CIT, CIB, pactuação, repasse fundo a fundo</t>
  </si>
  <si>
    <t xml:space="preserve">상파울루 시정</t>
  </si>
  <si>
    <r>
      <rPr>
        <sz val="10"/>
        <rFont val="WenQuanYi Zen Hei"/>
        <family val="2"/>
      </rPr>
      <t xml:space="preserve">시장</t>
    </r>
    <r>
      <rPr>
        <sz val="10"/>
        <rFont val="Arial"/>
        <family val="0"/>
        <charset val="1"/>
      </rPr>
      <t xml:space="preserve">(Prefeito)</t>
    </r>
    <r>
      <rPr>
        <sz val="10"/>
        <rFont val="WenQuanYi Zen Hei"/>
        <family val="2"/>
      </rPr>
      <t xml:space="preserve">과 시의회</t>
    </r>
    <r>
      <rPr>
        <sz val="10"/>
        <rFont val="Arial"/>
        <family val="0"/>
        <charset val="1"/>
      </rPr>
      <t xml:space="preserve">(Câmara Municipal, Palácio Anchieta). </t>
    </r>
    <r>
      <rPr>
        <sz val="10"/>
        <rFont val="WenQuanYi Zen Hei"/>
        <family val="2"/>
      </rPr>
      <t xml:space="preserve">시 감사원</t>
    </r>
    <r>
      <rPr>
        <sz val="10"/>
        <rFont val="Arial"/>
        <family val="0"/>
        <charset val="1"/>
      </rPr>
      <t xml:space="preserve">(TCM-SP)</t>
    </r>
    <r>
      <rPr>
        <sz val="10"/>
        <rFont val="WenQuanYi Zen Hei"/>
        <family val="2"/>
      </rPr>
      <t xml:space="preserve">이 시 재정을 감사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시 주택공사</t>
    </r>
    <r>
      <rPr>
        <sz val="10"/>
        <rFont val="Arial"/>
        <family val="0"/>
        <charset val="1"/>
      </rPr>
      <t xml:space="preserve">(COHAB-SP) </t>
    </r>
    <r>
      <rPr>
        <sz val="10"/>
        <rFont val="WenQuanYi Zen Hei"/>
        <family val="2"/>
      </rPr>
      <t xml:space="preserve">등 산하 기관 계약은 공공조달법 적용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</si>
  <si>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상파울루시 조직법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공공조달법</t>
    </r>
    <r>
      <rPr>
        <sz val="10"/>
        <rFont val="Noto Sans CJK SC"/>
        <family val="2"/>
        <charset val="1"/>
      </rPr>
      <t xml:space="preserve">(Lei 14.133/2021)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</si>
  <si>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</t>
    </r>
  </si>
  <si>
    <t xml:space="preserve">prefeito, vereador, sessão plenária, requerimento, edital</t>
  </si>
  <si>
    <t xml:space="preserve">주 정부 부채</t>
  </si>
  <si>
    <r>
      <rPr>
        <sz val="10"/>
        <rFont val="WenQuanYi Zen Hei"/>
        <family val="2"/>
      </rPr>
      <t xml:space="preserve">주들은 연방에 큰 부채를 지고 있어 재협상 프로그램이 반복된다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상원이 주 부채 한도를 정한다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</si>
  <si>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52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 부채 재협상법</t>
    </r>
    <r>
      <rPr>
        <sz val="10"/>
        <rFont val="Arial"/>
        <family val="0"/>
        <charset val="1"/>
      </rPr>
      <t xml:space="preserve">(LC 212/2025, </t>
    </r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</si>
  <si>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</si>
  <si>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dívida dos estados, renegociação, Senado, pacto federativo</t>
  </si>
  <si>
    <r>
      <rPr>
        <sz val="10"/>
        <rFont val="WenQuanYi Zen Hei"/>
        <family val="2"/>
      </rPr>
      <t xml:space="preserve">재난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민방위</t>
    </r>
  </si>
  <si>
    <r>
      <rPr>
        <sz val="10"/>
        <rFont val="WenQuanYi Zen Hei"/>
        <family val="2"/>
      </rPr>
      <t xml:space="preserve">재난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대응은 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주 민방위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연방은 재난 상황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공공재난사태를 인정하고 재원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군을 지원한다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특별 예산은 임시조치로 편성 가능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휴대전화 긴급 경보 체계가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</si>
  <si>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국가 민방위 정책</t>
    </r>
    <r>
      <rPr>
        <sz val="10"/>
        <rFont val="Arial"/>
        <family val="0"/>
        <charset val="1"/>
      </rPr>
      <t xml:space="preserve">(Lei 12.608/2012),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167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항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</si>
  <si>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</si>
  <si>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t xml:space="preserve">Defesa Civil, situação de emergência, calamidade pública, crédito extraordinário</t>
  </si>
  <si>
    <r>
      <rPr>
        <b val="true"/>
        <sz val="10"/>
        <rFont val="WenQuanYi Zen Hei"/>
        <family val="2"/>
      </rPr>
      <t xml:space="preserve">사법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통제</t>
    </r>
  </si>
  <si>
    <t xml:space="preserve">연방대법원과 위헌 소송</t>
  </si>
  <si>
    <r>
      <rPr>
        <sz val="10"/>
        <rFont val="WenQuanYi Zen Hei"/>
        <family val="2"/>
      </rPr>
      <t xml:space="preserve">연방대법원</t>
    </r>
    <r>
      <rPr>
        <sz val="10"/>
        <rFont val="Arial"/>
        <family val="0"/>
        <charset val="1"/>
      </rPr>
      <t xml:space="preserve">(STF, 11</t>
    </r>
    <r>
      <rPr>
        <sz val="10"/>
        <rFont val="WenQuanYi Zen Hei"/>
        <family val="2"/>
      </rPr>
      <t xml:space="preserve">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헌법 재판을 맡는다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위헌소송</t>
    </r>
    <r>
      <rPr>
        <sz val="10"/>
        <rFont val="Arial"/>
        <family val="0"/>
        <charset val="1"/>
      </rPr>
      <t xml:space="preserve">(ADI)</t>
    </r>
    <r>
      <rPr>
        <sz val="10"/>
        <rFont val="WenQuanYi Zen Hei"/>
        <family val="2"/>
      </rPr>
      <t xml:space="preserve">은 대통령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하원 의장단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주지사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검찰총장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의석 보유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등이 제기할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</si>
  <si>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102·103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</si>
  <si>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</si>
  <si>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STF, ADI, ADPF, ministro, decisão monocrática</t>
  </si>
  <si>
    <r>
      <rPr>
        <b val="true"/>
        <sz val="10"/>
        <rFont val="WenQuanYi Zen Hei"/>
        <family val="2"/>
      </rPr>
      <t xml:space="preserve">사법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통제</t>
    </r>
  </si>
  <si>
    <r>
      <rPr>
        <sz val="10"/>
        <rFont val="WenQuanYi Zen Hei"/>
        <family val="2"/>
      </rPr>
      <t xml:space="preserve">공익소송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시민소송</t>
    </r>
  </si>
  <si>
    <r>
      <rPr>
        <sz val="10"/>
        <rFont val="WenQuanYi Zen Hei"/>
        <family val="2"/>
      </rPr>
      <t xml:space="preserve">형사 기소는 검찰 독점이지만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시민단체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검찰은 공익소송</t>
    </r>
    <r>
      <rPr>
        <sz val="10"/>
        <rFont val="Arial"/>
        <family val="0"/>
        <charset val="1"/>
      </rPr>
      <t xml:space="preserve">(ação civil pública)</t>
    </r>
    <r>
      <rPr>
        <sz val="10"/>
        <rFont val="WenQuanYi Zen Hei"/>
        <family val="2"/>
      </rPr>
      <t xml:space="preserve">으로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유권자 개인은 시민소송</t>
    </r>
    <r>
      <rPr>
        <sz val="10"/>
        <rFont val="Arial"/>
        <family val="0"/>
        <charset val="1"/>
      </rPr>
      <t xml:space="preserve">(ação popular)</t>
    </r>
    <r>
      <rPr>
        <sz val="10"/>
        <rFont val="WenQuanYi Zen Hei"/>
        <family val="2"/>
      </rPr>
      <t xml:space="preserve">으로 공공 재산 훼손을 다툴 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</si>
  <si>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Lei 7.347/1985, Lei 4.717/1965,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LXXIII·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129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</si>
  <si>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</si>
  <si>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t xml:space="preserve">ação civil pública, ação popular, representação, Ministério Público</t>
  </si>
  <si>
    <t xml:space="preserve">내부고발자 보호</t>
  </si>
  <si>
    <r>
      <rPr>
        <sz val="10"/>
        <rFont val="WenQuanYi Zen Hei"/>
        <family val="2"/>
      </rPr>
      <t xml:space="preserve">신고자의 신원 보호와 보복 금지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일정한 경우 보상을 규정한다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</si>
  <si>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Lei 13.608/2018 (Lei 13.964/2019</t>
    </r>
    <r>
      <rPr>
        <sz val="10"/>
        <rFont val="WenQuanYi Zen Hei"/>
        <family val="2"/>
      </rPr>
      <t xml:space="preserve">로 개정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</si>
  <si>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</si>
  <si>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t xml:space="preserve">whistleblower, denunciante, canal de denúncias, retaliação</t>
  </si>
  <si>
    <t xml:space="preserve">위법 수집 증거와 감청</t>
  </si>
  <si>
    <r>
      <rPr>
        <sz val="10"/>
        <rFont val="WenQuanYi Zen Hei"/>
        <family val="2"/>
      </rPr>
      <t xml:space="preserve">위법하게 얻은 증거는 쓸 수 없다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통신 감청은 형사 수사를 위해 법원 허가가 있을 때만 가능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</si>
  <si>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XII·LVI, </t>
    </r>
    <r>
      <rPr>
        <sz val="10"/>
        <rFont val="WenQuanYi Zen Hei"/>
        <family val="2"/>
      </rPr>
      <t xml:space="preserve">형사소송법 제</t>
    </r>
    <r>
      <rPr>
        <sz val="10"/>
        <rFont val="Arial"/>
        <family val="0"/>
        <charset val="1"/>
      </rPr>
      <t xml:space="preserve">157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감청법</t>
    </r>
    <r>
      <rPr>
        <sz val="10"/>
        <rFont val="Arial"/>
        <family val="0"/>
        <charset val="1"/>
      </rPr>
      <t xml:space="preserve">(Lei 9.296/1996)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</si>
  <si>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</si>
  <si>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prova ilícita, interceptação telefônica, autorização judicial</t>
  </si>
  <si>
    <t xml:space="preserve">정보기관 통제</t>
  </si>
  <si>
    <r>
      <rPr>
        <sz val="10"/>
        <rFont val="WenQuanYi Zen Hei"/>
        <family val="2"/>
      </rPr>
      <t xml:space="preserve">정보청</t>
    </r>
    <r>
      <rPr>
        <sz val="10"/>
        <rFont val="Noto Sans CJK SC"/>
        <family val="2"/>
        <charset val="1"/>
      </rPr>
      <t xml:space="preserve">(Abin)</t>
    </r>
    <r>
      <rPr>
        <sz val="10"/>
        <rFont val="WenQuanYi Zen Hei"/>
        <family val="2"/>
      </rPr>
      <t xml:space="preserve">이 국가정보체계</t>
    </r>
    <r>
      <rPr>
        <sz val="10"/>
        <rFont val="Noto Sans CJK SC"/>
        <family val="2"/>
        <charset val="1"/>
      </rPr>
      <t xml:space="preserve">(Sisbin)</t>
    </r>
    <r>
      <rPr>
        <sz val="10"/>
        <rFont val="WenQuanYi Zen Hei"/>
        <family val="2"/>
      </rPr>
      <t xml:space="preserve">를 이끌며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의회의 정보활동통제위원회</t>
    </r>
    <r>
      <rPr>
        <sz val="10"/>
        <rFont val="Noto Sans CJK SC"/>
        <family val="2"/>
        <charset val="1"/>
      </rPr>
      <t xml:space="preserve">(CCAI)</t>
    </r>
    <r>
      <rPr>
        <sz val="10"/>
        <rFont val="WenQuanYi Zen Hei"/>
        <family val="2"/>
      </rPr>
      <t xml:space="preserve">가 외부 통제를 맡는다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감청 권한은 없다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</si>
  <si>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정보청법</t>
    </r>
    <r>
      <rPr>
        <sz val="10"/>
        <rFont val="Arial"/>
        <family val="0"/>
        <charset val="1"/>
      </rPr>
      <t xml:space="preserve">(Lei 9.883/1999)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</si>
  <si>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</si>
  <si>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Abin, Sisbin, CCAI, controle externo</t>
  </si>
  <si>
    <t xml:space="preserve">정보 공개</t>
  </si>
  <si>
    <r>
      <rPr>
        <sz val="10"/>
        <rFont val="WenQuanYi Zen Hei"/>
        <family val="2"/>
      </rPr>
      <t xml:space="preserve">누구나 이유를 밝히지 않고 공공기관에 정보 공개를 청구할 수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기밀은 최장 </t>
    </r>
    <r>
      <rPr>
        <sz val="10"/>
        <rFont val="Noto Sans CJK SC"/>
        <family val="2"/>
        <charset val="1"/>
      </rPr>
      <t xml:space="preserve">25</t>
    </r>
    <r>
      <rPr>
        <sz val="10"/>
        <rFont val="WenQuanYi Zen Hei"/>
        <family val="2"/>
      </rPr>
      <t xml:space="preserve">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극비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등 등급별 기한이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</si>
  <si>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정보접근법</t>
    </r>
    <r>
      <rPr>
        <sz val="10"/>
        <rFont val="Noto Sans CJK SC"/>
        <family val="2"/>
        <charset val="1"/>
      </rPr>
      <t xml:space="preserve">(Lei 12.527/2011)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</si>
  <si>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</t>
    </r>
  </si>
  <si>
    <t xml:space="preserve">Lei de Acesso à Informação, sigilo, pedido de informação</t>
  </si>
  <si>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난민</t>
    </r>
  </si>
  <si>
    <r>
      <rPr>
        <sz val="10"/>
        <rFont val="WenQuanYi Zen Hei"/>
        <family val="2"/>
      </rPr>
      <t xml:space="preserve">체류 허가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난민 인정은 연방 권한이지만 도착 지역의 쉼터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아동 보호는 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시가 맡아 분담 갈등이 생긴다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서류와 관계없이 </t>
    </r>
    <r>
      <rPr>
        <sz val="10"/>
        <rFont val="Noto Sans CJK SC"/>
        <family val="2"/>
        <charset val="1"/>
      </rPr>
      <t xml:space="preserve">SUS·</t>
    </r>
    <r>
      <rPr>
        <sz val="10"/>
        <rFont val="WenQuanYi Zen Hei"/>
        <family val="2"/>
      </rPr>
      <t xml:space="preserve">공교육 접근권이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</si>
  <si>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이민법</t>
    </r>
    <r>
      <rPr>
        <sz val="10"/>
        <rFont val="Noto Sans CJK SC"/>
        <family val="2"/>
        <charset val="1"/>
      </rPr>
      <t xml:space="preserve">(Lei 13.445/2017), </t>
    </r>
    <r>
      <rPr>
        <sz val="10"/>
        <rFont val="WenQuanYi Zen Hei"/>
        <family val="2"/>
      </rPr>
      <t xml:space="preserve">난민법</t>
    </r>
    <r>
      <rPr>
        <sz val="10"/>
        <rFont val="Noto Sans CJK SC"/>
        <family val="2"/>
        <charset val="1"/>
      </rPr>
      <t xml:space="preserve">(Lei 9.474/1997)</t>
    </r>
  </si>
  <si>
    <r>
      <rPr>
        <sz val="10"/>
        <rFont val="Arial"/>
        <family val="0"/>
        <charset val="1"/>
      </rPr>
      <t xml:space="preserve">6·7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</si>
  <si>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autorização de residência, refúgio, acolhida, interiorização</t>
  </si>
  <si>
    <t xml:space="preserve">부모소외법과 젠더 폭력</t>
  </si>
  <si>
    <r>
      <rPr>
        <sz val="10"/>
        <rFont val="WenQuanYi Zen Hei"/>
        <family val="2"/>
      </rPr>
      <t xml:space="preserve">부모소외법은 자녀를 다른 부모에게서 떼어 놓는 행위를 제재하지만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학대를 신고한 어머니에게 불리하게 쓰인다는 비판으로 </t>
    </r>
    <r>
      <rPr>
        <sz val="10"/>
        <rFont val="Noto Sans CJK SC"/>
        <family val="2"/>
        <charset val="1"/>
      </rPr>
      <t xml:space="preserve">2022</t>
    </r>
    <r>
      <rPr>
        <sz val="10"/>
        <rFont val="WenQuanYi Zen Hei"/>
        <family val="2"/>
      </rPr>
      <t xml:space="preserve">년 개정됐고 폐지 논의가 이어진다</t>
    </r>
    <r>
      <rPr>
        <sz val="10"/>
        <rFont val="Noto Sans CJK SC"/>
        <family val="2"/>
        <charset val="1"/>
      </rPr>
      <t xml:space="preserve">.</t>
    </r>
  </si>
  <si>
    <t xml:space="preserve">Lei 12.318/2010, Lei 14.340/2022, Lei 11.340/2006</t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</si>
  <si>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</si>
  <si>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alienação parental, guarda, medida protetiva</t>
  </si>
  <si>
    <r>
      <rPr>
        <b val="true"/>
        <sz val="10"/>
        <rFont val="WenQuanYi Zen Hei"/>
        <family val="2"/>
      </rPr>
      <t xml:space="preserve">통상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외교</t>
    </r>
  </si>
  <si>
    <t xml:space="preserve">조약 체결과 비준</t>
  </si>
  <si>
    <r>
      <rPr>
        <sz val="10"/>
        <rFont val="WenQuanYi Zen Hei"/>
        <family val="2"/>
      </rPr>
      <t xml:space="preserve">대통령이 조약을 체결하고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국가에 부담을 지우는 조약은 연방의회의 입법명령으로 동의받는다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</si>
  <si>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VIII,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I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</si>
  <si>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</si>
  <si>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tratado, ratificação, decreto legislativo, Itamaraty</t>
  </si>
  <si>
    <r>
      <rPr>
        <b val="true"/>
        <sz val="10"/>
        <rFont val="WenQuanYi Zen Hei"/>
        <family val="2"/>
      </rPr>
      <t xml:space="preserve">통상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외교</t>
    </r>
  </si>
  <si>
    <r>
      <rPr>
        <sz val="10"/>
        <rFont val="Noto Sans CJK SC"/>
        <family val="2"/>
        <charset val="1"/>
      </rPr>
      <t xml:space="preserve">Mercosul–EU </t>
    </r>
    <r>
      <rPr>
        <sz val="10"/>
        <rFont val="WenQuanYi Zen Hei"/>
        <family val="2"/>
      </rPr>
      <t xml:space="preserve">협정과 </t>
    </r>
    <r>
      <rPr>
        <sz val="10"/>
        <rFont val="Noto Sans CJK SC"/>
        <family val="2"/>
        <charset val="1"/>
      </rPr>
      <t xml:space="preserve">EUDR</t>
    </r>
  </si>
  <si>
    <r>
      <rPr>
        <sz val="10"/>
        <rFont val="Noto Sans CJK SC"/>
        <family val="2"/>
        <charset val="1"/>
      </rPr>
      <t xml:space="preserve">Mercosul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EU</t>
    </r>
    <r>
      <rPr>
        <sz val="10"/>
        <rFont val="WenQuanYi Zen Hei"/>
        <family val="2"/>
      </rPr>
      <t xml:space="preserve">의 무역협정은 긴급수입제한 조항과 </t>
    </r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산림전용방지규정</t>
    </r>
    <r>
      <rPr>
        <sz val="10"/>
        <rFont val="Noto Sans CJK SC"/>
        <family val="2"/>
        <charset val="1"/>
      </rPr>
      <t xml:space="preserve">(EUDR, </t>
    </r>
    <r>
      <rPr>
        <sz val="10"/>
        <rFont val="WenQuanYi Zen Hei"/>
        <family val="2"/>
      </rPr>
      <t xml:space="preserve">삼림 파괴와 연관된 상품의 </t>
    </r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수입 제한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둘러싸고 비준 과정에서 갈등이 이어진다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이야기에서는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가 위성 검증 방식의 이행 경로로 절충한다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</si>
  <si>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Mercosul–EU </t>
    </r>
    <r>
      <rPr>
        <sz val="10"/>
        <rFont val="WenQuanYi Zen Hei"/>
        <family val="2"/>
      </rPr>
      <t xml:space="preserve">협정문</t>
    </r>
    <r>
      <rPr>
        <sz val="10"/>
        <rFont val="Arial"/>
        <family val="0"/>
        <charset val="1"/>
      </rPr>
      <t xml:space="preserve">, EU </t>
    </r>
    <r>
      <rPr>
        <sz val="10"/>
        <rFont val="WenQuanYi Zen Hei"/>
        <family val="2"/>
      </rPr>
      <t xml:space="preserve">규정 </t>
    </r>
    <r>
      <rPr>
        <sz val="10"/>
        <rFont val="Arial"/>
        <family val="0"/>
        <charset val="1"/>
      </rPr>
      <t xml:space="preserve">2023/1115(EUDR)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</si>
  <si>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(Dom Pedro</t>
    </r>
    <r>
      <rPr>
        <sz val="10"/>
        <rFont val="WenQuanYi Zen Hei"/>
        <family val="2"/>
      </rPr>
      <t xml:space="preserve">의 직접 협상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3·11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후속</t>
    </r>
    <r>
      <rPr>
        <sz val="10"/>
        <rFont val="Arial"/>
        <family val="0"/>
        <charset val="1"/>
      </rPr>
      <t xml:space="preserve">)</t>
    </r>
  </si>
  <si>
    <t xml:space="preserve">acordo Mercosul-UE, salvaguarda, EUDR, desmatamento</t>
  </si>
  <si>
    <r>
      <rPr>
        <sz val="10"/>
        <rFont val="WenQuanYi Zen Hei"/>
        <family val="2"/>
      </rPr>
      <t xml:space="preserve">기획 시점 지식 — 비준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시행 일정은 최근 변동이 잦으므로 반영 전 확인</t>
    </r>
  </si>
  <si>
    <t xml:space="preserve">재정규칙</t>
  </si>
  <si>
    <r>
      <rPr>
        <sz val="10"/>
        <rFont val="WenQuanYi Zen Hei"/>
        <family val="2"/>
      </rPr>
      <t xml:space="preserve">지출 증가율 상한과 기초수지 목표를 두는 재정 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목표를 어기면 다음 해 지출 증가가 더 제한된다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</si>
  <si>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LC 200/2023, </t>
    </r>
    <r>
      <rPr>
        <sz val="10"/>
        <rFont val="WenQuanYi Zen Hei"/>
        <family val="2"/>
      </rPr>
      <t xml:space="preserve">재정책임법</t>
    </r>
    <r>
      <rPr>
        <sz val="10"/>
        <rFont val="Noto Sans CJK SC"/>
        <family val="2"/>
        <charset val="1"/>
      </rPr>
      <t xml:space="preserve">(LC 101/2000)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</si>
  <si>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</si>
  <si>
    <t xml:space="preserve">arcabouço fiscal, meta de primário, teto de gastos</t>
  </si>
  <si>
    <t xml:space="preserve">의원 예산 수정의 투명성</t>
  </si>
  <si>
    <r>
      <rPr>
        <sz val="10"/>
        <rFont val="WenQuanYi Zen Hei"/>
        <family val="2"/>
      </rPr>
      <t xml:space="preserve">의원 예산 수정 가운데 특별 이전</t>
    </r>
    <r>
      <rPr>
        <sz val="10"/>
        <rFont val="Noto Sans CJK SC"/>
        <family val="2"/>
        <charset val="1"/>
      </rPr>
      <t xml:space="preserve">(transferência especial)</t>
    </r>
    <r>
      <rPr>
        <sz val="10"/>
        <rFont val="WenQuanYi Zen Hei"/>
        <family val="2"/>
      </rPr>
      <t xml:space="preserve">은 용처 추적이 어렵다는 비판을 받아 연방대법원이 투명성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추적 가능성을 요구했다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</si>
  <si>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166-A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STF </t>
    </r>
    <r>
      <rPr>
        <sz val="10"/>
        <rFont val="WenQuanYi Zen Hei"/>
        <family val="2"/>
      </rPr>
      <t xml:space="preserve">결정</t>
    </r>
    <r>
      <rPr>
        <sz val="10"/>
        <rFont val="Noto Sans CJK SC"/>
        <family val="2"/>
        <charset val="1"/>
      </rPr>
      <t xml:space="preserve">(2024)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</si>
  <si>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</si>
  <si>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t xml:space="preserve">emenda Pix, transferência especial, rastreabilidade</t>
  </si>
  <si>
    <r>
      <rPr>
        <i val="true"/>
        <sz val="9"/>
        <color rgb="FF595959"/>
        <rFont val="WenQuanYi Zen Hei"/>
        <family val="2"/>
      </rPr>
      <t xml:space="preserve">※ 법령 번호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조항은 교재에 넣기 전에 </t>
    </r>
    <r>
      <rPr>
        <i val="true"/>
        <sz val="9"/>
        <color rgb="FF595959"/>
        <rFont val="Noto Sans CJK SC"/>
        <family val="2"/>
        <charset val="1"/>
      </rPr>
      <t xml:space="preserve">Planalto </t>
    </r>
    <r>
      <rPr>
        <i val="true"/>
        <sz val="9"/>
        <color rgb="FF595959"/>
        <rFont val="WenQuanYi Zen Hei"/>
        <family val="2"/>
      </rPr>
      <t xml:space="preserve">법령 사이트</t>
    </r>
    <r>
      <rPr>
        <i val="true"/>
        <sz val="9"/>
        <color rgb="FF595959"/>
        <rFont val="Noto Sans CJK SC"/>
        <family val="2"/>
        <charset val="1"/>
      </rPr>
      <t xml:space="preserve">(planalto.gov.br/legislacao)</t>
    </r>
    <r>
      <rPr>
        <i val="true"/>
        <sz val="9"/>
        <color rgb="FF595959"/>
        <rFont val="WenQuanYi Zen Hei"/>
        <family val="2"/>
      </rPr>
      <t xml:space="preserve">의 현행 통합본</t>
    </r>
    <r>
      <rPr>
        <i val="true"/>
        <sz val="9"/>
        <color rgb="FF595959"/>
        <rFont val="Noto Sans CJK SC"/>
        <family val="2"/>
        <charset val="1"/>
      </rPr>
      <t xml:space="preserve">(texto compilado)</t>
    </r>
    <r>
      <rPr>
        <i val="true"/>
        <sz val="9"/>
        <color rgb="FF595959"/>
        <rFont val="WenQuanYi Zen Hei"/>
        <family val="2"/>
      </rPr>
      <t xml:space="preserve">과 선거법원</t>
    </r>
    <r>
      <rPr>
        <i val="true"/>
        <sz val="9"/>
        <color rgb="FF595959"/>
        <rFont val="Noto Sans CJK SC"/>
        <family val="2"/>
        <charset val="1"/>
      </rPr>
      <t xml:space="preserve">(tse.jus.br) </t>
    </r>
    <r>
      <rPr>
        <i val="true"/>
        <sz val="9"/>
        <color rgb="FF595959"/>
        <rFont val="WenQuanYi Zen Hei"/>
        <family val="2"/>
      </rPr>
      <t xml:space="preserve">결의로 반드시 확인하세요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스페인판의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검색 확인</t>
    </r>
    <r>
      <rPr>
        <i val="true"/>
        <sz val="9"/>
        <color rgb="FF595959"/>
        <rFont val="Noto Sans CJK SC"/>
        <family val="2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표시는 브라질 제도에는 해당하지 않아 모두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기획 시점 지식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으로 되돌렸습니다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</si>
  <si>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정치 경로와 가상 득표</t>
    </r>
    <r>
      <rPr>
        <b val="true"/>
        <sz val="14"/>
        <color rgb="FF1F3864"/>
        <rFont val="Noto Sans CJK SC"/>
        <family val="2"/>
        <charset val="1"/>
      </rPr>
      <t xml:space="preserve">·</t>
    </r>
    <r>
      <rPr>
        <b val="true"/>
        <sz val="14"/>
        <color rgb="FF1F3864"/>
        <rFont val="WenQuanYi Zen Hei"/>
        <family val="2"/>
      </rPr>
      <t xml:space="preserve">의석 시뮬레이션</t>
    </r>
  </si>
  <si>
    <r>
      <rPr>
        <i val="true"/>
        <sz val="9"/>
        <color rgb="FF595959"/>
        <rFont val="WenQuanYi Zen Hei"/>
        <family val="2"/>
      </rPr>
      <t xml:space="preserve">창당에서 대통령까지의 경로를 브라질 현실 제도에 맞춰 단계화했다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정당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득표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의석 수는 전부 가상의 교육용 수치이며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파란 숫자는 수정하면 결과가 자동 갱신된다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</si>
  <si>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정치 경로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창당 → 대통령</t>
    </r>
    <r>
      <rPr>
        <b val="true"/>
        <sz val="10"/>
        <rFont val="Arial"/>
        <family val="0"/>
        <charset val="1"/>
      </rPr>
      <t xml:space="preserve">)</t>
    </r>
  </si>
  <si>
    <t xml:space="preserve">단계</t>
  </si>
  <si>
    <r>
      <rPr>
        <b val="true"/>
        <sz val="10"/>
        <color rgb="FFFFFFFF"/>
        <rFont val="WenQuanYi Zen Hei"/>
        <family val="2"/>
      </rPr>
      <t xml:space="preserve">부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화</t>
    </r>
  </si>
  <si>
    <t xml:space="preserve">이야기 사건</t>
  </si>
  <si>
    <t xml:space="preserve">1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</si>
  <si>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1~4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</si>
  <si>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Paulista </t>
    </r>
    <r>
      <rPr>
        <sz val="10"/>
        <rFont val="WenQuanYi Zen Hei"/>
        <family val="2"/>
      </rPr>
      <t xml:space="preserve">집회 → 국민발안이 대리 발의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서랍 행으로 좌초</t>
    </r>
  </si>
  <si>
    <r>
      <rPr>
        <sz val="10"/>
        <rFont val="WenQuanYi Zen Hei"/>
        <family val="2"/>
      </rPr>
      <t xml:space="preserve">집회 사전 통지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국민발안 서명 </t>
    </r>
    <r>
      <rPr>
        <sz val="10"/>
        <rFont val="Noto Sans CJK SC"/>
        <family val="2"/>
        <charset val="1"/>
      </rPr>
      <t xml:space="preserve">1%·5</t>
    </r>
    <r>
      <rPr>
        <sz val="10"/>
        <rFont val="WenQuanYi Zen Hei"/>
        <family val="2"/>
      </rPr>
      <t xml:space="preserve">개 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의장의 의사일정 권한</t>
    </r>
  </si>
  <si>
    <t xml:space="preserve">기획 지식</t>
  </si>
  <si>
    <t xml:space="preserve">2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</si>
  <si>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5~7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</si>
  <si>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정당 </t>
    </r>
    <r>
      <rPr>
        <sz val="10"/>
        <rFont val="Noto Sans CJK SC"/>
        <family val="2"/>
        <charset val="1"/>
      </rPr>
      <t xml:space="preserve">«Casa Comum» </t>
    </r>
    <r>
      <rPr>
        <sz val="10"/>
        <rFont val="WenQuanYi Zen Hei"/>
        <family val="2"/>
      </rPr>
      <t xml:space="preserve">창당</t>
    </r>
    <r>
      <rPr>
        <sz val="10"/>
        <rFont val="Noto Sans CJK SC"/>
        <family val="2"/>
        <charset val="1"/>
      </rPr>
      <t xml:space="preserve">, 55</t>
    </r>
    <r>
      <rPr>
        <sz val="10"/>
        <rFont val="WenQuanYi Zen Hei"/>
        <family val="2"/>
      </rPr>
      <t xml:space="preserve">만 지지 서명</t>
    </r>
    <r>
      <rPr>
        <sz val="10"/>
        <rFont val="Noto Sans CJK SC"/>
        <family val="2"/>
        <charset val="1"/>
      </rPr>
      <t xml:space="preserve">, TSE </t>
    </r>
    <r>
      <rPr>
        <sz val="10"/>
        <rFont val="WenQuanYi Zen Hei"/>
        <family val="2"/>
      </rPr>
      <t xml:space="preserve">등록</t>
    </r>
  </si>
  <si>
    <r>
      <rPr>
        <sz val="10"/>
        <rFont val="WenQuanYi Zen Hei"/>
        <family val="2"/>
      </rPr>
      <t xml:space="preserve">정당법</t>
    </r>
    <r>
      <rPr>
        <sz val="10"/>
        <rFont val="Arial"/>
        <family val="0"/>
        <charset val="1"/>
      </rPr>
      <t xml:space="preserve">(Lei 9.096/1995): </t>
    </r>
    <r>
      <rPr>
        <sz val="10"/>
        <rFont val="WenQuanYi Zen Hei"/>
        <family val="2"/>
      </rPr>
      <t xml:space="preserve">등기 → 지지 서명 </t>
    </r>
    <r>
      <rPr>
        <sz val="10"/>
        <rFont val="Arial"/>
        <family val="0"/>
        <charset val="1"/>
      </rPr>
      <t xml:space="preserve">0.5%·9</t>
    </r>
    <r>
      <rPr>
        <sz val="10"/>
        <rFont val="WenQuanYi Zen Hei"/>
        <family val="2"/>
      </rPr>
      <t xml:space="preserve">개 주</t>
    </r>
    <r>
      <rPr>
        <sz val="10"/>
        <rFont val="Arial"/>
        <family val="0"/>
        <charset val="1"/>
      </rPr>
      <t xml:space="preserve">·2</t>
    </r>
    <r>
      <rPr>
        <sz val="10"/>
        <rFont val="WenQuanYi Zen Hei"/>
        <family val="2"/>
      </rPr>
      <t xml:space="preserve">년 → </t>
    </r>
    <r>
      <rPr>
        <sz val="10"/>
        <rFont val="Arial"/>
        <family val="0"/>
        <charset val="1"/>
      </rPr>
      <t xml:space="preserve">TSE </t>
    </r>
    <r>
      <rPr>
        <sz val="10"/>
        <rFont val="WenQuanYi Zen Hei"/>
        <family val="2"/>
      </rPr>
      <t xml:space="preserve">등록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기업 후원 금지</t>
    </r>
  </si>
  <si>
    <t xml:space="preserve">3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</si>
  <si>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8~12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</si>
  <si>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첫 시장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시의원 선거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시의회 </t>
    </r>
    <r>
      <rPr>
        <sz val="10"/>
        <rFont val="Noto Sans CJK SC"/>
        <family val="2"/>
        <charset val="1"/>
      </rPr>
      <t xml:space="preserve">55</t>
    </r>
    <r>
      <rPr>
        <sz val="10"/>
        <rFont val="WenQuanYi Zen Hei"/>
        <family val="2"/>
      </rPr>
      <t xml:space="preserve">석 중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시장 선거 </t>
    </r>
    <r>
      <rPr>
        <sz val="10"/>
        <rFont val="Noto Sans CJK SC"/>
        <family val="2"/>
        <charset val="1"/>
      </rPr>
      <t xml:space="preserve">Rafael 3</t>
    </r>
    <r>
      <rPr>
        <sz val="10"/>
        <rFont val="WenQuanYi Zen Hei"/>
        <family val="2"/>
      </rPr>
      <t xml:space="preserve">위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 수치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</si>
  <si>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개방형 명부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선거지수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성별 할당 </t>
    </r>
    <r>
      <rPr>
        <sz val="10"/>
        <rFont val="Arial"/>
        <family val="0"/>
        <charset val="1"/>
      </rPr>
      <t xml:space="preserve">30%, </t>
    </r>
    <r>
      <rPr>
        <sz val="10"/>
        <rFont val="WenQuanYi Zen Hei"/>
        <family val="2"/>
      </rPr>
      <t xml:space="preserve">반론권</t>
    </r>
  </si>
  <si>
    <r>
      <rPr>
        <sz val="10"/>
        <rFont val="WenQuanYi Zen Hei"/>
        <family val="2"/>
      </rPr>
      <t xml:space="preserve">기획 지식 </t>
    </r>
    <r>
      <rPr>
        <sz val="10"/>
        <rFont val="Noto Sans CJK SC"/>
        <family val="2"/>
        <charset val="1"/>
      </rPr>
      <t xml:space="preserve">(55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)</t>
    </r>
  </si>
  <si>
    <t xml:space="preserve">4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</si>
  <si>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</si>
  <si>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일 시의원 취임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결선에서 이긴 </t>
    </r>
    <r>
      <rPr>
        <sz val="10"/>
        <rFont val="Noto Sans CJK SC"/>
        <family val="2"/>
        <charset val="1"/>
      </rPr>
      <t xml:space="preserve">UCN </t>
    </r>
    <r>
      <rPr>
        <sz val="10"/>
        <rFont val="WenQuanYi Zen Hei"/>
        <family val="2"/>
      </rPr>
      <t xml:space="preserve">시장 취임</t>
    </r>
  </si>
  <si>
    <r>
      <rPr>
        <sz val="10"/>
        <rFont val="WenQuanYi Zen Hei"/>
        <family val="2"/>
      </rPr>
      <t xml:space="preserve">시장 결선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유권자 </t>
    </r>
    <r>
      <rPr>
        <sz val="10"/>
        <rFont val="Noto Sans CJK SC"/>
        <family val="2"/>
        <charset val="1"/>
      </rPr>
      <t xml:space="preserve">20</t>
    </r>
    <r>
      <rPr>
        <sz val="10"/>
        <rFont val="WenQuanYi Zen Hei"/>
        <family val="2"/>
      </rPr>
      <t xml:space="preserve">만 이상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의장단 선출</t>
    </r>
  </si>
  <si>
    <t xml:space="preserve">5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</si>
  <si>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2~11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</si>
  <si>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Bruno(</t>
    </r>
    <r>
      <rPr>
        <sz val="10"/>
        <rFont val="WenQuanYi Zen Hei"/>
        <family val="2"/>
      </rPr>
      <t xml:space="preserve">재정위</t>
    </r>
    <r>
      <rPr>
        <sz val="10"/>
        <rFont val="Arial"/>
        <family val="0"/>
        <charset val="1"/>
      </rPr>
      <t xml:space="preserve">)·Camila(</t>
    </r>
    <r>
      <rPr>
        <sz val="10"/>
        <rFont val="WenQuanYi Zen Hei"/>
        <family val="2"/>
      </rPr>
      <t xml:space="preserve">보건위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시의회에서 활동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스캔들 폭로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시민소송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검찰 고발</t>
    </r>
  </si>
  <si>
    <r>
      <rPr>
        <sz val="10"/>
        <rFont val="WenQuanYi Zen Hei"/>
        <family val="2"/>
      </rPr>
      <t xml:space="preserve">시 권한</t>
    </r>
    <r>
      <rPr>
        <sz val="10"/>
        <rFont val="Noto Sans CJK SC"/>
        <family val="2"/>
        <charset val="1"/>
      </rPr>
      <t xml:space="preserve">(1</t>
    </r>
    <r>
      <rPr>
        <sz val="10"/>
        <rFont val="WenQuanYi Zen Hei"/>
        <family val="2"/>
      </rPr>
      <t xml:space="preserve">차 의료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도시계획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시 감사원</t>
    </r>
    <r>
      <rPr>
        <sz val="10"/>
        <rFont val="Noto Sans CJK SC"/>
        <family val="2"/>
        <charset val="1"/>
      </rPr>
      <t xml:space="preserve">, CPI, </t>
    </r>
    <r>
      <rPr>
        <sz val="10"/>
        <rFont val="WenQuanYi Zen Hei"/>
        <family val="2"/>
      </rPr>
      <t xml:space="preserve">공공조달법</t>
    </r>
  </si>
  <si>
    <t xml:space="preserve">6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</si>
  <si>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</si>
  <si>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전당대회에서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을 대통령 후보로 확정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러닝메이트 영입</t>
    </r>
  </si>
  <si>
    <r>
      <rPr>
        <sz val="10"/>
        <rFont val="WenQuanYi Zen Hei"/>
        <family val="2"/>
      </rPr>
      <t xml:space="preserve">당적 보유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개월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전당대회 </t>
    </r>
    <r>
      <rPr>
        <sz val="10"/>
        <rFont val="Noto Sans CJK SC"/>
        <family val="2"/>
        <charset val="1"/>
      </rPr>
      <t xml:space="preserve">7/20~8/5</t>
    </r>
  </si>
  <si>
    <t xml:space="preserve">7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</si>
  <si>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1~3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</si>
  <si>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후보 등록</t>
    </r>
    <r>
      <rPr>
        <sz val="10"/>
        <rFont val="Noto Sans CJK SC"/>
        <family val="2"/>
        <charset val="1"/>
      </rPr>
      <t xml:space="preserve">(8/15), 45</t>
    </r>
    <r>
      <rPr>
        <sz val="10"/>
        <rFont val="WenQuanYi Zen Hei"/>
        <family val="2"/>
      </rPr>
      <t xml:space="preserve">일 유세</t>
    </r>
    <r>
      <rPr>
        <sz val="10"/>
        <rFont val="Noto Sans CJK SC"/>
        <family val="2"/>
        <charset val="1"/>
      </rPr>
      <t xml:space="preserve">, TV </t>
    </r>
    <r>
      <rPr>
        <sz val="10"/>
        <rFont val="WenQuanYi Zen Hei"/>
        <family val="2"/>
      </rPr>
      <t xml:space="preserve">토론 초청 문턱</t>
    </r>
  </si>
  <si>
    <r>
      <rPr>
        <sz val="10"/>
        <rFont val="WenQuanYi Zen Hei"/>
        <family val="2"/>
      </rPr>
      <t xml:space="preserve">피선거권 심사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무료 선거방송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토론 초청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석 이상 정당</t>
    </r>
    <r>
      <rPr>
        <sz val="10"/>
        <rFont val="Noto Sans CJK SC"/>
        <family val="2"/>
        <charset val="1"/>
      </rPr>
      <t xml:space="preserve">)</t>
    </r>
  </si>
  <si>
    <t xml:space="preserve">8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</si>
  <si>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</si>
  <si>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투표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과반 후보 없음 → </t>
    </r>
    <r>
      <rPr>
        <sz val="10"/>
        <rFont val="Noto Sans CJK SC"/>
        <family val="2"/>
        <charset val="1"/>
      </rPr>
      <t xml:space="preserve">UCN 1</t>
    </r>
    <r>
      <rPr>
        <sz val="10"/>
        <rFont val="WenQuanYi Zen Hei"/>
        <family val="2"/>
      </rPr>
      <t xml:space="preserve">위</t>
    </r>
    <r>
      <rPr>
        <sz val="10"/>
        <rFont val="Noto Sans CJK SC"/>
        <family val="2"/>
        <charset val="1"/>
      </rPr>
      <t xml:space="preserve">·Rafael 2</t>
    </r>
    <r>
      <rPr>
        <sz val="10"/>
        <rFont val="WenQuanYi Zen Hei"/>
        <family val="2"/>
      </rPr>
      <t xml:space="preserve">위 결선 진출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아래 </t>
    </r>
    <r>
      <rPr>
        <sz val="10"/>
        <rFont val="Noto Sans CJK SC"/>
        <family val="2"/>
        <charset val="1"/>
      </rPr>
      <t xml:space="preserve">A</t>
    </r>
    <r>
      <rPr>
        <sz val="10"/>
        <rFont val="WenQuanYi Zen Hei"/>
        <family val="2"/>
      </rPr>
      <t xml:space="preserve">블록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</si>
  <si>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유효표 과반 미달 시 상위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인 결선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77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</si>
  <si>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t xml:space="preserve">9</t>
  </si>
  <si>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513</t>
    </r>
    <r>
      <rPr>
        <sz val="10"/>
        <rFont val="WenQuanYi Zen Hei"/>
        <family val="2"/>
      </rPr>
      <t xml:space="preserve">석 중 </t>
    </r>
    <r>
      <rPr>
        <sz val="10"/>
        <rFont val="Noto Sans CJK SC"/>
        <family val="2"/>
        <charset val="1"/>
      </rPr>
      <t xml:space="preserve">Casa Comum 48</t>
    </r>
    <r>
      <rPr>
        <sz val="10"/>
        <rFont val="WenQuanYi Zen Hei"/>
        <family val="2"/>
      </rPr>
      <t xml:space="preserve">석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아래 </t>
    </r>
    <r>
      <rPr>
        <sz val="10"/>
        <rFont val="Noto Sans CJK SC"/>
        <family val="2"/>
        <charset val="1"/>
      </rPr>
      <t xml:space="preserve">C</t>
    </r>
    <r>
      <rPr>
        <sz val="10"/>
        <rFont val="WenQuanYi Zen Hei"/>
        <family val="2"/>
      </rPr>
      <t xml:space="preserve">블록의 의석 구성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</si>
  <si>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개방형 비례대표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정당 성과 기준</t>
    </r>
  </si>
  <si>
    <t xml:space="preserve">가상 수치</t>
  </si>
  <si>
    <t xml:space="preserve">10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</si>
  <si>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6~9</t>
    </r>
    <r>
      <rPr>
        <sz val="10"/>
        <rFont val="WenQuanYi Zen Hei"/>
        <family val="2"/>
      </rPr>
      <t xml:space="preserve">화</t>
    </r>
  </si>
  <si>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위 </t>
    </r>
    <r>
      <rPr>
        <sz val="10"/>
        <rFont val="Noto Sans CJK SC"/>
        <family val="2"/>
        <charset val="1"/>
      </rPr>
      <t xml:space="preserve">PPS </t>
    </r>
    <r>
      <rPr>
        <sz val="10"/>
        <rFont val="WenQuanYi Zen Hei"/>
        <family val="2"/>
      </rPr>
      <t xml:space="preserve">후보와 결선 지지 협상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딥페이크 대응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초접전</t>
    </r>
  </si>
  <si>
    <r>
      <rPr>
        <sz val="10"/>
        <rFont val="WenQuanYi Zen Hei"/>
        <family val="2"/>
      </rPr>
      <t xml:space="preserve">결선 지지 선언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딥페이크 금지</t>
    </r>
    <r>
      <rPr>
        <sz val="10"/>
        <rFont val="Noto Sans CJK SC"/>
        <family val="2"/>
        <charset val="1"/>
      </rPr>
      <t xml:space="preserve">(TSE </t>
    </r>
    <r>
      <rPr>
        <sz val="10"/>
        <rFont val="WenQuanYi Zen Hei"/>
        <family val="2"/>
      </rPr>
      <t xml:space="preserve">결의</t>
    </r>
    <r>
      <rPr>
        <sz val="10"/>
        <rFont val="Noto Sans CJK SC"/>
        <family val="2"/>
        <charset val="1"/>
      </rPr>
      <t xml:space="preserve">)</t>
    </r>
  </si>
  <si>
    <t xml:space="preserve">11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</si>
  <si>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</si>
  <si>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결선 투표</t>
    </r>
    <r>
      <rPr>
        <sz val="10"/>
        <rFont val="Noto Sans CJK SC"/>
        <family val="2"/>
        <charset val="1"/>
      </rPr>
      <t xml:space="preserve">: Rafael </t>
    </r>
    <r>
      <rPr>
        <sz val="10"/>
        <rFont val="WenQuanYi Zen Hei"/>
        <family val="2"/>
      </rPr>
      <t xml:space="preserve">역전승 </t>
    </r>
    <r>
      <rPr>
        <sz val="10"/>
        <rFont val="Noto Sans CJK SC"/>
        <family val="2"/>
        <charset val="1"/>
      </rPr>
      <t xml:space="preserve">(B</t>
    </r>
    <r>
      <rPr>
        <sz val="10"/>
        <rFont val="WenQuanYi Zen Hei"/>
        <family val="2"/>
      </rPr>
      <t xml:space="preserve">블록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</si>
  <si>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결선 과반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유효표 기준</t>
    </r>
    <r>
      <rPr>
        <sz val="10"/>
        <rFont val="Arial"/>
        <family val="0"/>
        <charset val="1"/>
      </rPr>
      <t xml:space="preserve">)</t>
    </r>
  </si>
  <si>
    <t xml:space="preserve">12</t>
  </si>
  <si>
    <r>
      <rPr>
        <sz val="10"/>
        <rFont val="WenQuanYi Zen Hei"/>
        <family val="2"/>
      </rPr>
      <t xml:space="preserve">정권 인수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중도 연합</t>
    </r>
    <r>
      <rPr>
        <sz val="10"/>
        <rFont val="Arial"/>
        <family val="0"/>
        <charset val="1"/>
      </rPr>
      <t xml:space="preserve">(PCN)·TA</t>
    </r>
    <r>
      <rPr>
        <sz val="10"/>
        <rFont val="WenQuanYi Zen Hei"/>
        <family val="2"/>
      </rPr>
      <t xml:space="preserve">와 연립 협상</t>
    </r>
    <r>
      <rPr>
        <sz val="10"/>
        <rFont val="Arial"/>
        <family val="0"/>
        <charset val="1"/>
      </rPr>
      <t xml:space="preserve">, TB</t>
    </r>
    <r>
      <rPr>
        <sz val="10"/>
        <rFont val="WenQuanYi Zen Hei"/>
        <family val="2"/>
      </rPr>
      <t xml:space="preserve">는 주 부채 재협상 요구</t>
    </r>
  </si>
  <si>
    <r>
      <rPr>
        <sz val="10"/>
        <rFont val="WenQuanYi Zen Hei"/>
        <family val="2"/>
      </rPr>
      <t xml:space="preserve">정권 인수법</t>
    </r>
    <r>
      <rPr>
        <sz val="10"/>
        <rFont val="Noto Sans CJK SC"/>
        <family val="2"/>
        <charset val="1"/>
      </rPr>
      <t xml:space="preserve">(Lei 10.609/2002), </t>
    </r>
    <r>
      <rPr>
        <sz val="10"/>
        <rFont val="WenQuanYi Zen Hei"/>
        <family val="2"/>
      </rPr>
      <t xml:space="preserve">연립 대통령제</t>
    </r>
  </si>
  <si>
    <t xml:space="preserve">13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</si>
  <si>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 당선증 수여 →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일 연방의회에서 헌법 선서 → </t>
    </r>
    <r>
      <rPr>
        <sz val="10"/>
        <rFont val="Arial"/>
        <family val="0"/>
        <charset val="1"/>
      </rPr>
      <t xml:space="preserve">Planalto </t>
    </r>
    <r>
      <rPr>
        <sz val="10"/>
        <rFont val="WenQuanYi Zen Hei"/>
        <family val="2"/>
      </rPr>
      <t xml:space="preserve">휘장 이양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</si>
  <si>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78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1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일 취임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개정 </t>
    </r>
    <r>
      <rPr>
        <sz val="10"/>
        <rFont val="Arial"/>
        <family val="0"/>
        <charset val="1"/>
      </rPr>
      <t xml:space="preserve">111/2021)</t>
    </r>
  </si>
  <si>
    <t xml:space="preserve">14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</si>
  <si>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</si>
  <si>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첫 장관회의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대통령령으로 장관 임명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</si>
  <si>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I, </t>
    </r>
    <r>
      <rPr>
        <sz val="10"/>
        <rFont val="WenQuanYi Zen Hei"/>
        <family val="2"/>
      </rPr>
      <t xml:space="preserve">정부조직법</t>
    </r>
  </si>
  <si>
    <t xml:space="preserve">15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</si>
  <si>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2~5·8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</si>
  <si>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국정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주거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이민은 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시와 나눠 가진 권한의 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초고소득 과세는 법률로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</si>
  <si>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23·24·30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임시조치의 세금 제한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), STF </t>
    </r>
    <r>
      <rPr>
        <sz val="10"/>
        <rFont val="WenQuanYi Zen Hei"/>
        <family val="2"/>
      </rPr>
      <t xml:space="preserve">위헌소송</t>
    </r>
    <r>
      <rPr>
        <sz val="10"/>
        <rFont val="Arial"/>
        <family val="0"/>
        <charset val="1"/>
      </rPr>
      <t xml:space="preserve">, SUS 3</t>
    </r>
    <r>
      <rPr>
        <sz val="10"/>
        <rFont val="WenQuanYi Zen Hei"/>
        <family val="2"/>
      </rPr>
      <t xml:space="preserve">자 협의체</t>
    </r>
  </si>
  <si>
    <t xml:space="preserve">16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</si>
  <si>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9~12</t>
    </r>
    <r>
      <rPr>
        <sz val="10"/>
        <rFont val="WenQuanYi Zen Hei"/>
        <family val="2"/>
      </rPr>
      <t xml:space="preserve">화</t>
    </r>
  </si>
  <si>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의 브뤼셀 협상과 사망</t>
    </r>
  </si>
  <si>
    <r>
      <rPr>
        <sz val="10"/>
        <rFont val="WenQuanYi Zen Hei"/>
        <family val="2"/>
      </rPr>
      <t xml:space="preserve">조약 체결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VIII·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I)</t>
    </r>
  </si>
  <si>
    <t xml:space="preserve">17</t>
  </si>
  <si>
    <r>
      <rPr>
        <sz val="10"/>
        <rFont val="WenQuanYi Zen Hei"/>
        <family val="2"/>
      </rPr>
      <t xml:space="preserve">야당 탄핵 청구 수리 → 하원 표결에서 </t>
    </r>
    <r>
      <rPr>
        <sz val="10"/>
        <rFont val="Noto Sans CJK SC"/>
        <family val="2"/>
        <charset val="1"/>
      </rPr>
      <t xml:space="preserve">342</t>
    </r>
    <r>
      <rPr>
        <sz val="10"/>
        <rFont val="WenQuanYi Zen Hei"/>
        <family val="2"/>
      </rPr>
      <t xml:space="preserve">표 미달로 부결 </t>
    </r>
    <r>
      <rPr>
        <sz val="10"/>
        <rFont val="Noto Sans CJK SC"/>
        <family val="2"/>
        <charset val="1"/>
      </rPr>
      <t xml:space="preserve">(C</t>
    </r>
    <r>
      <rPr>
        <sz val="10"/>
        <rFont val="WenQuanYi Zen Hei"/>
        <family val="2"/>
      </rPr>
      <t xml:space="preserve">블록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</si>
  <si>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85·86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Lei 1.079/1950: </t>
    </r>
    <r>
      <rPr>
        <sz val="10"/>
        <rFont val="WenQuanYi Zen Hei"/>
        <family val="2"/>
      </rPr>
      <t xml:space="preserve">하원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분의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승인 필요</t>
    </r>
  </si>
  <si>
    <t xml:space="preserve">18</t>
  </si>
  <si>
    <r>
      <rPr>
        <sz val="10"/>
        <rFont val="WenQuanYi Zen Hei"/>
        <family val="2"/>
      </rPr>
      <t xml:space="preserve">남부 대홍수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경보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초기 대응 책임 공방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공공재난사태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군 투입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특별 예산</t>
    </r>
  </si>
  <si>
    <r>
      <rPr>
        <sz val="10"/>
        <rFont val="Arial"/>
        <family val="0"/>
        <charset val="1"/>
      </rPr>
      <t xml:space="preserve">Lei 12.608/2012,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167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항</t>
    </r>
  </si>
  <si>
    <t xml:space="preserve">19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</si>
  <si>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11~12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· 13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</si>
  <si>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예산안 제출</t>
    </r>
    <r>
      <rPr>
        <sz val="10"/>
        <rFont val="Noto Sans CJK SC"/>
        <family val="2"/>
        <charset val="1"/>
      </rPr>
      <t xml:space="preserve">(8/31) → </t>
    </r>
    <r>
      <rPr>
        <sz val="10"/>
        <rFont val="WenQuanYi Zen Hei"/>
        <family val="2"/>
      </rPr>
      <t xml:space="preserve">임기 후반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사무소를 재단으로 전환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</si>
  <si>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165~166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공직자 이해충돌법</t>
    </r>
    <r>
      <rPr>
        <sz val="10"/>
        <rFont val="Noto Sans CJK SC"/>
        <family val="2"/>
        <charset val="1"/>
      </rPr>
      <t xml:space="preserve">(Lei 12.813/2013)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</si>
  <si>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가상 정당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실존 정당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정치인 사용 금지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</si>
  <si>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정당명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</si>
  <si>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성격</t>
  </si>
  <si>
    <t xml:space="preserve">이야기 속 역할</t>
  </si>
  <si>
    <t xml:space="preserve">CC</t>
  </si>
  <si>
    <t xml:space="preserve">Casa Comum</t>
  </si>
  <si>
    <r>
      <rPr>
        <sz val="10"/>
        <rFont val="WenQuanYi Zen Hei"/>
        <family val="2"/>
      </rPr>
      <t xml:space="preserve">주인공 정당</t>
    </r>
    <r>
      <rPr>
        <sz val="10"/>
        <rFont val="Noto Sans CJK SC"/>
        <family val="2"/>
        <charset val="1"/>
      </rPr>
      <t xml:space="preserve">. Marta</t>
    </r>
    <r>
      <rPr>
        <sz val="10"/>
        <rFont val="WenQuanYi Zen Hei"/>
        <family val="2"/>
      </rPr>
      <t xml:space="preserve">의 식탁에서 나온 이름</t>
    </r>
  </si>
  <si>
    <r>
      <rPr>
        <sz val="10"/>
        <rFont val="WenQuanYi Zen Hei"/>
        <family val="2"/>
      </rPr>
      <t xml:space="preserve">시민 정당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창당 → 시의회 → 대선 → 연립 정부</t>
    </r>
  </si>
  <si>
    <t xml:space="preserve">UCN</t>
  </si>
  <si>
    <t xml:space="preserve">União Cívica Nacional</t>
  </si>
  <si>
    <t xml:space="preserve">거대 보수 정당</t>
  </si>
  <si>
    <r>
      <rPr>
        <sz val="10"/>
        <rFont val="WenQuanYi Zen Hei"/>
        <family val="2"/>
      </rPr>
      <t xml:space="preserve">상파울루 시장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퇴임 대통령 배출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대선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결선 패배 후 탄핵 청구 주도</t>
    </r>
  </si>
  <si>
    <t xml:space="preserve">PPS</t>
  </si>
  <si>
    <t xml:space="preserve">Partido do Progresso Social</t>
  </si>
  <si>
    <t xml:space="preserve">거대 중도좌파 정당</t>
  </si>
  <si>
    <r>
      <rPr>
        <sz val="10"/>
        <rFont val="WenQuanYi Zen Hei"/>
        <family val="2"/>
      </rPr>
      <t xml:space="preserve">대선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결선에서 </t>
    </r>
    <r>
      <rPr>
        <sz val="10"/>
        <rFont val="Noto Sans CJK SC"/>
        <family val="2"/>
        <charset val="1"/>
      </rPr>
      <t xml:space="preserve">Rafael </t>
    </r>
    <r>
      <rPr>
        <sz val="10"/>
        <rFont val="WenQuanYi Zen Hei"/>
        <family val="2"/>
      </rPr>
      <t xml:space="preserve">지지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연립 참여</t>
    </r>
  </si>
  <si>
    <t xml:space="preserve">PCN</t>
  </si>
  <si>
    <t xml:space="preserve">Partido do Centro Nacional</t>
  </si>
  <si>
    <r>
      <rPr>
        <sz val="10"/>
        <rFont val="WenQuanYi Zen Hei"/>
        <family val="2"/>
      </rPr>
      <t xml:space="preserve">중도 실용 연합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가상의 </t>
    </r>
    <r>
      <rPr>
        <sz val="10"/>
        <rFont val="Noto Sans CJK SC"/>
        <family val="2"/>
        <charset val="1"/>
      </rPr>
      <t xml:space="preserve">Centrão)</t>
    </r>
  </si>
  <si>
    <r>
      <rPr>
        <sz val="10"/>
        <rFont val="WenQuanYi Zen Hei"/>
        <family val="2"/>
      </rPr>
      <t xml:space="preserve">하원 최대 의석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장관직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예산 수정을 대가로 표결마다 지지가 갈린다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친정부파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이탈파</t>
    </r>
    <r>
      <rPr>
        <sz val="10"/>
        <rFont val="Arial"/>
        <family val="0"/>
        <charset val="1"/>
      </rPr>
      <t xml:space="preserve">)</t>
    </r>
  </si>
  <si>
    <t xml:space="preserve">HU</t>
  </si>
  <si>
    <t xml:space="preserve">Honra e União</t>
  </si>
  <si>
    <t xml:space="preserve">민족주의 성향 소수당</t>
  </si>
  <si>
    <r>
      <rPr>
        <sz val="10"/>
        <rFont val="Noto Sans CJK SC"/>
        <family val="2"/>
        <charset val="1"/>
      </rPr>
      <t xml:space="preserve">UCN</t>
    </r>
    <r>
      <rPr>
        <sz val="10"/>
        <rFont val="WenQuanYi Zen Hei"/>
        <family val="2"/>
      </rPr>
      <t xml:space="preserve">과 함께 반대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탄핵 찬성</t>
    </r>
  </si>
  <si>
    <t xml:space="preserve">TA / TB</t>
  </si>
  <si>
    <t xml:space="preserve">Frente Regional A / Frente Regional B</t>
  </si>
  <si>
    <t xml:space="preserve">지역정당 연합</t>
  </si>
  <si>
    <r>
      <rPr>
        <sz val="10"/>
        <rFont val="Noto Sans CJK SC"/>
        <family val="2"/>
        <charset val="1"/>
      </rPr>
      <t xml:space="preserve">TA</t>
    </r>
    <r>
      <rPr>
        <sz val="10"/>
        <rFont val="WenQuanYi Zen Hei"/>
        <family val="2"/>
      </rPr>
      <t xml:space="preserve">는 조건부 친여</t>
    </r>
    <r>
      <rPr>
        <sz val="10"/>
        <rFont val="Noto Sans CJK SC"/>
        <family val="2"/>
        <charset val="1"/>
      </rPr>
      <t xml:space="preserve">, TB</t>
    </r>
    <r>
      <rPr>
        <sz val="10"/>
        <rFont val="WenQuanYi Zen Hei"/>
        <family val="2"/>
      </rPr>
      <t xml:space="preserve">는 캐스팅보트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결선 중립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탄핵 표결 기권 — 주 부채 재협상이 열쇠</t>
    </r>
    <r>
      <rPr>
        <sz val="10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</si>
  <si>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3-A. </t>
    </r>
    <r>
      <rPr>
        <b val="true"/>
        <sz val="10"/>
        <rFont val="WenQuanYi Zen Hei"/>
        <family val="2"/>
      </rPr>
      <t xml:space="preserve">대선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차 투표 결과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가상</t>
    </r>
    <r>
      <rPr>
        <b val="true"/>
        <sz val="10"/>
        <rFont val="Arial"/>
        <family val="0"/>
        <charset val="1"/>
      </rPr>
      <t xml:space="preserve">, 10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화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</si>
  <si>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후보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정당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</si>
  <si>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득표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백만 표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</si>
  <si>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득표율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유효표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</si>
  <si>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순위</t>
  </si>
  <si>
    <t xml:space="preserve">비고</t>
  </si>
  <si>
    <r>
      <rPr>
        <b val="true"/>
        <sz val="10"/>
        <rFont val="Arial"/>
        <family val="0"/>
        <charset val="1"/>
      </rPr>
      <t xml:space="preserve">UCN </t>
    </r>
    <r>
      <rPr>
        <b val="true"/>
        <sz val="10"/>
        <rFont val="WenQuanYi Zen Hei"/>
        <family val="2"/>
      </rPr>
      <t xml:space="preserve">후보</t>
    </r>
  </si>
  <si>
    <r>
      <rPr>
        <sz val="10"/>
        <rFont val="WenQuanYi Zen Hei"/>
        <family val="2"/>
      </rPr>
      <t xml:space="preserve">보수 정당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 상파울루 시장 배출</t>
    </r>
  </si>
  <si>
    <t xml:space="preserve">Rafael (CC)</t>
  </si>
  <si>
    <r>
      <rPr>
        <sz val="10"/>
        <rFont val="WenQuanYi Zen Hei"/>
        <family val="2"/>
      </rPr>
      <t xml:space="preserve">창당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년 차</t>
    </r>
  </si>
  <si>
    <r>
      <rPr>
        <b val="true"/>
        <sz val="10"/>
        <rFont val="Arial"/>
        <family val="0"/>
        <charset val="1"/>
      </rPr>
      <t xml:space="preserve">PPS </t>
    </r>
    <r>
      <rPr>
        <b val="true"/>
        <sz val="10"/>
        <rFont val="WenQuanYi Zen Hei"/>
        <family val="2"/>
      </rPr>
      <t xml:space="preserve">후보</t>
    </r>
  </si>
  <si>
    <r>
      <rPr>
        <sz val="10"/>
        <rFont val="WenQuanYi Zen Hei"/>
        <family val="2"/>
      </rPr>
      <t xml:space="preserve">결선에서 </t>
    </r>
    <r>
      <rPr>
        <sz val="10"/>
        <rFont val="Arial"/>
        <family val="0"/>
        <charset val="1"/>
      </rPr>
      <t xml:space="preserve">Rafael </t>
    </r>
    <r>
      <rPr>
        <sz val="10"/>
        <rFont val="WenQuanYi Zen Hei"/>
        <family val="2"/>
      </rPr>
      <t xml:space="preserve">지지</t>
    </r>
  </si>
  <si>
    <r>
      <rPr>
        <b val="true"/>
        <sz val="10"/>
        <rFont val="Arial"/>
        <family val="0"/>
        <charset val="1"/>
      </rPr>
      <t xml:space="preserve">HU </t>
    </r>
    <r>
      <rPr>
        <b val="true"/>
        <sz val="10"/>
        <rFont val="WenQuanYi Zen Hei"/>
        <family val="2"/>
      </rPr>
      <t xml:space="preserve">후보</t>
    </r>
  </si>
  <si>
    <r>
      <rPr>
        <sz val="10"/>
        <rFont val="WenQuanYi Zen Hei"/>
        <family val="2"/>
      </rPr>
      <t xml:space="preserve">결선에서 </t>
    </r>
    <r>
      <rPr>
        <sz val="10"/>
        <rFont val="Arial"/>
        <family val="0"/>
        <charset val="1"/>
      </rPr>
      <t xml:space="preserve">UCN </t>
    </r>
    <r>
      <rPr>
        <sz val="10"/>
        <rFont val="WenQuanYi Zen Hei"/>
        <family val="2"/>
      </rPr>
      <t xml:space="preserve">지지</t>
    </r>
  </si>
  <si>
    <r>
      <rPr>
        <b val="true"/>
        <sz val="10"/>
        <rFont val="Arial"/>
        <family val="0"/>
        <charset val="1"/>
      </rPr>
      <t xml:space="preserve">TB </t>
    </r>
    <r>
      <rPr>
        <b val="true"/>
        <sz val="10"/>
        <rFont val="WenQuanYi Zen Hei"/>
        <family val="2"/>
      </rPr>
      <t xml:space="preserve">후보</t>
    </r>
  </si>
  <si>
    <t xml:space="preserve">결선 중립 선언</t>
  </si>
  <si>
    <t xml:space="preserve">기타 후보</t>
  </si>
  <si>
    <t xml:space="preserve">군소 후보 합계</t>
  </si>
  <si>
    <t xml:space="preserve">유효표 합계</t>
  </si>
  <si>
    <r>
      <rPr>
        <sz val="10"/>
        <rFont val="WenQuanYi Zen Hei"/>
        <family val="2"/>
      </rPr>
      <t xml:space="preserve">백표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무효표 제외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</si>
  <si>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과반 기준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유효표 </t>
    </r>
    <r>
      <rPr>
        <b val="true"/>
        <sz val="10"/>
        <rFont val="Noto Sans CJK SC"/>
        <family val="2"/>
        <charset val="1"/>
      </rPr>
      <t xml:space="preserve">50%)</t>
    </r>
  </si>
  <si>
    <r>
      <rPr>
        <sz val="10"/>
        <rFont val="WenQuanYi Zen Hei"/>
        <family val="2"/>
      </rPr>
      <t xml:space="preserve">이 값을 넘으면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당선</t>
    </r>
  </si>
  <si>
    <r>
      <rPr>
        <b val="true"/>
        <sz val="10"/>
        <rFont val="Noto Sans CJK SC"/>
        <family val="2"/>
        <charset val="1"/>
      </rPr>
      <t xml:space="preserve">1</t>
    </r>
    <r>
      <rPr>
        <b val="true"/>
        <sz val="10"/>
        <rFont val="WenQuanYi Zen Hei"/>
        <family val="2"/>
      </rPr>
      <t xml:space="preserve">위 후보</t>
    </r>
  </si>
  <si>
    <r>
      <rPr>
        <b val="true"/>
        <sz val="10"/>
        <rFont val="Noto Sans CJK SC"/>
        <family val="2"/>
        <charset val="1"/>
      </rPr>
      <t xml:space="preserve">2</t>
    </r>
    <r>
      <rPr>
        <b val="true"/>
        <sz val="10"/>
        <rFont val="WenQuanYi Zen Hei"/>
        <family val="2"/>
      </rPr>
      <t xml:space="preserve">위 후보</t>
    </r>
  </si>
  <si>
    <r>
      <rPr>
        <b val="true"/>
        <sz val="10"/>
        <rFont val="Noto Sans CJK SC"/>
        <family val="2"/>
        <charset val="1"/>
      </rPr>
      <t xml:space="preserve">1</t>
    </r>
    <r>
      <rPr>
        <b val="true"/>
        <sz val="10"/>
        <rFont val="WenQuanYi Zen Hei"/>
        <family val="2"/>
      </rPr>
      <t xml:space="preserve">위 득표율</t>
    </r>
  </si>
  <si>
    <t xml:space="preserve">결과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</si>
  <si>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월 첫 일요일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→ 마지막 일요일 결선</t>
    </r>
  </si>
  <si>
    <r>
      <rPr>
        <b val="true"/>
        <sz val="10"/>
        <rFont val="Noto Sans CJK SC"/>
        <family val="2"/>
        <charset val="1"/>
      </rPr>
      <t xml:space="preserve">1·2</t>
    </r>
    <r>
      <rPr>
        <b val="true"/>
        <sz val="10"/>
        <rFont val="WenQuanYi Zen Hei"/>
        <family val="2"/>
      </rPr>
      <t xml:space="preserve">위 격차 </t>
    </r>
    <r>
      <rPr>
        <b val="true"/>
        <sz val="10"/>
        <rFont val="Noto Sans CJK SC"/>
        <family val="2"/>
        <charset val="1"/>
      </rPr>
      <t xml:space="preserve">(%p)</t>
    </r>
  </si>
  <si>
    <r>
      <rPr>
        <i val="true"/>
        <sz val="9"/>
        <color rgb="FF595959"/>
        <rFont val="WenQuanYi Zen Hei"/>
        <family val="2"/>
      </rPr>
      <t xml:space="preserve">해석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어느 후보도 유효표 과반을 넘지 못해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위 </t>
    </r>
    <r>
      <rPr>
        <i val="true"/>
        <sz val="9"/>
        <color rgb="FF595959"/>
        <rFont val="Noto Sans CJK SC"/>
        <family val="2"/>
        <charset val="1"/>
      </rPr>
      <t xml:space="preserve">UCN </t>
    </r>
    <r>
      <rPr>
        <i val="true"/>
        <sz val="9"/>
        <color rgb="FF595959"/>
        <rFont val="WenQuanYi Zen Hei"/>
        <family val="2"/>
      </rPr>
      <t xml:space="preserve">후보와 </t>
    </r>
    <r>
      <rPr>
        <i val="true"/>
        <sz val="9"/>
        <color rgb="FF595959"/>
        <rFont val="Noto Sans CJK SC"/>
        <family val="2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위 </t>
    </r>
    <r>
      <rPr>
        <i val="true"/>
        <sz val="9"/>
        <color rgb="FF595959"/>
        <rFont val="Noto Sans CJK SC"/>
        <family val="2"/>
        <charset val="1"/>
      </rPr>
      <t xml:space="preserve">Rafael</t>
    </r>
    <r>
      <rPr>
        <i val="true"/>
        <sz val="9"/>
        <color rgb="FF595959"/>
        <rFont val="WenQuanYi Zen Hei"/>
        <family val="2"/>
      </rPr>
      <t xml:space="preserve">이 결선에 오른다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브라질에는 의원내각제식 신임 투표나 재선거가 없고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결선 한 번으로 대통령이 정해진다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같은 날 치른 하원 선거 결과는 </t>
    </r>
    <r>
      <rPr>
        <i val="true"/>
        <sz val="9"/>
        <color rgb="FF595959"/>
        <rFont val="Noto Sans CJK SC"/>
        <family val="2"/>
        <charset val="1"/>
      </rPr>
      <t xml:space="preserve">C</t>
    </r>
    <r>
      <rPr>
        <i val="true"/>
        <sz val="9"/>
        <color rgb="FF595959"/>
        <rFont val="WenQuanYi Zen Hei"/>
        <family val="2"/>
      </rPr>
      <t xml:space="preserve">블록 의석 구성에 반영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</si>
  <si>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3-B. </t>
    </r>
    <r>
      <rPr>
        <b val="true"/>
        <sz val="10"/>
        <rFont val="WenQuanYi Zen Hei"/>
        <family val="2"/>
      </rPr>
      <t xml:space="preserve">결선 투표</t>
    </r>
    <r>
      <rPr>
        <b val="true"/>
        <sz val="10"/>
        <rFont val="Arial"/>
        <family val="0"/>
        <charset val="1"/>
      </rPr>
      <t xml:space="preserve">: 1</t>
    </r>
    <r>
      <rPr>
        <b val="true"/>
        <sz val="10"/>
        <rFont val="WenQuanYi Zen Hei"/>
        <family val="2"/>
      </rPr>
      <t xml:space="preserve">차 표의 이동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가상</t>
    </r>
    <r>
      <rPr>
        <b val="true"/>
        <sz val="10"/>
        <rFont val="Arial"/>
        <family val="0"/>
        <charset val="1"/>
      </rPr>
      <t xml:space="preserve">, 10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화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</si>
  <si>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 후보</t>
    </r>
  </si>
  <si>
    <r>
      <rPr>
        <b val="true"/>
        <sz val="10"/>
        <color rgb="FFFFFFFF"/>
        <rFont val="Noto Sans CJK SC"/>
        <family val="2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 득표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백만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</si>
  <si>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Rafael</t>
    </r>
    <r>
      <rPr>
        <b val="true"/>
        <sz val="10"/>
        <color rgb="FFFFFFFF"/>
        <rFont val="WenQuanYi Zen Hei"/>
        <family val="2"/>
      </rPr>
      <t xml:space="preserve">로 이동</t>
    </r>
  </si>
  <si>
    <r>
      <rPr>
        <b val="true"/>
        <sz val="10"/>
        <color rgb="FFFFFFFF"/>
        <rFont val="Noto Sans CJK SC"/>
        <family val="2"/>
        <charset val="1"/>
      </rPr>
      <t xml:space="preserve">UCN </t>
    </r>
    <r>
      <rPr>
        <b val="true"/>
        <sz val="10"/>
        <color rgb="FFFFFFFF"/>
        <rFont val="WenQuanYi Zen Hei"/>
        <family val="2"/>
      </rPr>
      <t xml:space="preserve">후보로 이동</t>
    </r>
  </si>
  <si>
    <r>
      <rPr>
        <b val="true"/>
        <sz val="10"/>
        <color rgb="FFFFFFFF"/>
        <rFont val="WenQuanYi Zen Hei"/>
        <family val="2"/>
      </rPr>
      <t xml:space="preserve">기권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무효로</t>
    </r>
  </si>
  <si>
    <r>
      <rPr>
        <b val="true"/>
        <sz val="10"/>
        <rFont val="Noto Sans CJK SC"/>
        <family val="2"/>
        <charset val="1"/>
      </rPr>
      <t xml:space="preserve">Rafael </t>
    </r>
    <r>
      <rPr>
        <b val="true"/>
        <sz val="10"/>
        <rFont val="WenQuanYi Zen Hei"/>
        <family val="2"/>
      </rPr>
      <t xml:space="preserve">결선 득표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백만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</si>
  <si>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Noto Sans CJK SC"/>
        <family val="2"/>
        <charset val="1"/>
      </rPr>
      <t xml:space="preserve">UCN </t>
    </r>
    <r>
      <rPr>
        <b val="true"/>
        <sz val="10"/>
        <rFont val="WenQuanYi Zen Hei"/>
        <family val="2"/>
      </rPr>
      <t xml:space="preserve">후보 결선 득표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백만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</si>
  <si>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기권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무효로 빠진 표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백만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</si>
  <si>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Noto Sans CJK SC"/>
        <family val="2"/>
        <charset val="1"/>
      </rPr>
      <t xml:space="preserve">Rafael </t>
    </r>
    <r>
      <rPr>
        <b val="true"/>
        <sz val="10"/>
        <rFont val="WenQuanYi Zen Hei"/>
        <family val="2"/>
      </rPr>
      <t xml:space="preserve">득표율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유효표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</si>
  <si>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Noto Sans CJK SC"/>
        <family val="2"/>
        <charset val="1"/>
      </rPr>
      <t xml:space="preserve">UCN </t>
    </r>
    <r>
      <rPr>
        <b val="true"/>
        <sz val="10"/>
        <rFont val="WenQuanYi Zen Hei"/>
        <family val="2"/>
      </rPr>
      <t xml:space="preserve">후보 득표율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유효표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</si>
  <si>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표 차이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백만</t>
    </r>
    <r>
      <rPr>
        <b val="true"/>
        <sz val="10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</si>
  <si>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해석</t>
    </r>
    <r>
      <rPr>
        <i val="true"/>
        <sz val="9"/>
        <color rgb="FF595959"/>
        <rFont val="Noto Sans CJK SC"/>
        <family val="2"/>
        <charset val="1"/>
      </rPr>
      <t xml:space="preserve">: 1</t>
    </r>
    <r>
      <rPr>
        <i val="true"/>
        <sz val="9"/>
        <color rgb="FF595959"/>
        <rFont val="WenQuanYi Zen Hei"/>
        <family val="2"/>
      </rPr>
      <t xml:space="preserve">차 </t>
    </r>
    <r>
      <rPr>
        <i val="true"/>
        <sz val="9"/>
        <color rgb="FF595959"/>
        <rFont val="Noto Sans CJK SC"/>
        <family val="2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위 </t>
    </r>
    <r>
      <rPr>
        <i val="true"/>
        <sz val="9"/>
        <color rgb="FF595959"/>
        <rFont val="Noto Sans CJK SC"/>
        <family val="2"/>
        <charset val="1"/>
      </rPr>
      <t xml:space="preserve">PPS </t>
    </r>
    <r>
      <rPr>
        <i val="true"/>
        <sz val="9"/>
        <color rgb="FF595959"/>
        <rFont val="WenQuanYi Zen Hei"/>
        <family val="2"/>
      </rPr>
      <t xml:space="preserve">후보의 공개 지지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표의 </t>
    </r>
    <r>
      <rPr>
        <i val="true"/>
        <sz val="9"/>
        <color rgb="FF595959"/>
        <rFont val="Noto Sans CJK SC"/>
        <family val="2"/>
        <charset val="1"/>
      </rPr>
      <t xml:space="preserve">66% </t>
    </r>
    <r>
      <rPr>
        <i val="true"/>
        <sz val="9"/>
        <color rgb="FF595959"/>
        <rFont val="WenQuanYi Zen Hei"/>
        <family val="2"/>
      </rPr>
      <t xml:space="preserve">이동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가 결정적이지만</t>
    </r>
    <r>
      <rPr>
        <i val="true"/>
        <sz val="9"/>
        <color rgb="FF595959"/>
        <rFont val="Noto Sans CJK SC"/>
        <family val="2"/>
        <charset val="1"/>
      </rPr>
      <t xml:space="preserve">, HU </t>
    </r>
    <r>
      <rPr>
        <i val="true"/>
        <sz val="9"/>
        <color rgb="FF595959"/>
        <rFont val="WenQuanYi Zen Hei"/>
        <family val="2"/>
      </rPr>
      <t xml:space="preserve">표가 거의 </t>
    </r>
    <r>
      <rPr>
        <i val="true"/>
        <sz val="9"/>
        <color rgb="FF595959"/>
        <rFont val="Noto Sans CJK SC"/>
        <family val="2"/>
        <charset val="1"/>
      </rPr>
      <t xml:space="preserve">UCN</t>
    </r>
    <r>
      <rPr>
        <i val="true"/>
        <sz val="9"/>
        <color rgb="FF595959"/>
        <rFont val="WenQuanYi Zen Hei"/>
        <family val="2"/>
      </rPr>
      <t xml:space="preserve">으로 가고 </t>
    </r>
    <r>
      <rPr>
        <i val="true"/>
        <sz val="9"/>
        <color rgb="FF595959"/>
        <rFont val="Noto Sans CJK SC"/>
        <family val="2"/>
        <charset val="1"/>
      </rPr>
      <t xml:space="preserve">TB</t>
    </r>
    <r>
      <rPr>
        <i val="true"/>
        <sz val="9"/>
        <color rgb="FF595959"/>
        <rFont val="WenQuanYi Zen Hei"/>
        <family val="2"/>
      </rPr>
      <t xml:space="preserve">는 중립을 선언해 표가 갈린다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결과는 약 </t>
    </r>
    <r>
      <rPr>
        <i val="true"/>
        <sz val="9"/>
        <color rgb="FF595959"/>
        <rFont val="Noto Sans CJK SC"/>
        <family val="2"/>
        <charset val="1"/>
      </rPr>
      <t xml:space="preserve">50.8% </t>
    </r>
    <r>
      <rPr>
        <i val="true"/>
        <sz val="9"/>
        <color rgb="FF595959"/>
        <rFont val="WenQuanYi Zen Hei"/>
        <family val="2"/>
      </rPr>
      <t xml:space="preserve">대 </t>
    </r>
    <r>
      <rPr>
        <i val="true"/>
        <sz val="9"/>
        <color rgb="FF595959"/>
        <rFont val="Noto Sans CJK SC"/>
        <family val="2"/>
        <charset val="1"/>
      </rPr>
      <t xml:space="preserve">49.2%</t>
    </r>
    <r>
      <rPr>
        <i val="true"/>
        <sz val="9"/>
        <color rgb="FF595959"/>
        <rFont val="WenQuanYi Zen Hei"/>
        <family val="2"/>
      </rPr>
      <t xml:space="preserve">의 초접전 — 개표 </t>
    </r>
    <r>
      <rPr>
        <i val="true"/>
        <sz val="9"/>
        <color rgb="FF595959"/>
        <rFont val="Noto Sans CJK SC"/>
        <family val="2"/>
        <charset val="1"/>
      </rPr>
      <t xml:space="preserve">90%</t>
    </r>
    <r>
      <rPr>
        <i val="true"/>
        <sz val="9"/>
        <color rgb="FF595959"/>
        <rFont val="WenQuanYi Zen Hei"/>
        <family val="2"/>
      </rPr>
      <t xml:space="preserve">까지 뒤지다 마지막 도시들의 표로 역전하는 </t>
    </r>
    <r>
      <rPr>
        <i val="true"/>
        <sz val="9"/>
        <color rgb="FF595959"/>
        <rFont val="Noto Sans CJK SC"/>
        <family val="2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부 </t>
    </r>
    <r>
      <rPr>
        <i val="true"/>
        <sz val="9"/>
        <color rgb="FF595959"/>
        <rFont val="Noto Sans CJK SC"/>
        <family val="2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화의 긴장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파란 이동률을 바꾸면 결과가 바로 바뀐다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</si>
  <si>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3-C. </t>
    </r>
    <r>
      <rPr>
        <b val="true"/>
        <sz val="10"/>
        <rFont val="WenQuanYi Zen Hei"/>
        <family val="2"/>
      </rPr>
      <t xml:space="preserve">하원 의석 구성과 탄핵 개시 표결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가상</t>
    </r>
    <r>
      <rPr>
        <b val="true"/>
        <sz val="10"/>
        <rFont val="Arial"/>
        <family val="0"/>
        <charset val="1"/>
      </rPr>
      <t xml:space="preserve">, 12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화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</si>
  <si>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정당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블록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</si>
  <si>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의석</t>
  </si>
  <si>
    <t xml:space="preserve">탄핵 개시 표결</t>
  </si>
  <si>
    <t xml:space="preserve">정부 기반</t>
  </si>
  <si>
    <t xml:space="preserve">Sim</t>
  </si>
  <si>
    <t xml:space="preserve">야당</t>
  </si>
  <si>
    <t xml:space="preserve">청구 주도</t>
  </si>
  <si>
    <r>
      <rPr>
        <b val="true"/>
        <sz val="10"/>
        <rFont val="Arial"/>
        <family val="0"/>
        <charset val="1"/>
      </rPr>
      <t xml:space="preserve">PCN </t>
    </r>
    <r>
      <rPr>
        <b val="true"/>
        <sz val="10"/>
        <rFont val="WenQuanYi Zen Hei"/>
        <family val="2"/>
      </rPr>
      <t xml:space="preserve">이탈파</t>
    </r>
  </si>
  <si>
    <t xml:space="preserve">예산 수정 불만</t>
  </si>
  <si>
    <r>
      <rPr>
        <b val="true"/>
        <sz val="10"/>
        <rFont val="Arial"/>
        <family val="0"/>
        <charset val="1"/>
      </rPr>
      <t xml:space="preserve">PCN </t>
    </r>
    <r>
      <rPr>
        <b val="true"/>
        <sz val="10"/>
        <rFont val="WenQuanYi Zen Hei"/>
        <family val="2"/>
      </rPr>
      <t xml:space="preserve">친정부파</t>
    </r>
  </si>
  <si>
    <t xml:space="preserve">Não</t>
  </si>
  <si>
    <t xml:space="preserve">여당</t>
  </si>
  <si>
    <r>
      <rPr>
        <sz val="10"/>
        <rFont val="WenQuanYi Zen Hei"/>
        <family val="2"/>
      </rPr>
      <t xml:space="preserve">장관직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</t>
    </r>
  </si>
  <si>
    <t xml:space="preserve">연립 참여</t>
  </si>
  <si>
    <t xml:space="preserve">대통령당</t>
  </si>
  <si>
    <t xml:space="preserve">TA</t>
  </si>
  <si>
    <t xml:space="preserve">조건부 친여</t>
  </si>
  <si>
    <t xml:space="preserve">TB</t>
  </si>
  <si>
    <t xml:space="preserve">Abst</t>
  </si>
  <si>
    <t xml:space="preserve">중립</t>
  </si>
  <si>
    <t xml:space="preserve">주 부채 재협상 요구</t>
  </si>
  <si>
    <t xml:space="preserve">총 의석</t>
  </si>
  <si>
    <r>
      <rPr>
        <b val="true"/>
        <sz val="10"/>
        <rFont val="WenQuanYi Zen Hei"/>
        <family val="2"/>
      </rPr>
      <t xml:space="preserve">개시 승인 기준 </t>
    </r>
    <r>
      <rPr>
        <b val="true"/>
        <sz val="10"/>
        <rFont val="Noto Sans CJK SC"/>
        <family val="2"/>
        <charset val="1"/>
      </rPr>
      <t xml:space="preserve">(3</t>
    </r>
    <r>
      <rPr>
        <b val="true"/>
        <sz val="10"/>
        <rFont val="WenQuanYi Zen Hei"/>
        <family val="2"/>
      </rPr>
      <t xml:space="preserve">분의 </t>
    </r>
    <r>
      <rPr>
        <b val="true"/>
        <sz val="10"/>
        <rFont val="Noto Sans CJK SC"/>
        <family val="2"/>
        <charset val="1"/>
      </rPr>
      <t xml:space="preserve">2)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</si>
  <si>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86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하원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분의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승인 → 상원 심판</t>
    </r>
  </si>
  <si>
    <r>
      <rPr>
        <b val="true"/>
        <sz val="10"/>
        <rFont val="WenQuanYi Zen Hei"/>
        <family val="2"/>
      </rPr>
      <t xml:space="preserve">찬성 </t>
    </r>
    <r>
      <rPr>
        <b val="true"/>
        <sz val="10"/>
        <rFont val="Noto Sans CJK SC"/>
        <family val="2"/>
        <charset val="1"/>
      </rPr>
      <t xml:space="preserve">(Sim)</t>
    </r>
  </si>
  <si>
    <r>
      <rPr>
        <b val="true"/>
        <sz val="10"/>
        <rFont val="WenQuanYi Zen Hei"/>
        <family val="2"/>
      </rPr>
      <t xml:space="preserve">반대 </t>
    </r>
    <r>
      <rPr>
        <b val="true"/>
        <sz val="10"/>
        <rFont val="Noto Sans CJK SC"/>
        <family val="2"/>
        <charset val="1"/>
      </rPr>
      <t xml:space="preserve">(Não)</t>
    </r>
  </si>
  <si>
    <r>
      <rPr>
        <b val="true"/>
        <sz val="10"/>
        <rFont val="WenQuanYi Zen Hei"/>
        <family val="2"/>
      </rPr>
      <t xml:space="preserve">기권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불참 </t>
    </r>
    <r>
      <rPr>
        <b val="true"/>
        <sz val="10"/>
        <rFont val="Noto Sans CJK SC"/>
        <family val="2"/>
        <charset val="1"/>
      </rPr>
      <t xml:space="preserve">(Abst)</t>
    </r>
  </si>
  <si>
    <r>
      <rPr>
        <sz val="10"/>
        <rFont val="WenQuanYi Zen Hei"/>
        <family val="2"/>
      </rPr>
      <t xml:space="preserve">기권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불참도 승인 기준을 채우지 못하게 하는 효과</t>
    </r>
  </si>
  <si>
    <t xml:space="preserve">정부가 지켜야 할 최소 표</t>
  </si>
  <si>
    <r>
      <rPr>
        <sz val="10"/>
        <rFont val="WenQuanYi Zen Hei"/>
        <family val="2"/>
      </rPr>
      <t xml:space="preserve">반대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불참을 합쳐 이만큼만 지키면 된다</t>
    </r>
  </si>
  <si>
    <t xml:space="preserve">정부 기반 의석</t>
  </si>
  <si>
    <r>
      <rPr>
        <i val="true"/>
        <sz val="9"/>
        <color rgb="FF595959"/>
        <rFont val="WenQuanYi Zen Hei"/>
        <family val="2"/>
      </rPr>
      <t xml:space="preserve">해석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탄핵 개시에는 하원 </t>
    </r>
    <r>
      <rPr>
        <i val="true"/>
        <sz val="9"/>
        <color rgb="FF595959"/>
        <rFont val="Noto Sans CJK SC"/>
        <family val="2"/>
        <charset val="1"/>
      </rPr>
      <t xml:space="preserve">342</t>
    </r>
    <r>
      <rPr>
        <i val="true"/>
        <sz val="9"/>
        <color rgb="FF595959"/>
        <rFont val="WenQuanYi Zen Hei"/>
        <family val="2"/>
      </rPr>
      <t xml:space="preserve">표가 필요한데 찬성은 </t>
    </r>
    <r>
      <rPr>
        <i val="true"/>
        <sz val="9"/>
        <color rgb="FF595959"/>
        <rFont val="Noto Sans CJK SC"/>
        <family val="2"/>
        <charset val="1"/>
      </rPr>
      <t xml:space="preserve">232</t>
    </r>
    <r>
      <rPr>
        <i val="true"/>
        <sz val="9"/>
        <color rgb="FF595959"/>
        <rFont val="WenQuanYi Zen Hei"/>
        <family val="2"/>
      </rPr>
      <t xml:space="preserve">표에 그쳐 부결된다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정부는 </t>
    </r>
    <r>
      <rPr>
        <i val="true"/>
        <sz val="9"/>
        <color rgb="FF595959"/>
        <rFont val="Noto Sans CJK SC"/>
        <family val="2"/>
        <charset val="1"/>
      </rPr>
      <t xml:space="preserve">172</t>
    </r>
    <r>
      <rPr>
        <i val="true"/>
        <sz val="9"/>
        <color rgb="FF595959"/>
        <rFont val="WenQuanYi Zen Hei"/>
        <family val="2"/>
      </rPr>
      <t xml:space="preserve">표만 지키면 되지만</t>
    </r>
    <r>
      <rPr>
        <i val="true"/>
        <sz val="9"/>
        <color rgb="FF595959"/>
        <rFont val="Noto Sans CJK SC"/>
        <family val="2"/>
        <charset val="1"/>
      </rPr>
      <t xml:space="preserve">, PCN </t>
    </r>
    <r>
      <rPr>
        <i val="true"/>
        <sz val="9"/>
        <color rgb="FF595959"/>
        <rFont val="WenQuanYi Zen Hei"/>
        <family val="2"/>
      </rPr>
      <t xml:space="preserve">이탈파가 더 늘고 </t>
    </r>
    <r>
      <rPr>
        <i val="true"/>
        <sz val="9"/>
        <color rgb="FF595959"/>
        <rFont val="Noto Sans CJK SC"/>
        <family val="2"/>
        <charset val="1"/>
      </rPr>
      <t xml:space="preserve">TB</t>
    </r>
    <r>
      <rPr>
        <i val="true"/>
        <sz val="9"/>
        <color rgb="FF595959"/>
        <rFont val="WenQuanYi Zen Hei"/>
        <family val="2"/>
      </rPr>
      <t xml:space="preserve">가 찬성으로 돌아서면 위험해진다는 긴장이 이 화의 서스펜스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정부 기반 </t>
    </r>
    <r>
      <rPr>
        <i val="true"/>
        <sz val="9"/>
        <color rgb="FF595959"/>
        <rFont val="Noto Sans CJK SC"/>
        <family val="2"/>
        <charset val="1"/>
      </rPr>
      <t xml:space="preserve">261</t>
    </r>
    <r>
      <rPr>
        <i val="true"/>
        <sz val="9"/>
        <color rgb="FF595959"/>
        <rFont val="WenQuanYi Zen Hei"/>
        <family val="2"/>
      </rPr>
      <t xml:space="preserve">석은 법안 과반은 되지만 개헌</t>
    </r>
    <r>
      <rPr>
        <i val="true"/>
        <sz val="9"/>
        <color rgb="FF595959"/>
        <rFont val="Noto Sans CJK SC"/>
        <family val="2"/>
        <charset val="1"/>
      </rPr>
      <t xml:space="preserve">(5</t>
    </r>
    <r>
      <rPr>
        <i val="true"/>
        <sz val="9"/>
        <color rgb="FF595959"/>
        <rFont val="WenQuanYi Zen Hei"/>
        <family val="2"/>
      </rPr>
      <t xml:space="preserve">분의 </t>
    </r>
    <r>
      <rPr>
        <i val="true"/>
        <sz val="9"/>
        <color rgb="FF595959"/>
        <rFont val="Noto Sans CJK SC"/>
        <family val="2"/>
        <charset val="1"/>
      </rPr>
      <t xml:space="preserve">3)</t>
    </r>
    <r>
      <rPr>
        <i val="true"/>
        <sz val="9"/>
        <color rgb="FF595959"/>
        <rFont val="WenQuanYi Zen Hei"/>
        <family val="2"/>
      </rPr>
      <t xml:space="preserve">에는 모자라 </t>
    </r>
    <r>
      <rPr>
        <i val="true"/>
        <sz val="9"/>
        <color rgb="FF595959"/>
        <rFont val="Noto Sans CJK SC"/>
        <family val="2"/>
        <charset val="1"/>
      </rPr>
      <t xml:space="preserve">11</t>
    </r>
    <r>
      <rPr>
        <i val="true"/>
        <sz val="9"/>
        <color rgb="FF595959"/>
        <rFont val="WenQuanYi Zen Hei"/>
        <family val="2"/>
      </rPr>
      <t xml:space="preserve">부의 주거 개헌 대신 법률 개정을 택하는 이유가 된다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브라질에는 불신임 투표가 없다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</si>
  <si>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이야기 속 엑스트라 화자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전부 가상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</si>
  <si>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PRESIDENTE DO TSE(</t>
    </r>
    <r>
      <rPr>
        <sz val="10"/>
        <rFont val="WenQuanYi Zen Hei"/>
        <family val="2"/>
      </rPr>
      <t xml:space="preserve">개표 결과 발표</t>
    </r>
    <r>
      <rPr>
        <sz val="10"/>
        <rFont val="Arial"/>
        <family val="0"/>
        <charset val="1"/>
      </rPr>
      <t xml:space="preserve">), PRESIDENTE DA CÂMARA(</t>
    </r>
    <r>
      <rPr>
        <sz val="10"/>
        <rFont val="WenQuanYi Zen Hei"/>
        <family val="2"/>
      </rPr>
      <t xml:space="preserve">탄핵 표결 결과 낭독</t>
    </r>
    <r>
      <rPr>
        <sz val="10"/>
        <rFont val="Arial"/>
        <family val="0"/>
        <charset val="1"/>
      </rPr>
      <t xml:space="preserve">), PRESIDENTE DO CONGRESSO(</t>
    </r>
    <r>
      <rPr>
        <sz val="10"/>
        <rFont val="WenQuanYi Zen Hei"/>
        <family val="2"/>
      </rPr>
      <t xml:space="preserve">취임 선서 진행</t>
    </r>
    <r>
      <rPr>
        <sz val="10"/>
        <rFont val="Arial"/>
        <family val="0"/>
        <charset val="1"/>
      </rPr>
      <t xml:space="preserve">), CANDIDATO DA UCN(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PREFEITO(UCN, 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PRESIDENTE EM FIM DE MANDATO(UCN, </t>
    </r>
    <r>
      <rPr>
        <sz val="10"/>
        <rFont val="WenQuanYi Zen Hei"/>
        <family val="2"/>
      </rPr>
      <t xml:space="preserve">가상 — 휘장 이양</t>
    </r>
    <r>
      <rPr>
        <sz val="10"/>
        <rFont val="Arial"/>
        <family val="0"/>
        <charset val="1"/>
      </rPr>
      <t xml:space="preserve">), MEDIADORA(TV </t>
    </r>
    <r>
      <rPr>
        <sz val="10"/>
        <rFont val="WenQuanYi Zen Hei"/>
        <family val="2"/>
      </rPr>
      <t xml:space="preserve">토론</t>
    </r>
    <r>
      <rPr>
        <sz val="10"/>
        <rFont val="Arial"/>
        <family val="0"/>
        <charset val="1"/>
      </rPr>
      <t xml:space="preserve">), TABELIÃ(13</t>
    </r>
    <r>
      <rPr>
        <sz val="10"/>
        <rFont val="WenQuanYi Zen Hei"/>
        <family val="2"/>
      </rPr>
      <t xml:space="preserve">부 유언장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실존 정치인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정당명은 쓰지 않는다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</si>
  <si>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호칭 규칙 </t>
    </r>
    <r>
      <rPr>
        <b val="true"/>
        <sz val="14"/>
        <color rgb="FF1F3864"/>
        <rFont val="Noto Sans CJK SC"/>
        <family val="2"/>
        <charset val="1"/>
      </rPr>
      <t xml:space="preserve">(você / o senhor·a senhora / vocês / os senhores)</t>
    </r>
  </si>
  <si>
    <r>
      <rPr>
        <i val="true"/>
        <sz val="9"/>
        <color rgb="FF595959"/>
        <rFont val="WenQuanYi Zen Hei"/>
        <family val="2"/>
      </rPr>
      <t xml:space="preserve">브라질 포르투갈어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상파울루</t>
    </r>
    <r>
      <rPr>
        <i val="true"/>
        <sz val="9"/>
        <color rgb="FF595959"/>
        <rFont val="Noto Sans CJK SC"/>
        <family val="2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기준</t>
    </r>
    <r>
      <rPr>
        <i val="true"/>
        <sz val="9"/>
        <color rgb="FF595959"/>
        <rFont val="Noto Sans CJK SC"/>
        <family val="2"/>
        <charset val="1"/>
      </rPr>
      <t xml:space="preserve">. tu</t>
    </r>
    <r>
      <rPr>
        <i val="true"/>
        <sz val="9"/>
        <color rgb="FF595959"/>
        <rFont val="WenQuanYi Zen Hei"/>
        <family val="2"/>
      </rPr>
      <t xml:space="preserve">는 쓰지 않는다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남부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북동부 일부 지역어</t>
    </r>
    <r>
      <rPr>
        <i val="true"/>
        <sz val="9"/>
        <color rgb="FF595959"/>
        <rFont val="Noto Sans CJK SC"/>
        <family val="2"/>
        <charset val="1"/>
      </rPr>
      <t xml:space="preserve">). vós</t>
    </r>
    <r>
      <rPr>
        <i val="true"/>
        <sz val="9"/>
        <color rgb="FF595959"/>
        <rFont val="WenQuanYi Zen Hei"/>
        <family val="2"/>
      </rPr>
      <t xml:space="preserve">는 </t>
    </r>
    <r>
      <rPr>
        <i val="true"/>
        <sz val="9"/>
        <color rgb="FF595959"/>
        <rFont val="Noto Sans CJK SC"/>
        <family val="2"/>
        <charset val="1"/>
      </rPr>
      <t xml:space="preserve">Dom Pedro</t>
    </r>
    <r>
      <rPr>
        <i val="true"/>
        <sz val="9"/>
        <color rgb="FF595959"/>
        <rFont val="WenQuanYi Zen Hei"/>
        <family val="2"/>
      </rPr>
      <t xml:space="preserve">의 연설 인용과 전례문에만</t>
    </r>
    <r>
      <rPr>
        <i val="true"/>
        <sz val="9"/>
        <color rgb="FF595959"/>
        <rFont val="Noto Sans CJK SC"/>
        <family val="2"/>
        <charset val="1"/>
      </rPr>
      <t xml:space="preserve">. 2~5</t>
    </r>
    <r>
      <rPr>
        <i val="true"/>
        <sz val="9"/>
        <color rgb="FF595959"/>
        <rFont val="WenQuanYi Zen Hei"/>
        <family val="2"/>
      </rPr>
      <t xml:space="preserve">부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사무소 프레임 장면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은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부와 같은 규칙을 따른다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</si>
  <si>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화자 → 청자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</si>
  <si>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현재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</si>
  <si>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2~5</t>
    </r>
    <r>
      <rPr>
        <b val="true"/>
        <sz val="10"/>
        <color rgb="FFFFFFFF"/>
        <rFont val="WenQuanYi Zen Hei"/>
        <family val="2"/>
      </rPr>
      <t xml:space="preserve">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각자의 과거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</si>
  <si>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부 이후</t>
    </r>
  </si>
  <si>
    <r>
      <rPr>
        <b val="true"/>
        <sz val="10"/>
        <rFont val="WenQuanYi Zen Hei"/>
        <family val="2"/>
      </rPr>
      <t xml:space="preserve">주력 </t>
    </r>
    <r>
      <rPr>
        <b val="true"/>
        <sz val="10"/>
        <rFont val="Noto Sans CJK SC"/>
        <family val="2"/>
        <charset val="1"/>
      </rPr>
      <t xml:space="preserve">4</t>
    </r>
    <r>
      <rPr>
        <b val="true"/>
        <sz val="10"/>
        <rFont val="WenQuanYi Zen Hei"/>
        <family val="2"/>
      </rPr>
      <t xml:space="preserve">인 상호</t>
    </r>
  </si>
  <si>
    <t xml:space="preserve">você</t>
  </si>
  <si>
    <r>
      <rPr>
        <sz val="10"/>
        <rFont val="Arial"/>
        <family val="0"/>
        <charset val="1"/>
      </rPr>
      <t xml:space="preserve">o senhor / a senhora (</t>
    </r>
    <r>
      <rPr>
        <sz val="10"/>
        <rFont val="WenQuanYi Zen Hei"/>
        <family val="2"/>
      </rPr>
      <t xml:space="preserve">만나기 전이라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</si>
  <si>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만남을 기점으로 전환 — 전환 순간을 대사로 드러낼 것</t>
    </r>
  </si>
  <si>
    <r>
      <rPr>
        <b val="true"/>
        <sz val="10"/>
        <rFont val="WenQuanYi Zen Hei"/>
        <family val="2"/>
      </rPr>
      <t xml:space="preserve">주력 </t>
    </r>
    <r>
      <rPr>
        <b val="true"/>
        <sz val="10"/>
        <rFont val="Noto Sans CJK SC"/>
        <family val="2"/>
        <charset val="1"/>
      </rPr>
      <t xml:space="preserve">4</t>
    </r>
    <r>
      <rPr>
        <b val="true"/>
        <sz val="10"/>
        <rFont val="WenQuanYi Zen Hei"/>
        <family val="2"/>
      </rPr>
      <t xml:space="preserve">인 → </t>
    </r>
    <r>
      <rPr>
        <b val="true"/>
        <sz val="10"/>
        <rFont val="Noto Sans CJK SC"/>
        <family val="2"/>
        <charset val="1"/>
      </rPr>
      <t xml:space="preserve">Larissa</t>
    </r>
  </si>
  <si>
    <r>
      <rPr>
        <sz val="10"/>
        <rFont val="Arial"/>
        <family val="0"/>
        <charset val="1"/>
      </rPr>
      <t xml:space="preserve">você (</t>
    </r>
    <r>
      <rPr>
        <sz val="10"/>
        <rFont val="WenQuanYi Zen Hei"/>
        <family val="2"/>
      </rPr>
      <t xml:space="preserve">프레임 장면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</si>
  <si>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Larissa → </t>
    </r>
    <r>
      <rPr>
        <b val="true"/>
        <sz val="10"/>
        <rFont val="WenQuanYi Zen Hei"/>
        <family val="2"/>
      </rPr>
      <t xml:space="preserve">주력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인</t>
    </r>
  </si>
  <si>
    <t xml:space="preserve">o senhor / a senhora</t>
  </si>
  <si>
    <r>
      <rPr>
        <sz val="10"/>
        <rFont val="Arial"/>
        <family val="0"/>
        <charset val="1"/>
      </rPr>
      <t xml:space="preserve">o senhor / a senhora (</t>
    </r>
    <r>
      <rPr>
        <sz val="10"/>
        <rFont val="WenQuanYi Zen Hei"/>
        <family val="2"/>
      </rPr>
      <t xml:space="preserve">프레임 장면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</si>
  <si>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você (</t>
    </r>
    <r>
      <rPr>
        <sz val="10"/>
        <rFont val="WenQuanYi Zen Hei"/>
        <family val="2"/>
      </rPr>
      <t xml:space="preserve">제안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</si>
  <si>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부에서는 이웃 사이라 </t>
    </r>
    <r>
      <rPr>
        <sz val="10"/>
        <rFont val="Arial"/>
        <family val="0"/>
        <charset val="1"/>
      </rPr>
      <t xml:space="preserve">você, </t>
    </r>
    <r>
      <rPr>
        <sz val="10"/>
        <rFont val="WenQuanYi Zen Hei"/>
        <family val="2"/>
      </rPr>
      <t xml:space="preserve">인턴이 되면서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 o senhor/a senhora</t>
    </r>
    <r>
      <rPr>
        <sz val="10"/>
        <rFont val="WenQuanYi Zen Hei"/>
        <family val="2"/>
      </rPr>
      <t xml:space="preserve">로 바뀐다 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대본에서 </t>
    </r>
    <r>
      <rPr>
        <sz val="10"/>
        <rFont val="Arial"/>
        <family val="0"/>
        <charset val="1"/>
      </rPr>
      <t xml:space="preserve">«No Brás você me chamava de você.»</t>
    </r>
    <r>
      <rPr>
        <sz val="10"/>
        <rFont val="WenQuanYi Zen Hei"/>
        <family val="2"/>
      </rPr>
      <t xml:space="preserve">로 대사 설명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이후 </t>
    </r>
    <r>
      <rPr>
        <sz val="10"/>
        <rFont val="Arial"/>
        <family val="0"/>
        <charset val="1"/>
      </rPr>
      <t xml:space="preserve">você</t>
    </r>
    <r>
      <rPr>
        <sz val="10"/>
        <rFont val="WenQuanYi Zen Hei"/>
        <family val="2"/>
      </rPr>
      <t xml:space="preserve">로 돌아갈 시점은 미확정</t>
    </r>
  </si>
  <si>
    <t xml:space="preserve">Larissa → Dom Pedro</t>
  </si>
  <si>
    <t xml:space="preserve">o senhor</t>
  </si>
  <si>
    <r>
      <rPr>
        <sz val="10"/>
        <rFont val="Arial"/>
        <family val="0"/>
        <charset val="1"/>
      </rPr>
      <t xml:space="preserve">o senhor </t>
    </r>
    <r>
      <rPr>
        <sz val="10"/>
        <rFont val="WenQuanYi Zen Hei"/>
        <family val="2"/>
      </rPr>
      <t xml:space="preserve">유지 →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조사에서 처음 </t>
    </r>
    <r>
      <rPr>
        <sz val="10"/>
        <rFont val="Arial"/>
        <family val="0"/>
        <charset val="1"/>
      </rPr>
      <t xml:space="preserve">você</t>
    </r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</si>
  <si>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는 농담 반으로 </t>
    </r>
    <r>
      <rPr>
        <sz val="10"/>
        <rFont val="Arial"/>
        <family val="0"/>
        <charset val="1"/>
      </rPr>
      <t xml:space="preserve">'Vossa Majestade'</t>
    </r>
    <r>
      <rPr>
        <sz val="10"/>
        <rFont val="WenQuanYi Zen Hei"/>
        <family val="2"/>
      </rPr>
      <t xml:space="preserve">를 요구하고</t>
    </r>
    <r>
      <rPr>
        <sz val="10"/>
        <rFont val="Arial"/>
        <family val="0"/>
        <charset val="1"/>
      </rPr>
      <t xml:space="preserve">, 7</t>
    </r>
    <r>
      <rPr>
        <sz val="10"/>
        <rFont val="WenQuanYi Zen Hei"/>
        <family val="2"/>
      </rPr>
      <t xml:space="preserve">부에서 </t>
    </r>
    <r>
      <rPr>
        <sz val="10"/>
        <rFont val="Arial"/>
        <family val="0"/>
        <charset val="1"/>
      </rPr>
      <t xml:space="preserve">«Pode me chamar de você.»</t>
    </r>
    <r>
      <rPr>
        <sz val="10"/>
        <rFont val="WenQuanYi Zen Hei"/>
        <family val="2"/>
      </rPr>
      <t xml:space="preserve">라고 허락해도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는 습관 때문에 끝내 </t>
    </r>
    <r>
      <rPr>
        <sz val="10"/>
        <rFont val="Arial"/>
        <family val="0"/>
        <charset val="1"/>
      </rPr>
      <t xml:space="preserve">'o senhor'. </t>
    </r>
    <r>
      <rPr>
        <sz val="10"/>
        <rFont val="WenQuanYi Zen Hei"/>
        <family val="2"/>
      </rPr>
      <t xml:space="preserve">폭발 중에도 </t>
    </r>
    <r>
      <rPr>
        <sz val="10"/>
        <rFont val="Arial"/>
        <family val="0"/>
        <charset val="1"/>
      </rPr>
      <t xml:space="preserve">o senhor 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«O senhor, justo o senhor, não me chame de mentecapta!»). </t>
    </r>
    <r>
      <rPr>
        <sz val="10"/>
        <rFont val="WenQuanYi Zen Hei"/>
        <family val="2"/>
      </rPr>
      <t xml:space="preserve">폭발 중 </t>
    </r>
    <r>
      <rPr>
        <sz val="10"/>
        <rFont val="Arial"/>
        <family val="0"/>
        <charset val="1"/>
      </rPr>
      <t xml:space="preserve">você </t>
    </r>
    <r>
      <rPr>
        <sz val="10"/>
        <rFont val="WenQuanYi Zen Hei"/>
        <family val="2"/>
      </rPr>
      <t xml:space="preserve">실수 금지 — 장례식 전환의 복선</t>
    </r>
    <r>
      <rPr>
        <sz val="10"/>
        <rFont val="Arial"/>
        <family val="0"/>
        <charset val="1"/>
      </rPr>
      <t xml:space="preserve">.</t>
    </r>
  </si>
  <si>
    <t xml:space="preserve">Larissa → Zumbi, Sérgio, Freire</t>
  </si>
  <si>
    <t xml:space="preserve">해당 없음</t>
  </si>
  <si>
    <r>
      <rPr>
        <sz val="10"/>
        <rFont val="Arial"/>
        <family val="0"/>
        <charset val="1"/>
      </rPr>
      <t xml:space="preserve">o senhor (</t>
    </r>
    <r>
      <rPr>
        <sz val="10"/>
        <rFont val="WenQuanYi Zen Hei"/>
        <family val="2"/>
      </rPr>
      <t xml:space="preserve">전환 시점 미정</t>
    </r>
    <r>
      <rPr>
        <sz val="10"/>
        <rFont val="Arial"/>
        <family val="0"/>
        <charset val="1"/>
      </rPr>
      <t xml:space="preserve">)</t>
    </r>
  </si>
  <si>
    <t xml:space="preserve">Dom Pedro → Larissa</t>
  </si>
  <si>
    <t xml:space="preserve">você («menina»)</t>
  </si>
  <si>
    <r>
      <rPr>
        <sz val="10"/>
        <rFont val="WenQuanYi Zen Hei"/>
        <family val="2"/>
      </rPr>
      <t xml:space="preserve">처음부터 </t>
    </r>
    <r>
      <rPr>
        <sz val="10"/>
        <rFont val="Noto Sans CJK SC"/>
        <family val="2"/>
        <charset val="1"/>
      </rPr>
      <t xml:space="preserve">você — </t>
    </r>
    <r>
      <rPr>
        <sz val="10"/>
        <rFont val="WenQuanYi Zen Hei"/>
        <family val="2"/>
      </rPr>
      <t xml:space="preserve">욕</t>
    </r>
    <r>
      <rPr>
        <sz val="10"/>
        <rFont val="Noto Sans CJK SC"/>
        <family val="2"/>
        <charset val="1"/>
      </rPr>
      <t xml:space="preserve">(mentecapta)</t>
    </r>
    <r>
      <rPr>
        <sz val="10"/>
        <rFont val="WenQuanYi Zen Hei"/>
        <family val="2"/>
      </rPr>
      <t xml:space="preserve">도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에게만</t>
    </r>
  </si>
  <si>
    <r>
      <rPr>
        <b val="true"/>
        <sz val="10"/>
        <rFont val="Arial"/>
        <family val="0"/>
        <charset val="1"/>
      </rPr>
      <t xml:space="preserve">Dom Pedro → </t>
    </r>
    <r>
      <rPr>
        <b val="true"/>
        <sz val="10"/>
        <rFont val="WenQuanYi Zen Hei"/>
        <family val="2"/>
      </rPr>
      <t xml:space="preserve">여럿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집단</t>
    </r>
    <r>
      <rPr>
        <b val="true"/>
        <sz val="10"/>
        <rFont val="Arial"/>
        <family val="0"/>
        <charset val="1"/>
      </rPr>
      <t xml:space="preserve">)</t>
    </r>
  </si>
  <si>
    <t xml:space="preserve">os senhores / as senhoras</t>
  </si>
  <si>
    <t xml:space="preserve">os senhores</t>
  </si>
  <si>
    <r>
      <rPr>
        <sz val="10"/>
        <rFont val="WenQuanYi Zen Hei"/>
        <family val="2"/>
      </rPr>
      <t xml:space="preserve">사무소 안에서도 일부러 거리를 두는 궁정식 심술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다른 인물의 </t>
    </r>
    <r>
      <rPr>
        <sz val="10"/>
        <rFont val="Noto Sans CJK SC"/>
        <family val="2"/>
        <charset val="1"/>
      </rPr>
      <t xml:space="preserve">vocês</t>
    </r>
    <r>
      <rPr>
        <sz val="10"/>
        <rFont val="WenQuanYi Zen Hei"/>
        <family val="2"/>
      </rPr>
      <t xml:space="preserve">와 비교 학습</t>
    </r>
  </si>
  <si>
    <r>
      <rPr>
        <b val="true"/>
        <sz val="10"/>
        <rFont val="Arial"/>
        <family val="0"/>
        <charset val="1"/>
      </rPr>
      <t xml:space="preserve">Dom Pedro → </t>
    </r>
    <r>
      <rPr>
        <b val="true"/>
        <sz val="10"/>
        <rFont val="WenQuanYi Zen Hei"/>
        <family val="2"/>
      </rPr>
      <t xml:space="preserve">개인 </t>
    </r>
    <r>
      <rPr>
        <b val="true"/>
        <sz val="10"/>
        <rFont val="Arial"/>
        <family val="0"/>
        <charset val="1"/>
      </rPr>
      <t xml:space="preserve">(Larissa </t>
    </r>
    <r>
      <rPr>
        <b val="true"/>
        <sz val="10"/>
        <rFont val="WenQuanYi Zen Hei"/>
        <family val="2"/>
      </rPr>
      <t xml:space="preserve">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</si>
  <si>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소수에게만 </t>
    </r>
    <r>
      <rPr>
        <sz val="10"/>
        <rFont val="Noto Sans CJK SC"/>
        <family val="2"/>
        <charset val="1"/>
      </rPr>
      <t xml:space="preserve">você</t>
    </r>
  </si>
  <si>
    <r>
      <rPr>
        <b val="true"/>
        <sz val="10"/>
        <rFont val="Arial"/>
        <family val="0"/>
        <charset val="1"/>
      </rPr>
      <t xml:space="preserve">Zumbi → </t>
    </r>
    <r>
      <rPr>
        <b val="true"/>
        <sz val="10"/>
        <rFont val="WenQuanYi Zen Hei"/>
        <family val="2"/>
      </rPr>
      <t xml:space="preserve">후배들</t>
    </r>
  </si>
  <si>
    <r>
      <rPr>
        <sz val="10"/>
        <rFont val="Arial"/>
        <family val="0"/>
        <charset val="1"/>
      </rPr>
      <t xml:space="preserve">você (</t>
    </r>
    <r>
      <rPr>
        <sz val="10"/>
        <rFont val="WenQuanYi Zen Hei"/>
        <family val="2"/>
      </rPr>
      <t xml:space="preserve">명령조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</si>
  <si>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você / o senhor </t>
    </r>
    <r>
      <rPr>
        <sz val="10"/>
        <rFont val="WenQuanYi Zen Hei"/>
        <family val="2"/>
      </rPr>
      <t xml:space="preserve">혼용</t>
    </r>
  </si>
  <si>
    <r>
      <rPr>
        <sz val="10"/>
        <rFont val="WenQuanYi Zen Hei"/>
        <family val="2"/>
      </rPr>
      <t xml:space="preserve">정치 무대에서는 </t>
    </r>
    <r>
      <rPr>
        <sz val="10"/>
        <rFont val="Noto Sans CJK SC"/>
        <family val="2"/>
        <charset val="1"/>
      </rPr>
      <t xml:space="preserve">o senhor</t>
    </r>
  </si>
  <si>
    <r>
      <rPr>
        <b val="true"/>
        <sz val="10"/>
        <rFont val="Arial"/>
        <family val="0"/>
        <charset val="1"/>
      </rPr>
      <t xml:space="preserve">Freire → </t>
    </r>
    <r>
      <rPr>
        <b val="true"/>
        <sz val="10"/>
        <rFont val="WenQuanYi Zen Hei"/>
        <family val="2"/>
      </rPr>
      <t xml:space="preserve">전원</t>
    </r>
  </si>
  <si>
    <r>
      <rPr>
        <sz val="10"/>
        <rFont val="WenQuanYi Zen Hei"/>
        <family val="2"/>
      </rPr>
      <t xml:space="preserve">모두에게 </t>
    </r>
    <r>
      <rPr>
        <sz val="10"/>
        <rFont val="Noto Sans CJK SC"/>
        <family val="2"/>
        <charset val="1"/>
      </rPr>
      <t xml:space="preserve">você — </t>
    </r>
    <r>
      <rPr>
        <sz val="10"/>
        <rFont val="WenQuanYi Zen Hei"/>
        <family val="2"/>
      </rPr>
      <t xml:space="preserve">교사가 학생에게 말하듯 다정하지만 답은 주지 않는다</t>
    </r>
    <r>
      <rPr>
        <sz val="10"/>
        <rFont val="Noto Sans CJK SC"/>
        <family val="2"/>
        <charset val="1"/>
      </rPr>
      <t xml:space="preserve">. «Procure você.»</t>
    </r>
  </si>
  <si>
    <r>
      <rPr>
        <b val="true"/>
        <sz val="10"/>
        <rFont val="Arial"/>
        <family val="0"/>
        <charset val="1"/>
      </rPr>
      <t xml:space="preserve">Marta, Edson → </t>
    </r>
    <r>
      <rPr>
        <b val="true"/>
        <sz val="10"/>
        <rFont val="WenQuanYi Zen Hei"/>
        <family val="2"/>
      </rPr>
      <t xml:space="preserve">전원</t>
    </r>
  </si>
  <si>
    <r>
      <rPr>
        <sz val="10"/>
        <rFont val="Arial"/>
        <family val="0"/>
        <charset val="1"/>
      </rPr>
      <t xml:space="preserve">Marta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'meu filho/minha filha', Edson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'companheiro'</t>
    </r>
  </si>
  <si>
    <r>
      <rPr>
        <b val="true"/>
        <sz val="10"/>
        <rFont val="Arial"/>
        <family val="0"/>
        <charset val="1"/>
      </rPr>
      <t xml:space="preserve">Dumont → </t>
    </r>
    <r>
      <rPr>
        <b val="true"/>
        <sz val="10"/>
        <rFont val="WenQuanYi Zen Hei"/>
        <family val="2"/>
      </rPr>
      <t xml:space="preserve">취재 대상</t>
    </r>
  </si>
  <si>
    <r>
      <rPr>
        <sz val="10"/>
        <rFont val="Arial"/>
        <family val="0"/>
        <charset val="1"/>
      </rPr>
      <t xml:space="preserve">o senhor / a senhora (</t>
    </r>
    <r>
      <rPr>
        <sz val="10"/>
        <rFont val="WenQuanYi Zen Hei"/>
        <family val="2"/>
      </rPr>
      <t xml:space="preserve">취재 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</si>
  <si>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친해지면 </t>
    </r>
    <r>
      <rPr>
        <sz val="10"/>
        <rFont val="Noto Sans CJK SC"/>
        <family val="2"/>
        <charset val="1"/>
      </rPr>
      <t xml:space="preserve">você</t>
    </r>
  </si>
  <si>
    <r>
      <rPr>
        <b val="true"/>
        <sz val="10"/>
        <rFont val="WenQuanYi Zen Hei"/>
        <family val="2"/>
      </rPr>
      <t xml:space="preserve">집단 대화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사무소 안</t>
    </r>
    <r>
      <rPr>
        <b val="true"/>
        <sz val="10"/>
        <rFont val="Noto Sans CJK SC"/>
        <family val="2"/>
        <charset val="1"/>
      </rPr>
      <t xml:space="preserve">)</t>
    </r>
  </si>
  <si>
    <t xml:space="preserve">vocês</t>
  </si>
  <si>
    <r>
      <rPr>
        <sz val="10"/>
        <rFont val="WenQuanYi Zen Hei"/>
        <family val="2"/>
      </rPr>
      <t xml:space="preserve">예</t>
    </r>
    <r>
      <rPr>
        <sz val="10"/>
        <rFont val="Noto Sans CJK SC"/>
        <family val="2"/>
        <charset val="1"/>
      </rPr>
      <t xml:space="preserve">: «Sentem aí, que eu trago alguma coisa.» (</t>
    </r>
    <r>
      <rPr>
        <sz val="10"/>
        <rFont val="WenQuanYi Zen Hei"/>
        <family val="2"/>
      </rPr>
      <t xml:space="preserve">브라질에는 </t>
    </r>
    <r>
      <rPr>
        <sz val="10"/>
        <rFont val="Noto Sans CJK SC"/>
        <family val="2"/>
        <charset val="1"/>
      </rPr>
      <t xml:space="preserve">vosotros </t>
    </r>
    <r>
      <rPr>
        <sz val="10"/>
        <rFont val="WenQuanYi Zen Hei"/>
        <family val="2"/>
      </rPr>
      <t xml:space="preserve">같은 친근 복수형이 없어 </t>
    </r>
    <r>
      <rPr>
        <sz val="10"/>
        <rFont val="Noto Sans CJK SC"/>
        <family val="2"/>
        <charset val="1"/>
      </rPr>
      <t xml:space="preserve">vocês </t>
    </r>
    <r>
      <rPr>
        <sz val="10"/>
        <rFont val="WenQuanYi Zen Hei"/>
        <family val="2"/>
      </rPr>
      <t xml:space="preserve">하나로 통한다</t>
    </r>
    <r>
      <rPr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</si>
  <si>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공식 연설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의회</t>
    </r>
  </si>
  <si>
    <t xml:space="preserve">os senhores / Vossas Excelências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</si>
  <si>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이후 대중 연설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 이후 시의회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하원 토론</t>
    </r>
  </si>
  <si>
    <r>
      <rPr>
        <b val="true"/>
        <sz val="10"/>
        <rFont val="WenQuanYi Zen Hei"/>
        <family val="2"/>
      </rPr>
      <t xml:space="preserve">연방의회 </t>
    </r>
    <r>
      <rPr>
        <b val="true"/>
        <sz val="10"/>
        <rFont val="Noto Sans CJK SC"/>
        <family val="2"/>
        <charset val="1"/>
      </rPr>
      <t xml:space="preserve">(Congresso)</t>
    </r>
  </si>
  <si>
    <t xml:space="preserve">«Senhor Presidente», «Vossa Excelência», «nobre deputado(a)», «senhora ministra»</t>
  </si>
  <si>
    <r>
      <rPr>
        <sz val="10"/>
        <rFont val="WenQuanYi Zen Hei"/>
        <family val="2"/>
      </rPr>
      <t xml:space="preserve">의원들은 서로를 </t>
    </r>
    <r>
      <rPr>
        <sz val="10"/>
        <rFont val="Noto Sans CJK SC"/>
        <family val="2"/>
        <charset val="1"/>
      </rPr>
      <t xml:space="preserve">«Vossa Excelência», </t>
    </r>
    <r>
      <rPr>
        <sz val="10"/>
        <rFont val="WenQuanYi Zen Hei"/>
        <family val="2"/>
      </rPr>
      <t xml:space="preserve">대통령은 </t>
    </r>
    <r>
      <rPr>
        <sz val="10"/>
        <rFont val="Noto Sans CJK SC"/>
        <family val="2"/>
        <charset val="1"/>
      </rPr>
      <t xml:space="preserve">«Senhor Presidente da República»</t>
    </r>
    <r>
      <rPr>
        <sz val="10"/>
        <rFont val="WenQuanYi Zen Hei"/>
        <family val="2"/>
      </rPr>
      <t xml:space="preserve">로 부른다</t>
    </r>
  </si>
  <si>
    <r>
      <rPr>
        <b val="true"/>
        <sz val="10"/>
        <rFont val="WenQuanYi Zen Hei"/>
        <family val="2"/>
      </rPr>
      <t xml:space="preserve">시의회 </t>
    </r>
    <r>
      <rPr>
        <b val="true"/>
        <sz val="10"/>
        <rFont val="Noto Sans CJK SC"/>
        <family val="2"/>
        <charset val="1"/>
      </rPr>
      <t xml:space="preserve">(Câmara Municipal)</t>
    </r>
  </si>
  <si>
    <r>
      <rPr>
        <sz val="10"/>
        <rFont val="Arial"/>
        <family val="0"/>
        <charset val="1"/>
      </rPr>
      <t xml:space="preserve">«Senhor Presidente» (</t>
    </r>
    <r>
      <rPr>
        <sz val="10"/>
        <rFont val="WenQuanYi Zen Hei"/>
        <family val="2"/>
      </rPr>
      <t xml:space="preserve">시의회 의장</t>
    </r>
    <r>
      <rPr>
        <sz val="10"/>
        <rFont val="Arial"/>
        <family val="0"/>
        <charset val="1"/>
      </rPr>
      <t xml:space="preserve">), «nobre vereador(a)», «Senhor Prefeito»</t>
    </r>
  </si>
  <si>
    <r>
      <rPr>
        <sz val="10"/>
        <rFont val="WenQuanYi Zen Hei"/>
        <family val="2"/>
      </rPr>
      <t xml:space="preserve">발언은 </t>
    </r>
    <r>
      <rPr>
        <sz val="10"/>
        <rFont val="Noto Sans CJK SC"/>
        <family val="2"/>
        <charset val="1"/>
      </rPr>
      <t xml:space="preserve">Vossa Excelência, </t>
    </r>
    <r>
      <rPr>
        <sz val="10"/>
        <rFont val="WenQuanYi Zen Hei"/>
        <family val="2"/>
      </rPr>
      <t xml:space="preserve">회의 밖 동료끼리는 </t>
    </r>
    <r>
      <rPr>
        <sz val="10"/>
        <rFont val="Noto Sans CJK SC"/>
        <family val="2"/>
        <charset val="1"/>
      </rPr>
      <t xml:space="preserve">você</t>
    </r>
    <r>
      <rPr>
        <sz val="10"/>
        <rFont val="WenQuanYi Zen Hei"/>
        <family val="2"/>
      </rPr>
      <t xml:space="preserve">로 돌아간다</t>
    </r>
  </si>
  <si>
    <t xml:space="preserve">대통령</t>
  </si>
  <si>
    <t xml:space="preserve">«Senhor Presidente» / «Vossa Excelência»</t>
  </si>
  <si>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이 대통령이 된 뒤에도 </t>
    </r>
    <r>
      <rPr>
        <sz val="10"/>
        <rFont val="Noto Sans CJK SC"/>
        <family val="2"/>
        <charset val="1"/>
      </rPr>
      <t xml:space="preserve">Marta</t>
    </r>
    <r>
      <rPr>
        <sz val="10"/>
        <rFont val="WenQuanYi Zen Hei"/>
        <family val="2"/>
      </rPr>
      <t xml:space="preserve">는 </t>
    </r>
    <r>
      <rPr>
        <sz val="10"/>
        <rFont val="Noto Sans CJK SC"/>
        <family val="2"/>
        <charset val="1"/>
      </rPr>
      <t xml:space="preserve">'meu filho', Dom Pedro</t>
    </r>
    <r>
      <rPr>
        <sz val="10"/>
        <rFont val="WenQuanYi Zen Hei"/>
        <family val="2"/>
      </rPr>
      <t xml:space="preserve">는 끝내 </t>
    </r>
    <r>
      <rPr>
        <sz val="10"/>
        <rFont val="Noto Sans CJK SC"/>
        <family val="2"/>
        <charset val="1"/>
      </rPr>
      <t xml:space="preserve">'o senhor'. </t>
    </r>
    <r>
      <rPr>
        <sz val="10"/>
        <rFont val="WenQuanYi Zen Hei"/>
        <family val="2"/>
      </rPr>
      <t xml:space="preserve">호칭의 변화와 불변을 대비한다</t>
    </r>
  </si>
  <si>
    <r>
      <rPr>
        <b val="true"/>
        <sz val="14"/>
        <color rgb="FF1F3864"/>
        <rFont val="Arial"/>
        <family val="0"/>
        <charset val="1"/>
      </rPr>
      <t xml:space="preserve">Larissa</t>
    </r>
    <r>
      <rPr>
        <b val="true"/>
        <sz val="14"/>
        <color rgb="FF1F3864"/>
        <rFont val="WenQuanYi Zen Hei"/>
        <family val="2"/>
      </rPr>
      <t xml:space="preserve">의 폭발 </t>
    </r>
    <r>
      <rPr>
        <b val="true"/>
        <sz val="14"/>
        <color rgb="FF1F3864"/>
        <rFont val="Arial"/>
        <family val="0"/>
        <charset val="1"/>
      </rPr>
      <t xml:space="preserve">(A Explosão) </t>
    </r>
    <r>
      <rPr>
        <b val="true"/>
        <sz val="14"/>
        <color rgb="FF1F3864"/>
        <rFont val="WenQuanYi Zen Hei"/>
        <family val="2"/>
      </rPr>
      <t xml:space="preserve">과 욕 배정</t>
    </r>
  </si>
  <si>
    <r>
      <rPr>
        <i val="true"/>
        <sz val="9"/>
        <color rgb="FF595959"/>
        <rFont val="WenQuanYi Zen Hei"/>
        <family val="2"/>
      </rPr>
      <t xml:space="preserve">폭발은 총 </t>
    </r>
    <r>
      <rPr>
        <i val="true"/>
        <sz val="9"/>
        <color rgb="FF595959"/>
        <rFont val="Noto Sans CJK SC"/>
        <family val="2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회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희소성이 가치다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폭발 뒤에는 반드시 쉬운 말로 다시 설명하는 어휘 교습 장면이 이어진다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</si>
  <si>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폭발 배치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총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회</t>
    </r>
    <r>
      <rPr>
        <b val="true"/>
        <sz val="10"/>
        <rFont val="Arial"/>
        <family val="0"/>
        <charset val="1"/>
      </rPr>
      <t xml:space="preserve">)</t>
    </r>
  </si>
  <si>
    <t xml:space="preserve">회차</t>
  </si>
  <si>
    <t xml:space="preserve">위치</t>
  </si>
  <si>
    <t xml:space="preserve">단계 구성</t>
  </si>
  <si>
    <t xml:space="preserve">특기 사항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</si>
  <si>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차 폭발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</si>
  <si>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«Chega!» (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인턴 착취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임금 체불 해결 화</t>
    </r>
    <r>
      <rPr>
        <sz val="10"/>
        <rFont val="Arial"/>
        <family val="0"/>
        <charset val="1"/>
      </rPr>
      <t xml:space="preserve">, Juliana</t>
    </r>
    <r>
      <rPr>
        <sz val="10"/>
        <rFont val="WenQuanYi Zen Hei"/>
        <family val="2"/>
      </rPr>
      <t xml:space="preserve">의 경영 용어가 협상을 막는 장면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</si>
  <si>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코미디 — 「몰라서 화내는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」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</si>
  <si>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→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단계 →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단계 전부 노출</t>
    </r>
  </si>
  <si>
    <r>
      <rPr>
        <sz val="10"/>
        <rFont val="WenQuanYi Zen Hei"/>
        <family val="2"/>
      </rPr>
      <t xml:space="preserve">인물별 고정 반응 패턴을 여기서 한 번에 보여 준다</t>
    </r>
    <r>
      <rPr>
        <sz val="10"/>
        <rFont val="Noto Sans CJK SC"/>
        <family val="2"/>
        <charset val="1"/>
      </rPr>
      <t xml:space="preserve">. Zumbi·Marta·Freire</t>
    </r>
    <r>
      <rPr>
        <sz val="10"/>
        <rFont val="WenQuanYi Zen Hei"/>
        <family val="2"/>
      </rPr>
      <t xml:space="preserve">가 이 화에 함께 등장 —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의 욕은 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폭발로 이관해 과밀을 피함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</si>
  <si>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차 폭발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</si>
  <si>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시의회 예산 심의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</si>
  <si>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역전 — 「알아서 화내는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」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이번엔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가 옳다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</si>
  <si>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단계에서 곧바로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단계로 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단계 생략</t>
    </r>
    <r>
      <rPr>
        <sz val="10"/>
        <rFont val="Arial"/>
        <family val="0"/>
        <charset val="1"/>
      </rPr>
      <t xml:space="preserve">: '</t>
    </r>
    <r>
      <rPr>
        <sz val="10"/>
        <rFont val="WenQuanYi Zen Hei"/>
        <family val="2"/>
      </rPr>
      <t xml:space="preserve">이번엔 참지 않는다</t>
    </r>
    <r>
      <rPr>
        <sz val="10"/>
        <rFont val="Arial"/>
        <family val="0"/>
        <charset val="1"/>
      </rPr>
      <t xml:space="preserve">')</t>
    </r>
  </si>
  <si>
    <r>
      <rPr>
        <sz val="10"/>
        <rFont val="WenQuanYi Zen Hei"/>
        <family val="2"/>
      </rPr>
      <t xml:space="preserve">관료 전문 용어 속에 서민 예산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임대료 보조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깎는 조항이 숨어 있었고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가 짚어 낸다</t>
    </r>
    <r>
      <rPr>
        <sz val="10"/>
        <rFont val="Noto Sans CJK SC"/>
        <family val="2"/>
        <charset val="1"/>
      </rPr>
      <t xml:space="preserve">. Dom Pedro</t>
    </r>
    <r>
      <rPr>
        <sz val="10"/>
        <rFont val="WenQuanYi Zen Hei"/>
        <family val="2"/>
      </rPr>
      <t xml:space="preserve">가 선을 넘는 말을 하고 </t>
    </r>
    <r>
      <rPr>
        <sz val="10"/>
        <rFont val="Noto Sans CJK SC"/>
        <family val="2"/>
        <charset val="1"/>
      </rPr>
      <t xml:space="preserve">Zumbi·Marta</t>
    </r>
    <r>
      <rPr>
        <sz val="10"/>
        <rFont val="WenQuanYi Zen Hei"/>
        <family val="2"/>
      </rPr>
      <t xml:space="preserve">가 나무란다</t>
    </r>
    <r>
      <rPr>
        <sz val="10"/>
        <rFont val="Noto Sans CJK SC"/>
        <family val="2"/>
        <charset val="1"/>
      </rPr>
      <t xml:space="preserve">.</t>
    </r>
  </si>
  <si>
    <t xml:space="preserve">사이 구간</t>
  </si>
  <si>
    <r>
      <rPr>
        <sz val="10"/>
        <rFont val="Arial"/>
        <family val="0"/>
        <charset val="1"/>
      </rPr>
      <t xml:space="preserve">2~8</t>
    </r>
    <r>
      <rPr>
        <sz val="10"/>
        <rFont val="WenQuanYi Zen Hei"/>
        <family val="2"/>
      </rPr>
      <t xml:space="preserve">부</t>
    </r>
  </si>
  <si>
    <t xml:space="preserve">폭발 없음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</si>
  <si>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질문만 일상 장치로 반복</t>
    </r>
  </si>
  <si>
    <r>
      <rPr>
        <sz val="10"/>
        <rFont val="WenQuanYi Zen Hei"/>
        <family val="2"/>
      </rPr>
      <t xml:space="preserve">어휘 학습의 핵심은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단계 질문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폭발은 정점 이벤트일 뿐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</si>
  <si>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2. 3</t>
    </r>
    <r>
      <rPr>
        <b val="true"/>
        <sz val="10"/>
        <rFont val="WenQuanYi Zen Hei"/>
        <family val="2"/>
      </rPr>
      <t xml:space="preserve">단계 계단</t>
    </r>
  </si>
  <si>
    <r>
      <rPr>
        <b val="true"/>
        <sz val="10"/>
        <color rgb="FFFFFFFF"/>
        <rFont val="WenQuanYi Zen Hei"/>
        <family val="2"/>
      </rPr>
      <t xml:space="preserve">대사 </t>
    </r>
    <r>
      <rPr>
        <b val="true"/>
        <sz val="10"/>
        <color rgb="FFFFFFFF"/>
        <rFont val="Noto Sans CJK SC"/>
        <family val="2"/>
        <charset val="1"/>
      </rPr>
      <t xml:space="preserve">(PT)</t>
    </r>
  </si>
  <si>
    <t xml:space="preserve">분위기</t>
  </si>
  <si>
    <t xml:space="preserve">사용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</si>
  <si>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단계</t>
    </r>
  </si>
  <si>
    <t xml:space="preserve">Desculpa, o que isso significa?</t>
  </si>
  <si>
    <r>
      <rPr>
        <sz val="10"/>
        <rFont val="WenQuanYi Zen Hei"/>
        <family val="2"/>
      </rPr>
      <t xml:space="preserve">죄송한데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그게 무슨 뜻이에요</t>
    </r>
    <r>
      <rPr>
        <sz val="10"/>
        <rFont val="Noto Sans CJK SC"/>
        <family val="2"/>
        <charset val="1"/>
      </rPr>
      <t xml:space="preserve">?</t>
    </r>
  </si>
  <si>
    <t xml:space="preserve">정중한 질문</t>
  </si>
  <si>
    <r>
      <rPr>
        <sz val="10"/>
        <rFont val="WenQuanYi Zen Hei"/>
        <family val="2"/>
      </rPr>
      <t xml:space="preserve">상시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매 화 가능</t>
    </r>
    <r>
      <rPr>
        <sz val="10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</si>
  <si>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단계</t>
    </r>
  </si>
  <si>
    <t xml:space="preserve">O senhor me explica como se eu tivesse cinco anos?</t>
  </si>
  <si>
    <r>
      <rPr>
        <sz val="10"/>
        <rFont val="WenQuanYi Zen Hei"/>
        <family val="2"/>
      </rPr>
      <t xml:space="preserve">다섯 살한테 설명하듯 해 주실래요</t>
    </r>
    <r>
      <rPr>
        <sz val="10"/>
        <rFont val="Noto Sans CJK SC"/>
        <family val="2"/>
        <charset val="1"/>
      </rPr>
      <t xml:space="preserve">?</t>
    </r>
  </si>
  <si>
    <t xml:space="preserve">슬슬 짜증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</si>
  <si>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폭발에서만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</si>
  <si>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단계</t>
    </r>
  </si>
  <si>
    <t xml:space="preserve">CHEGA! Não entendo nada!</t>
  </si>
  <si>
    <r>
      <rPr>
        <sz val="10"/>
        <rFont val="WenQuanYi Zen Hei"/>
        <family val="2"/>
      </rPr>
      <t xml:space="preserve">그만</t>
    </r>
    <r>
      <rPr>
        <sz val="10"/>
        <rFont val="Noto Sans CJK SC"/>
        <family val="2"/>
        <charset val="1"/>
      </rPr>
      <t xml:space="preserve">! </t>
    </r>
    <r>
      <rPr>
        <sz val="10"/>
        <rFont val="WenQuanYi Zen Hei"/>
        <family val="2"/>
      </rPr>
      <t xml:space="preserve">하나도 모르겠다고요</t>
    </r>
    <r>
      <rPr>
        <sz val="10"/>
        <rFont val="Noto Sans CJK SC"/>
        <family val="2"/>
        <charset val="1"/>
      </rPr>
      <t xml:space="preserve">!</t>
    </r>
  </si>
  <si>
    <t xml:space="preserve">폭발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</si>
  <si>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</t>
    </r>
    <r>
      <rPr>
        <sz val="10"/>
        <rFont val="Arial"/>
        <family val="0"/>
        <charset val="1"/>
      </rPr>
      <t xml:space="preserve">· 2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</si>
  <si>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폭발 직후 고정 반응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전부 대사로 처리 — 지문 폐기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</si>
  <si>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반응 대사 </t>
    </r>
    <r>
      <rPr>
        <b val="true"/>
        <sz val="10"/>
        <color rgb="FFFFFFFF"/>
        <rFont val="Noto Sans CJK SC"/>
        <family val="2"/>
        <charset val="1"/>
      </rPr>
      <t xml:space="preserve">(PT)</t>
    </r>
  </si>
  <si>
    <r>
      <rPr>
        <b val="true"/>
        <sz val="10"/>
        <color rgb="FFFFFFFF"/>
        <rFont val="WenQuanYi Zen Hei"/>
        <family val="2"/>
      </rPr>
      <t xml:space="preserve">기존 지문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폐기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</si>
  <si>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Primeiro, respira.</t>
  </si>
  <si>
    <r>
      <rPr>
        <sz val="10"/>
        <rFont val="WenQuanYi Zen Hei"/>
        <family val="2"/>
      </rPr>
      <t xml:space="preserve">우선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숨 쉬어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</si>
  <si>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Larissa: «Não me diga "respira"!»</t>
    </r>
    <r>
      <rPr>
        <sz val="10"/>
        <rFont val="WenQuanYi Zen Hei"/>
        <family val="2"/>
      </rPr>
      <t xml:space="preserve">로 받는다</t>
    </r>
  </si>
  <si>
    <t xml:space="preserve">Opa. Deixa eu pôr esse prato na mesa antes que ele voe.</t>
  </si>
  <si>
    <r>
      <rPr>
        <sz val="10"/>
        <rFont val="WenQuanYi Zen Hei"/>
        <family val="2"/>
      </rPr>
      <t xml:space="preserve">어이쿠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접시 날아가기 전에 식탁에 내려놔야겠네</t>
    </r>
    <r>
      <rPr>
        <sz val="10"/>
        <rFont val="Noto Sans CJK SC"/>
        <family val="2"/>
        <charset val="1"/>
      </rPr>
      <t xml:space="preserve">.</t>
    </r>
  </si>
  <si>
    <t xml:space="preserve">말없이 접시를 내려놓음</t>
  </si>
  <si>
    <t xml:space="preserve">정적의 순간을 웃음으로 대신한다</t>
  </si>
  <si>
    <t xml:space="preserve">Sem novid… Não. Melhor eu ficar quieto.</t>
  </si>
  <si>
    <r>
      <rPr>
        <sz val="10"/>
        <rFont val="WenQuanYi Zen Hei"/>
        <family val="2"/>
      </rPr>
      <t xml:space="preserve">이상 없… 아니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입 다무는 게 낫겠군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</si>
  <si>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«Sem novidade»</t>
    </r>
    <r>
      <rPr>
        <sz val="10"/>
        <rFont val="WenQuanYi Zen Hei"/>
        <family val="2"/>
      </rPr>
      <t xml:space="preserve">를 하려다 입을 다묾</t>
    </r>
  </si>
  <si>
    <t xml:space="preserve">Eu não disse nada.</t>
  </si>
  <si>
    <r>
      <rPr>
        <sz val="10"/>
        <rFont val="WenQuanYi Zen Hei"/>
        <family val="2"/>
      </rPr>
      <t xml:space="preserve">나는 아무 말도 안 했어요</t>
    </r>
    <r>
      <rPr>
        <sz val="10"/>
        <rFont val="Noto Sans CJK SC"/>
        <family val="2"/>
        <charset val="1"/>
      </rPr>
      <t xml:space="preserve">.</t>
    </r>
  </si>
  <si>
    <t xml:space="preserve">아무 말도 하지 않아 오히려 가장 긴장됨</t>
  </si>
  <si>
    <t xml:space="preserve">답을 주지 않는 교사의 침묵을 시그니처 대사로 대체</t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</si>
  <si>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욕 배정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폭발 장면 한정 — 교재용 순한 표현만</t>
    </r>
    <r>
      <rPr>
        <b val="true"/>
        <sz val="10"/>
        <rFont val="Arial"/>
        <family val="0"/>
        <charset val="1"/>
      </rPr>
      <t xml:space="preserve">)</t>
    </r>
  </si>
  <si>
    <t xml:space="preserve">표현</t>
  </si>
  <si>
    <t xml:space="preserve">뉘앙스</t>
  </si>
  <si>
    <t xml:space="preserve">사용 규칙</t>
  </si>
  <si>
    <t xml:space="preserve">Mentecapta / Cabeça de vento</t>
  </si>
  <si>
    <t xml:space="preserve">고풍스럽고 격식 있는 욕 — 우아하게 기분 나쁨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</si>
  <si>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·2</t>
    </r>
    <r>
      <rPr>
        <sz val="10"/>
        <rFont val="WenQuanYi Zen Hei"/>
        <family val="2"/>
      </rPr>
      <t xml:space="preserve">차 폭발에서만</t>
    </r>
    <r>
      <rPr>
        <sz val="10"/>
        <rFont val="Arial"/>
        <family val="0"/>
        <charset val="1"/>
      </rPr>
      <t xml:space="preserve">, Larissa</t>
    </r>
    <r>
      <rPr>
        <sz val="10"/>
        <rFont val="WenQuanYi Zen Hei"/>
        <family val="2"/>
      </rPr>
      <t xml:space="preserve">에게만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</si>
  <si>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마지막에 </t>
    </r>
    <r>
      <rPr>
        <sz val="10"/>
        <rFont val="Arial"/>
        <family val="0"/>
        <charset val="1"/>
      </rPr>
      <t xml:space="preserve">«mentecapta» </t>
    </r>
    <r>
      <rPr>
        <sz val="10"/>
        <rFont val="WenQuanYi Zen Hei"/>
        <family val="2"/>
      </rPr>
      <t xml:space="preserve">대신 </t>
    </r>
    <r>
      <rPr>
        <sz val="10"/>
        <rFont val="Arial"/>
        <family val="0"/>
        <charset val="1"/>
      </rPr>
      <t xml:space="preserve">«Não é ruim.»</t>
    </r>
    <r>
      <rPr>
        <sz val="10"/>
        <rFont val="WenQuanYi Zen Hei"/>
        <family val="2"/>
      </rPr>
      <t xml:space="preserve">이 나올 때 낙차가 커진다</t>
    </r>
    <r>
      <rPr>
        <sz val="10"/>
        <rFont val="Arial"/>
        <family val="0"/>
        <charset val="1"/>
      </rPr>
      <t xml:space="preserve">.</t>
    </r>
  </si>
  <si>
    <t xml:space="preserve">Recruta! / Novata!</t>
  </si>
  <si>
    <t xml:space="preserve">전사의 신병 취급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</si>
  <si>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차에서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</si>
  <si>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폭발 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카메오로 함께 있으므로 여기서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확정</t>
    </r>
    <r>
      <rPr>
        <sz val="10"/>
        <rFont val="Arial"/>
        <family val="0"/>
        <charset val="1"/>
      </rPr>
      <t xml:space="preserve">)</t>
    </r>
  </si>
  <si>
    <t xml:space="preserve">Mané! / Toupeira!</t>
  </si>
  <si>
    <t xml:space="preserve">상파울루 거리식 직설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</si>
  <si>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</si>
  <si>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폭발 화의 카메오 과밀을 피해 이관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확정</t>
    </r>
    <r>
      <rPr>
        <sz val="10"/>
        <rFont val="Arial"/>
        <family val="0"/>
        <charset val="1"/>
      </rPr>
      <t xml:space="preserve">)</t>
    </r>
  </si>
  <si>
    <t xml:space="preserve">Tonta! / Pamonha! + «minha filha»</t>
  </si>
  <si>
    <t xml:space="preserve">애정이 섞여 욕인 줄 모름</t>
  </si>
  <si>
    <t xml:space="preserve">욕하지 않음</t>
  </si>
  <si>
    <t xml:space="preserve">대신 출처를 가리킨다</t>
  </si>
  <si>
    <t xml:space="preserve">«Procure você.»</t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</si>
  <si>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유지 규칙</t>
    </r>
  </si>
  <si>
    <r>
      <rPr>
        <sz val="10"/>
        <rFont val="Arial"/>
        <family val="0"/>
        <charset val="1"/>
      </rPr>
      <t xml:space="preserve">1. Larissa</t>
    </r>
    <r>
      <rPr>
        <sz val="10"/>
        <rFont val="WenQuanYi Zen Hei"/>
        <family val="2"/>
      </rPr>
      <t xml:space="preserve">가 옳은 경우가 있어야 한다</t>
    </r>
    <r>
      <rPr>
        <sz val="10"/>
        <rFont val="Arial"/>
        <family val="0"/>
        <charset val="1"/>
      </rPr>
      <t xml:space="preserve">. 2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에서는 관료 용어에 숨은 삭감 조항을 짚어 낸다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차에서도 </t>
    </r>
    <r>
      <rPr>
        <sz val="10"/>
        <rFont val="Arial"/>
        <family val="0"/>
        <charset val="1"/>
      </rPr>
      <t xml:space="preserve">Juliana</t>
    </r>
    <r>
      <rPr>
        <sz val="10"/>
        <rFont val="WenQuanYi Zen Hei"/>
        <family val="2"/>
      </rPr>
      <t xml:space="preserve">의 용어</t>
    </r>
    <r>
      <rPr>
        <sz val="10"/>
        <rFont val="Arial"/>
        <family val="0"/>
        <charset val="1"/>
      </rPr>
      <t xml:space="preserve">(sinergia, escalável)</t>
    </r>
    <r>
      <rPr>
        <sz val="10"/>
        <rFont val="WenQuanYi Zen Hei"/>
        <family val="2"/>
      </rPr>
      <t xml:space="preserve">가 알맹이 없었음이 드러난다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어려운 말로 숨는 어른들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드러내는 인물이다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</si>
  <si>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폭발 직후에는 누군가 쉬운 말로 다시 설명한다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전문 표현 → 쉬운 표현 짝 학습</t>
    </r>
    <r>
      <rPr>
        <sz val="10"/>
        <rFont val="Arial"/>
        <family val="0"/>
        <charset val="1"/>
      </rPr>
      <t xml:space="preserve">). 1</t>
    </r>
    <r>
      <rPr>
        <sz val="10"/>
        <rFont val="WenQuanYi Zen Hei"/>
        <family val="2"/>
      </rPr>
      <t xml:space="preserve">차 담당</t>
    </r>
    <r>
      <rPr>
        <sz val="10"/>
        <rFont val="Arial"/>
        <family val="0"/>
        <charset val="1"/>
      </rPr>
      <t xml:space="preserve">: Bruno — «Deixa que eu traduzo. Quer dizer: demitir gente pra economizar.»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</si>
  <si>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욕과 괴롭힘의 선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별도 에피소드를 만들지 않고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폭발에 합친다</t>
    </r>
    <r>
      <rPr>
        <sz val="10"/>
        <rFont val="Arial"/>
        <family val="0"/>
        <charset val="1"/>
      </rPr>
      <t xml:space="preserve">. Dom Pedro</t>
    </r>
    <r>
      <rPr>
        <sz val="10"/>
        <rFont val="WenQuanYi Zen Hei"/>
        <family val="2"/>
      </rPr>
      <t xml:space="preserve">가 정말 아픈 말을 하고 </t>
    </r>
    <r>
      <rPr>
        <sz val="10"/>
        <rFont val="Arial"/>
        <family val="0"/>
        <charset val="1"/>
      </rPr>
      <t xml:space="preserve">Zumbi·Marta</t>
    </r>
    <r>
      <rPr>
        <sz val="10"/>
        <rFont val="WenQuanYi Zen Hei"/>
        <family val="2"/>
      </rPr>
      <t xml:space="preserve">가 나무라며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사과는 </t>
    </r>
    <r>
      <rPr>
        <sz val="10"/>
        <rFont val="Arial"/>
        <family val="0"/>
        <charset val="1"/>
      </rPr>
      <t xml:space="preserve">«Retiro o que disse… em parte.» </t>
    </r>
    <r>
      <rPr>
        <sz val="10"/>
        <rFont val="WenQuanYi Zen Hei"/>
        <family val="2"/>
      </rPr>
      <t xml:space="preserve">정도로 삐딱하게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</si>
  <si>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욕설 수위</t>
    </r>
    <r>
      <rPr>
        <sz val="10"/>
        <rFont val="Arial"/>
        <family val="0"/>
        <charset val="1"/>
      </rPr>
      <t xml:space="preserve">: porra, caralho </t>
    </r>
    <r>
      <rPr>
        <sz val="10"/>
        <rFont val="WenQuanYi Zen Hei"/>
        <family val="2"/>
      </rPr>
      <t xml:space="preserve">등은 교재에서 제외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필요하면 각주로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실제로는 더 거칠게 말한다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고만 알려 준다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</si>
  <si>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1F3864"/>
        <rFont val="Arial"/>
        <family val="0"/>
        <charset val="1"/>
      </rPr>
      <t xml:space="preserve">Dom Pedro — </t>
    </r>
    <r>
      <rPr>
        <b val="true"/>
        <sz val="14"/>
        <color rgb="FF1F3864"/>
        <rFont val="WenQuanYi Zen Hei"/>
        <family val="2"/>
      </rPr>
      <t xml:space="preserve">위엄 있는 심술 황제이자 오늘내일하는 사람</t>
    </r>
  </si>
  <si>
    <r>
      <rPr>
        <i val="true"/>
        <sz val="9"/>
        <color rgb="FF595959"/>
        <rFont val="Arial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부 동안 매 겨울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마지막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이라고 외치는 양치기 소년 → </t>
    </r>
    <r>
      <rPr>
        <i val="true"/>
        <sz val="9"/>
        <color rgb="FF595959"/>
        <rFont val="Arial"/>
        <family val="0"/>
        <charset val="1"/>
      </rPr>
      <t xml:space="preserve">11</t>
    </r>
    <r>
      <rPr>
        <i val="true"/>
        <sz val="9"/>
        <color rgb="FF595959"/>
        <rFont val="WenQuanYi Zen Hei"/>
        <family val="2"/>
      </rPr>
      <t xml:space="preserve">부에서 폐위 이후 처음 나라를 대표해 브뤼셀에서 승리하고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그 직후 </t>
    </r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화에서 진짜로 죽는다</t>
    </r>
    <r>
      <rPr>
        <i val="true"/>
        <sz val="9"/>
        <color rgb="FF595959"/>
        <rFont val="Arial"/>
        <family val="0"/>
        <charset val="1"/>
      </rPr>
      <t xml:space="preserve">. 1891</t>
    </r>
    <r>
      <rPr>
        <i val="true"/>
        <sz val="9"/>
        <color rgb="FF595959"/>
        <rFont val="WenQuanYi Zen Hei"/>
        <family val="2"/>
      </rPr>
      <t xml:space="preserve">년에는 파리 망명지에서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이번엔 조국에서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</si>
  <si>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내용</t>
  </si>
  <si>
    <t xml:space="preserve">나이</t>
  </si>
  <si>
    <r>
      <rPr>
        <sz val="10"/>
        <rFont val="WenQuanYi Zen Hei"/>
        <family val="2"/>
      </rPr>
      <t xml:space="preserve">정중하게 독을 뿌리는 심술 황제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예의를 지키며 비꼬는 화법이라 </t>
    </r>
    <r>
      <rPr>
        <sz val="10"/>
        <rFont val="Noto Sans CJK SC"/>
        <family val="2"/>
        <charset val="1"/>
      </rPr>
      <t xml:space="preserve">Edson</t>
    </r>
    <r>
      <rPr>
        <sz val="10"/>
        <rFont val="WenQuanYi Zen Hei"/>
        <family val="2"/>
      </rPr>
      <t xml:space="preserve">의 큰 소리 화법과 구분된다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낭독하면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정중한데 기분 나쁜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억양 연습이 된다</t>
    </r>
    <r>
      <rPr>
        <sz val="10"/>
        <rFont val="Noto Sans CJK SC"/>
        <family val="2"/>
        <charset val="1"/>
      </rPr>
      <t xml:space="preserve">.</t>
    </r>
  </si>
  <si>
    <t xml:space="preserve">심술 패턴</t>
  </si>
  <si>
    <r>
      <rPr>
        <sz val="10"/>
        <rFont val="WenQuanYi Zen Hei"/>
        <family val="2"/>
      </rPr>
      <t xml:space="preserve">커피가 맛없다고 매일 불평</t>
    </r>
    <r>
      <rPr>
        <sz val="10"/>
        <rFont val="Noto Sans CJK SC"/>
        <family val="2"/>
        <charset val="1"/>
      </rPr>
      <t xml:space="preserve">(«No meu Império, o café sustentava a nação. Este não sustenta nem a xícara.»). Juliana</t>
    </r>
    <r>
      <rPr>
        <sz val="10"/>
        <rFont val="WenQuanYi Zen Hei"/>
        <family val="2"/>
      </rPr>
      <t xml:space="preserve">를 </t>
    </r>
    <r>
      <rPr>
        <sz val="10"/>
        <rFont val="Noto Sans CJK SC"/>
        <family val="2"/>
        <charset val="1"/>
      </rPr>
      <t xml:space="preserve">«a moça dos slides», Machado</t>
    </r>
    <r>
      <rPr>
        <sz val="10"/>
        <rFont val="WenQuanYi Zen Hei"/>
        <family val="2"/>
      </rPr>
      <t xml:space="preserve">의 원고를 </t>
    </r>
    <r>
      <rPr>
        <sz val="10"/>
        <rFont val="Noto Sans CJK SC"/>
        <family val="2"/>
        <charset val="1"/>
      </rPr>
      <t xml:space="preserve">«os mil rascunhos»</t>
    </r>
    <r>
      <rPr>
        <sz val="10"/>
        <rFont val="WenQuanYi Zen Hei"/>
        <family val="2"/>
      </rPr>
      <t xml:space="preserve">라고 놀림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모든 것이 </t>
    </r>
    <r>
      <rPr>
        <sz val="10"/>
        <rFont val="Noto Sans CJK SC"/>
        <family val="2"/>
        <charset val="1"/>
      </rPr>
      <t xml:space="preserve">«No meu tempo»</t>
    </r>
    <r>
      <rPr>
        <sz val="10"/>
        <rFont val="WenQuanYi Zen Hei"/>
        <family val="2"/>
      </rPr>
      <t xml:space="preserve">보다 못하다</t>
    </r>
    <r>
      <rPr>
        <sz val="10"/>
        <rFont val="Noto Sans CJK SC"/>
        <family val="2"/>
        <charset val="1"/>
      </rPr>
      <t xml:space="preserve">.</t>
    </r>
  </si>
  <si>
    <t xml:space="preserve">반복 개그</t>
  </si>
  <si>
    <r>
      <rPr>
        <sz val="10"/>
        <rFont val="WenQuanYi Zen Hei"/>
        <family val="2"/>
      </rPr>
      <t xml:space="preserve">매 겨울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상파울루의 이슬비 </t>
    </r>
    <r>
      <rPr>
        <sz val="10"/>
        <rFont val="Noto Sans CJK SC"/>
        <family val="2"/>
        <charset val="1"/>
      </rPr>
      <t xml:space="preserve">garoa </t>
    </r>
    <r>
      <rPr>
        <sz val="10"/>
        <rFont val="WenQuanYi Zen Hei"/>
        <family val="2"/>
      </rPr>
      <t xml:space="preserve">철</t>
    </r>
    <r>
      <rPr>
        <sz val="10"/>
        <rFont val="Noto Sans CJK SC"/>
        <family val="2"/>
        <charset val="1"/>
      </rPr>
      <t xml:space="preserve">) «Este será o meu último inverno.» </t>
    </r>
    <r>
      <rPr>
        <sz val="10"/>
        <rFont val="WenQuanYi Zen Hei"/>
        <family val="2"/>
      </rPr>
      <t xml:space="preserve">선언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유언장을 계속 고쳐 씀 </t>
    </r>
    <r>
      <rPr>
        <sz val="10"/>
        <rFont val="Noto Sans CJK SC"/>
        <family val="2"/>
        <charset val="1"/>
      </rPr>
      <t xml:space="preserve">(Larissa</t>
    </r>
    <r>
      <rPr>
        <sz val="10"/>
        <rFont val="WenQuanYi Zen Hei"/>
        <family val="2"/>
      </rPr>
      <t xml:space="preserve">에게 우산을 물려주겠다 등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입버릇 </t>
    </r>
    <r>
      <rPr>
        <sz val="10"/>
        <rFont val="Noto Sans CJK SC"/>
        <family val="2"/>
        <charset val="1"/>
      </rPr>
      <t xml:space="preserve">«Anotem no meu testamento.» </t>
    </r>
    <r>
      <rPr>
        <sz val="10"/>
        <rFont val="WenQuanYi Zen Hei"/>
        <family val="2"/>
      </rPr>
      <t xml:space="preserve">모두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또 시작이네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하며 웃어넘긴다</t>
    </r>
    <r>
      <rPr>
        <sz val="10"/>
        <rFont val="Noto Sans CJK SC"/>
        <family val="2"/>
        <charset val="1"/>
      </rPr>
      <t xml:space="preserve">.</t>
    </r>
  </si>
  <si>
    <t xml:space="preserve">가짜 병</t>
  </si>
  <si>
    <r>
      <rPr>
        <sz val="10"/>
        <rFont val="WenQuanYi Zen Hei"/>
        <family val="2"/>
      </rPr>
      <t xml:space="preserve">무릎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소화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불면 — 전부 엄살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소란스러운 엄살이 진짜 병의 위장이 된다</t>
    </r>
    <r>
      <rPr>
        <sz val="10"/>
        <rFont val="Noto Sans CJK SC"/>
        <family val="2"/>
        <charset val="1"/>
      </rPr>
      <t xml:space="preserve">.</t>
    </r>
  </si>
  <si>
    <t xml:space="preserve">진짜 병</t>
  </si>
  <si>
    <r>
      <rPr>
        <sz val="10"/>
        <rFont val="WenQuanYi Zen Hei"/>
        <family val="2"/>
      </rPr>
      <t xml:space="preserve">만성 심부전 </t>
    </r>
    <r>
      <rPr>
        <sz val="10"/>
        <rFont val="Noto Sans CJK SC"/>
        <family val="2"/>
        <charset val="1"/>
      </rPr>
      <t xml:space="preserve">(insuficiência cardíaca crônica). </t>
    </r>
    <r>
      <rPr>
        <sz val="10"/>
        <rFont val="WenQuanYi Zen Hei"/>
        <family val="2"/>
      </rPr>
      <t xml:space="preserve">이것만 숨긴다</t>
    </r>
    <r>
      <rPr>
        <sz val="10"/>
        <rFont val="Noto Sans CJK SC"/>
        <family val="2"/>
        <charset val="1"/>
      </rPr>
      <t xml:space="preserve">. (1891</t>
    </r>
    <r>
      <rPr>
        <sz val="10"/>
        <rFont val="WenQuanYi Zen Hei"/>
        <family val="2"/>
      </rPr>
      <t xml:space="preserve">년의 사인은 폐렴 — 두 번째 삶에서는 심장이다</t>
    </r>
    <r>
      <rPr>
        <sz val="10"/>
        <rFont val="Noto Sans CJK SC"/>
        <family val="2"/>
        <charset val="1"/>
      </rPr>
      <t xml:space="preserve">.)</t>
    </r>
  </si>
  <si>
    <r>
      <rPr>
        <b val="true"/>
        <sz val="10"/>
        <rFont val="Arial"/>
        <family val="0"/>
        <charset val="1"/>
      </rPr>
      <t xml:space="preserve">Camila</t>
    </r>
    <r>
      <rPr>
        <b val="true"/>
        <sz val="10"/>
        <rFont val="WenQuanYi Zen Hei"/>
        <family val="2"/>
      </rPr>
      <t xml:space="preserve">의 딜레마</t>
    </r>
  </si>
  <si>
    <r>
      <rPr>
        <sz val="10"/>
        <rFont val="WenQuanYi Zen Hei"/>
        <family val="2"/>
      </rPr>
      <t xml:space="preserve">진단을 알지만 의사의 비밀유지</t>
    </r>
    <r>
      <rPr>
        <sz val="10"/>
        <rFont val="Noto Sans CJK SC"/>
        <family val="2"/>
        <charset val="1"/>
      </rPr>
      <t xml:space="preserve">(sigilo médico)</t>
    </r>
    <r>
      <rPr>
        <sz val="10"/>
        <rFont val="WenQuanYi Zen Hei"/>
        <family val="2"/>
      </rPr>
      <t xml:space="preserve">를 지킨다</t>
    </r>
    <r>
      <rPr>
        <sz val="10"/>
        <rFont val="Noto Sans CJK SC"/>
        <family val="2"/>
        <charset val="1"/>
      </rPr>
      <t xml:space="preserve">. Dom Pedro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«Doutora, isto fica entre nós.»</t>
    </r>
    <r>
      <rPr>
        <sz val="10"/>
        <rFont val="WenQuanYi Zen Hei"/>
        <family val="2"/>
      </rPr>
      <t xml:space="preserve">라고 못 박았기 때문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시청자가 뒤늦게 </t>
    </r>
    <r>
      <rPr>
        <sz val="10"/>
        <rFont val="Noto Sans CJK SC"/>
        <family val="2"/>
        <charset val="1"/>
      </rPr>
      <t xml:space="preserve">'Camila</t>
    </r>
    <r>
      <rPr>
        <sz val="10"/>
        <rFont val="WenQuanYi Zen Hei"/>
        <family val="2"/>
      </rPr>
      <t xml:space="preserve">가 왜 조용했는지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깨닫는 구조</t>
    </r>
    <r>
      <rPr>
        <sz val="10"/>
        <rFont val="Noto Sans CJK SC"/>
        <family val="2"/>
        <charset val="1"/>
      </rPr>
      <t xml:space="preserve">.</t>
    </r>
  </si>
  <si>
    <t xml:space="preserve">최고의 칭찬</t>
  </si>
  <si>
    <r>
      <rPr>
        <sz val="10"/>
        <rFont val="Arial"/>
        <family val="0"/>
        <charset val="1"/>
      </rPr>
      <t xml:space="preserve">«Não é ruim.» — </t>
    </r>
    <r>
      <rPr>
        <sz val="10"/>
        <rFont val="WenQuanYi Zen Hei"/>
        <family val="2"/>
      </rPr>
      <t xml:space="preserve">극히 드물게 쓰는 표현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에게는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사망 직전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사실상 처음이어야 낙차가 산다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</si>
  <si>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호칭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욕</t>
    </r>
  </si>
  <si>
    <r>
      <rPr>
        <sz val="10"/>
        <rFont val="WenQuanYi Zen Hei"/>
        <family val="2"/>
      </rPr>
      <t xml:space="preserve">여럿에게는 </t>
    </r>
    <r>
      <rPr>
        <sz val="10"/>
        <rFont val="Noto Sans CJK SC"/>
        <family val="2"/>
        <charset val="1"/>
      </rPr>
      <t xml:space="preserve">os senhores, Larissa</t>
    </r>
    <r>
      <rPr>
        <sz val="10"/>
        <rFont val="WenQuanYi Zen Hei"/>
        <family val="2"/>
      </rPr>
      <t xml:space="preserve">에게는 </t>
    </r>
    <r>
      <rPr>
        <sz val="10"/>
        <rFont val="Noto Sans CJK SC"/>
        <family val="2"/>
        <charset val="1"/>
      </rPr>
      <t xml:space="preserve">você(«menina»). </t>
    </r>
    <r>
      <rPr>
        <sz val="10"/>
        <rFont val="WenQuanYi Zen Hei"/>
        <family val="2"/>
      </rPr>
      <t xml:space="preserve">욕</t>
    </r>
    <r>
      <rPr>
        <sz val="10"/>
        <rFont val="Noto Sans CJK SC"/>
        <family val="2"/>
        <charset val="1"/>
      </rPr>
      <t xml:space="preserve">(«mentecapta»)</t>
    </r>
    <r>
      <rPr>
        <sz val="10"/>
        <rFont val="WenQuanYi Zen Hei"/>
        <family val="2"/>
      </rPr>
      <t xml:space="preserve">은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에게만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폭발 장면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한정</t>
    </r>
    <r>
      <rPr>
        <sz val="10"/>
        <rFont val="Noto Sans CJK SC"/>
        <family val="2"/>
        <charset val="1"/>
      </rPr>
      <t xml:space="preserve">.</t>
    </r>
  </si>
  <si>
    <t xml:space="preserve">죽음 이후</t>
  </si>
  <si>
    <r>
      <rPr>
        <sz val="10"/>
        <rFont val="Arial"/>
        <family val="0"/>
        <charset val="1"/>
      </rPr>
      <t xml:space="preserve">A Velha Guarda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Zumbi + Freire + </t>
    </r>
    <r>
      <rPr>
        <sz val="10"/>
        <rFont val="WenQuanYi Zen Hei"/>
        <family val="2"/>
      </rPr>
      <t xml:space="preserve">빈 의자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황제와 킬롬부 지도자와 교육자라는 이상한 삼인조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이름은 </t>
    </r>
    <r>
      <rPr>
        <sz val="10"/>
        <rFont val="Arial"/>
        <family val="0"/>
        <charset val="1"/>
      </rPr>
      <t xml:space="preserve">Bixiga</t>
    </r>
    <r>
      <rPr>
        <sz val="10"/>
        <rFont val="WenQuanYi Zen Hei"/>
        <family val="2"/>
      </rPr>
      <t xml:space="preserve">의 삼바 학교 원로단 </t>
    </r>
    <r>
      <rPr>
        <sz val="10"/>
        <rFont val="Arial"/>
        <family val="0"/>
        <charset val="1"/>
      </rPr>
      <t xml:space="preserve">'Velha Guarda'</t>
    </r>
    <r>
      <rPr>
        <sz val="10"/>
        <rFont val="WenQuanYi Zen Hei"/>
        <family val="2"/>
      </rPr>
      <t xml:space="preserve">에서</t>
    </r>
    <r>
      <rPr>
        <sz val="10"/>
        <rFont val="Arial"/>
        <family val="0"/>
        <charset val="1"/>
      </rPr>
      <t xml:space="preserve">).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'O vazio na Velha Guarda'</t>
    </r>
    <r>
      <rPr>
        <sz val="10"/>
        <rFont val="WenQuanYi Zen Hei"/>
        <family val="2"/>
      </rPr>
      <t xml:space="preserve">에서 정면으로 다룬다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</si>
  <si>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복선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사망 타임라인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전부 대사로 처리</t>
    </r>
    <r>
      <rPr>
        <b val="true"/>
        <sz val="10"/>
        <rFont val="Arial"/>
        <family val="0"/>
        <charset val="1"/>
      </rPr>
      <t xml:space="preserve">)</t>
    </r>
  </si>
  <si>
    <t xml:space="preserve">대화문 처리 방식</t>
  </si>
  <si>
    <r>
      <rPr>
        <b val="true"/>
        <sz val="10"/>
        <color rgb="FFFFFFFF"/>
        <rFont val="WenQuanYi Zen Hei"/>
        <family val="2"/>
      </rPr>
      <t xml:space="preserve">대사 예시 </t>
    </r>
    <r>
      <rPr>
        <b val="true"/>
        <sz val="10"/>
        <color rgb="FFFFFFFF"/>
        <rFont val="Noto Sans CJK SC"/>
        <family val="2"/>
        <charset val="1"/>
      </rPr>
      <t xml:space="preserve">(PT)</t>
    </r>
  </si>
  <si>
    <t xml:space="preserve">학습 어휘</t>
  </si>
  <si>
    <r>
      <rPr>
        <b val="true"/>
        <sz val="10"/>
        <rFont val="Arial"/>
        <family val="0"/>
        <charset val="1"/>
      </rPr>
      <t xml:space="preserve">1~10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매 겨울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</si>
  <si>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마지막 겨울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선언과 유언장 수정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개월 시점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부터 이미 반복되어 온 농담으로 등장한다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</si>
  <si>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본인이 선언하고 주변이 </t>
    </r>
    <r>
      <rPr>
        <sz val="10"/>
        <rFont val="Noto Sans CJK SC"/>
        <family val="2"/>
        <charset val="1"/>
      </rPr>
      <t xml:space="preserve">«De novo…»</t>
    </r>
    <r>
      <rPr>
        <sz val="10"/>
        <rFont val="WenQuanYi Zen Hei"/>
        <family val="2"/>
      </rPr>
      <t xml:space="preserve">로 받는다</t>
    </r>
    <r>
      <rPr>
        <sz val="10"/>
        <rFont val="Noto Sans CJK SC"/>
        <family val="2"/>
        <charset val="1"/>
      </rPr>
      <t xml:space="preserve">.</t>
    </r>
  </si>
  <si>
    <t xml:space="preserve">Este será o meu último inverno. Anotem no meu testamento.</t>
  </si>
  <si>
    <t xml:space="preserve">testamento, deixar de herança, inverno, garoa</t>
  </si>
  <si>
    <r>
      <rPr>
        <b val="true"/>
        <sz val="10"/>
        <rFont val="Arial"/>
        <family val="0"/>
        <charset val="1"/>
      </rPr>
      <t xml:space="preserve">1~11</t>
    </r>
    <r>
      <rPr>
        <b val="true"/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</si>
  <si>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가짜 병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무릎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소화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불면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</si>
  <si>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«O senhor não tem nada.»</t>
    </r>
    <r>
      <rPr>
        <sz val="10"/>
        <rFont val="WenQuanYi Zen Hei"/>
        <family val="2"/>
      </rPr>
      <t xml:space="preserve">로 넘긴다</t>
    </r>
    <r>
      <rPr>
        <sz val="10"/>
        <rFont val="Arial"/>
        <family val="0"/>
        <charset val="1"/>
      </rPr>
      <t xml:space="preserve">.</t>
    </r>
  </si>
  <si>
    <t xml:space="preserve">Meu joelho dói. É o fim.</t>
  </si>
  <si>
    <t xml:space="preserve">joelho, digestão, insônia, achaque</t>
  </si>
  <si>
    <r>
      <rPr>
        <sz val="10"/>
        <rFont val="Arial"/>
        <family val="0"/>
        <charset val="1"/>
      </rPr>
      <t xml:space="preserve">«Pode me chamar de você.» </t>
    </r>
    <r>
      <rPr>
        <sz val="10"/>
        <rFont val="WenQuanYi Zen Hei"/>
        <family val="2"/>
      </rPr>
      <t xml:space="preserve">허락 —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는 습관 때문에 </t>
    </r>
    <r>
      <rPr>
        <sz val="10"/>
        <rFont val="Arial"/>
        <family val="0"/>
        <charset val="1"/>
      </rPr>
      <t xml:space="preserve">o senhor </t>
    </r>
    <r>
      <rPr>
        <sz val="10"/>
        <rFont val="WenQuanYi Zen Hei"/>
        <family val="2"/>
      </rPr>
      <t xml:space="preserve">유지</t>
    </r>
  </si>
  <si>
    <r>
      <rPr>
        <sz val="10"/>
        <rFont val="WenQuanYi Zen Hei"/>
        <family val="2"/>
      </rPr>
      <t xml:space="preserve">허락과 거절이 모두 대사로 나온다</t>
    </r>
    <r>
      <rPr>
        <sz val="10"/>
        <rFont val="Noto Sans CJK SC"/>
        <family val="2"/>
        <charset val="1"/>
      </rPr>
      <t xml:space="preserve">.</t>
    </r>
  </si>
  <si>
    <t xml:space="preserve">Pode me chamar de você, menina. / Desculpa, é o costume.</t>
  </si>
  <si>
    <t xml:space="preserve">tratamento, costume</t>
  </si>
  <si>
    <r>
      <rPr>
        <sz val="10"/>
        <rFont val="Arial"/>
        <family val="0"/>
        <charset val="1"/>
      </rPr>
      <t xml:space="preserve">Larissa 2</t>
    </r>
    <r>
      <rPr>
        <sz val="10"/>
        <rFont val="WenQuanYi Zen Hei"/>
        <family val="2"/>
      </rPr>
      <t xml:space="preserve">차 폭발에서 </t>
    </r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가 선을 넘음 → </t>
    </r>
    <r>
      <rPr>
        <sz val="10"/>
        <rFont val="Arial"/>
        <family val="0"/>
        <charset val="1"/>
      </rPr>
      <t xml:space="preserve">Zumbi·Marta</t>
    </r>
    <r>
      <rPr>
        <sz val="10"/>
        <rFont val="WenQuanYi Zen Hei"/>
        <family val="2"/>
      </rPr>
      <t xml:space="preserve">가 나무람</t>
    </r>
  </si>
  <si>
    <r>
      <rPr>
        <sz val="10"/>
        <rFont val="WenQuanYi Zen Hei"/>
        <family val="2"/>
      </rPr>
      <t xml:space="preserve">선을 넘는 말과 사과 모두 대사로</t>
    </r>
    <r>
      <rPr>
        <sz val="10"/>
        <rFont val="Noto Sans CJK SC"/>
        <family val="2"/>
        <charset val="1"/>
      </rPr>
      <t xml:space="preserve">.</t>
    </r>
  </si>
  <si>
    <t xml:space="preserve">Retiro o que disse… em parte.</t>
  </si>
  <si>
    <t xml:space="preserve">retirar o que disse, pedir desculpas</t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</si>
  <si>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</si>
  <si>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청년 고용 협상에서 좋은 조언을 하지만 계단에서 숨이 가쁜 게 처음으로 드러남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죽음은 아직 아님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</si>
  <si>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«O senhor não tem nada»</t>
    </r>
    <r>
      <rPr>
        <sz val="10"/>
        <rFont val="WenQuanYi Zen Hei"/>
        <family val="2"/>
      </rPr>
      <t xml:space="preserve">가 아니라 </t>
    </r>
    <r>
      <rPr>
        <sz val="10"/>
        <rFont val="Arial"/>
        <family val="0"/>
        <charset val="1"/>
      </rPr>
      <t xml:space="preserve">«Estou bem, são só as escadas»</t>
    </r>
    <r>
      <rPr>
        <sz val="10"/>
        <rFont val="WenQuanYi Zen Hei"/>
        <family val="2"/>
      </rPr>
      <t xml:space="preserve">로 처음 균열</t>
    </r>
    <r>
      <rPr>
        <sz val="10"/>
        <rFont val="Arial"/>
        <family val="0"/>
        <charset val="1"/>
      </rPr>
      <t xml:space="preserve">.</t>
    </r>
  </si>
  <si>
    <t xml:space="preserve">Estou bem. São só as escadas, menina.</t>
  </si>
  <si>
    <t xml:space="preserve">escadas, fôlego, cansaço</t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</si>
  <si>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</si>
  <si>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브뤼셀행 자원</t>
    </r>
    <r>
      <rPr>
        <sz val="10"/>
        <rFont val="Noto Sans CJK SC"/>
        <family val="2"/>
        <charset val="1"/>
      </rPr>
      <t xml:space="preserve">. Machado</t>
    </r>
    <r>
      <rPr>
        <sz val="10"/>
        <rFont val="WenQuanYi Zen Hei"/>
        <family val="2"/>
      </rPr>
      <t xml:space="preserve">에게 짐을 싸며 두 지도자를 특징으로만 묘사 — 건물에 금박 이름을 새긴 사업가 출신과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정보기관 출신으로 이웃 나라 땅을 가져간 인물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국가는 끝내 말하지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</si>
  <si>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실명 대신 행동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이력의 특징만 나열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실존 인물 실명 미사용</t>
    </r>
    <r>
      <rPr>
        <sz val="10"/>
        <rFont val="Noto Sans CJK SC"/>
        <family val="2"/>
        <charset val="1"/>
      </rPr>
      <t xml:space="preserve">.</t>
    </r>
  </si>
  <si>
    <t xml:space="preserve">Um pôs o próprio nome em letras douradas nos prédios. Agora vende tarifas do mesmo jeito, aos gritos. / Soa como quem o senhor quiser, meu jovem. Eu só descrevo a paisagem.</t>
  </si>
  <si>
    <t xml:space="preserve">tarifas, serviço secreto, regime, discrição diplomática</t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</si>
  <si>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</si>
  <si>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직접 협상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상대의 과장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거짓 주장을 위성 감시 자료와 옛 합의 날짜로 정확히 반박</t>
    </r>
  </si>
  <si>
    <r>
      <rPr>
        <sz val="10"/>
        <rFont val="Arial"/>
        <family val="0"/>
        <charset val="1"/>
      </rPr>
      <t xml:space="preserve">«Permita-me corrigi-lo»</t>
    </r>
    <r>
      <rPr>
        <sz val="10"/>
        <rFont val="WenQuanYi Zen Hei"/>
        <family val="2"/>
      </rPr>
      <t xml:space="preserve">로 시작하는 반박 대사</t>
    </r>
    <r>
      <rPr>
        <sz val="10"/>
        <rFont val="Arial"/>
        <family val="0"/>
        <charset val="1"/>
      </rPr>
      <t xml:space="preserve">.</t>
    </r>
  </si>
  <si>
    <t xml:space="preserve">Os números estão no satélite, meu jovem. Leia-os com mais cuidado.</t>
  </si>
  <si>
    <t xml:space="preserve">corrigir, dado, satélite, precisão diplomática</t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</si>
  <si>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</si>
  <si>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타결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귀국길에 피로를 숨기고 </t>
    </r>
    <r>
      <rPr>
        <sz val="10"/>
        <rFont val="Noto Sans CJK SC"/>
        <family val="2"/>
        <charset val="1"/>
      </rPr>
      <t xml:space="preserve">Bruno</t>
    </r>
    <r>
      <rPr>
        <sz val="10"/>
        <rFont val="WenQuanYi Zen Hei"/>
        <family val="2"/>
      </rPr>
      <t xml:space="preserve">에게 메모를 남기라고 지시</t>
    </r>
  </si>
  <si>
    <r>
      <rPr>
        <sz val="10"/>
        <rFont val="WenQuanYi Zen Hei"/>
        <family val="2"/>
      </rPr>
      <t xml:space="preserve">직접 증상을 말하지 않고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메모를 남기라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는 명령으로 암시</t>
    </r>
    <r>
      <rPr>
        <sz val="10"/>
        <rFont val="Noto Sans CJK SC"/>
        <family val="2"/>
        <charset val="1"/>
      </rPr>
      <t xml:space="preserve">.</t>
    </r>
  </si>
  <si>
    <t xml:space="preserve">Por via das dúvidas, anote isto também, Bruno.</t>
  </si>
  <si>
    <t xml:space="preserve">por via das dúvidas, legado, instrução</t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</si>
  <si>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화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사망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</si>
  <si>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귀국 직후 상파울루 자택에서 심부전으로 사망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가 서명을 받으러 왔다가 발견</t>
    </r>
  </si>
  <si>
    <r>
      <rPr>
        <sz val="10"/>
        <rFont val="WenQuanYi Zen Hei"/>
        <family val="2"/>
      </rPr>
      <t xml:space="preserve">사망은 지문 없이 호명과 확인 대사로</t>
    </r>
    <r>
      <rPr>
        <sz val="10"/>
        <rFont val="Noto Sans CJK SC"/>
        <family val="2"/>
        <charset val="1"/>
      </rPr>
      <t xml:space="preserve">: Larissa</t>
    </r>
    <r>
      <rPr>
        <sz val="10"/>
        <rFont val="WenQuanYi Zen Hei"/>
        <family val="2"/>
      </rPr>
      <t xml:space="preserve">가 부르고 </t>
    </r>
    <r>
      <rPr>
        <sz val="10"/>
        <rFont val="Noto Sans CJK SC"/>
        <family val="2"/>
        <charset val="1"/>
      </rPr>
      <t xml:space="preserve">Camila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«Ele se foi, Larissa.»</t>
    </r>
    <r>
      <rPr>
        <sz val="10"/>
        <rFont val="WenQuanYi Zen Hei"/>
        <family val="2"/>
      </rPr>
      <t xml:space="preserve">라고 말한다</t>
    </r>
    <r>
      <rPr>
        <sz val="10"/>
        <rFont val="Noto Sans CJK SC"/>
        <family val="2"/>
        <charset val="1"/>
      </rPr>
      <t xml:space="preserve">.</t>
    </r>
  </si>
  <si>
    <t xml:space="preserve">Não é ruim.  /  Dom Pedro? — Ele se foi, Larissa.</t>
  </si>
  <si>
    <t xml:space="preserve">pulso, parada cardíaca, reanimação, falecer</t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</si>
  <si>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</si>
  <si>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장례식이 첫 화</t>
    </r>
    <r>
      <rPr>
        <sz val="10"/>
        <rFont val="Noto Sans CJK SC"/>
        <family val="2"/>
        <charset val="1"/>
      </rPr>
      <t xml:space="preserve">. Bar da Marta</t>
    </r>
    <r>
      <rPr>
        <sz val="10"/>
        <rFont val="WenQuanYi Zen Hei"/>
        <family val="2"/>
      </rPr>
      <t xml:space="preserve">에 빈자리</t>
    </r>
    <r>
      <rPr>
        <sz val="10"/>
        <rFont val="Noto Sans CJK SC"/>
        <family val="2"/>
        <charset val="1"/>
      </rPr>
      <t xml:space="preserve">, Marta</t>
    </r>
    <r>
      <rPr>
        <sz val="10"/>
        <rFont val="WenQuanYi Zen Hei"/>
        <family val="2"/>
      </rPr>
      <t xml:space="preserve">가 커피 한 잔을 계속 내놓음</t>
    </r>
    <r>
      <rPr>
        <sz val="10"/>
        <rFont val="Noto Sans CJK SC"/>
        <family val="2"/>
        <charset val="1"/>
      </rPr>
      <t xml:space="preserve">. 1891</t>
    </r>
    <r>
      <rPr>
        <sz val="10"/>
        <rFont val="WenQuanYi Zen Hei"/>
        <family val="2"/>
      </rPr>
      <t xml:space="preserve">년처럼 브라질 흙을 담은 베개</t>
    </r>
    <r>
      <rPr>
        <sz val="10"/>
        <rFont val="Noto Sans CJK SC"/>
        <family val="2"/>
        <charset val="1"/>
      </rPr>
      <t xml:space="preserve">. Larissa</t>
    </r>
    <r>
      <rPr>
        <sz val="10"/>
        <rFont val="WenQuanYi Zen Hei"/>
        <family val="2"/>
      </rPr>
      <t xml:space="preserve">가 조사에서 처음으로 </t>
    </r>
    <r>
      <rPr>
        <sz val="10"/>
        <rFont val="Noto Sans CJK SC"/>
        <family val="2"/>
        <charset val="1"/>
      </rPr>
      <t xml:space="preserve">você </t>
    </r>
    <r>
      <rPr>
        <sz val="10"/>
        <rFont val="WenQuanYi Zen Hei"/>
        <family val="2"/>
      </rPr>
      <t xml:space="preserve">사용</t>
    </r>
  </si>
  <si>
    <r>
      <rPr>
        <sz val="10"/>
        <rFont val="WenQuanYi Zen Hei"/>
        <family val="2"/>
      </rPr>
      <t xml:space="preserve">장소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상황은 </t>
    </r>
    <r>
      <rPr>
        <sz val="10"/>
        <rFont val="Noto Sans CJK SC"/>
        <family val="2"/>
        <charset val="1"/>
      </rPr>
      <t xml:space="preserve">Marta·Larissa</t>
    </r>
    <r>
      <rPr>
        <sz val="10"/>
        <rFont val="WenQuanYi Zen Hei"/>
        <family val="2"/>
      </rPr>
      <t xml:space="preserve">의 대사로</t>
    </r>
    <r>
      <rPr>
        <sz val="10"/>
        <rFont val="Noto Sans CJK SC"/>
        <family val="2"/>
        <charset val="1"/>
      </rPr>
      <t xml:space="preserve">.</t>
    </r>
  </si>
  <si>
    <t xml:space="preserve">Um café pro Dom Pedro. Como sempre. / Pra você, "não é ruim" era o maior elogio.</t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</si>
  <si>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2~3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</si>
  <si>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유작 메모 발견 →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브뤼셀 협상에서 </t>
    </r>
    <r>
      <rPr>
        <sz val="10"/>
        <rFont val="Noto Sans CJK SC"/>
        <family val="2"/>
        <charset val="1"/>
      </rPr>
      <t xml:space="preserve">Machado</t>
    </r>
    <r>
      <rPr>
        <sz val="10"/>
        <rFont val="WenQuanYi Zen Hei"/>
        <family val="2"/>
      </rPr>
      <t xml:space="preserve">가 다듬은 그의 문장을 인용</t>
    </r>
  </si>
  <si>
    <r>
      <rPr>
        <sz val="10"/>
        <rFont val="Arial"/>
        <family val="0"/>
        <charset val="1"/>
      </rPr>
      <t xml:space="preserve">Machado</t>
    </r>
    <r>
      <rPr>
        <sz val="10"/>
        <rFont val="WenQuanYi Zen Hei"/>
        <family val="2"/>
      </rPr>
      <t xml:space="preserve">가 메모를 소리 내어 읽고 </t>
    </r>
    <r>
      <rPr>
        <sz val="10"/>
        <rFont val="Arial"/>
        <family val="0"/>
        <charset val="1"/>
      </rPr>
      <t xml:space="preserve">Bruno</t>
    </r>
    <r>
      <rPr>
        <sz val="10"/>
        <rFont val="WenQuanYi Zen Hei"/>
        <family val="2"/>
      </rPr>
      <t xml:space="preserve">가 협상장에서 그 문장을 인용한다</t>
    </r>
    <r>
      <rPr>
        <sz val="10"/>
        <rFont val="Arial"/>
        <family val="0"/>
        <charset val="1"/>
      </rPr>
      <t xml:space="preserve">.</t>
    </r>
  </si>
  <si>
    <t xml:space="preserve">Permitam-me uma última precisão: não foi ruim.</t>
  </si>
  <si>
    <t xml:space="preserve">memorando, legado, precisão, ratificação</t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</si>
  <si>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</si>
  <si>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올드 가드의 빈자리</t>
    </r>
    <r>
      <rPr>
        <sz val="10"/>
        <rFont val="Arial"/>
        <family val="0"/>
        <charset val="1"/>
      </rPr>
      <t xml:space="preserve">' — Zumbi·Freire</t>
    </r>
    <r>
      <rPr>
        <sz val="10"/>
        <rFont val="WenQuanYi Zen Hei"/>
        <family val="2"/>
      </rPr>
      <t xml:space="preserve">가 그의 커피 불평을 그리워한다고 인정</t>
    </r>
  </si>
  <si>
    <r>
      <rPr>
        <sz val="10"/>
        <rFont val="WenQuanYi Zen Hei"/>
        <family val="2"/>
      </rPr>
      <t xml:space="preserve">회상은 </t>
    </r>
    <r>
      <rPr>
        <sz val="10"/>
        <rFont val="Noto Sans CJK SC"/>
        <family val="2"/>
        <charset val="1"/>
      </rPr>
      <t xml:space="preserve">Marta·Zumbi·Freire</t>
    </r>
    <r>
      <rPr>
        <sz val="10"/>
        <rFont val="WenQuanYi Zen Hei"/>
        <family val="2"/>
      </rPr>
      <t xml:space="preserve">의 대사로</t>
    </r>
    <r>
      <rPr>
        <sz val="10"/>
        <rFont val="Noto Sans CJK SC"/>
        <family val="2"/>
        <charset val="1"/>
      </rPr>
      <t xml:space="preserve">.</t>
    </r>
  </si>
  <si>
    <t xml:space="preserve">Falta alguém nesta mesa, e falta a reclamação dele do café.</t>
  </si>
  <si>
    <t xml:space="preserve">lembrar, vazio, ausência, saudade</t>
  </si>
  <si>
    <r>
      <rPr>
        <b val="true"/>
        <sz val="10"/>
        <rFont val="Arial"/>
        <family val="0"/>
        <charset val="1"/>
      </rPr>
      <t xml:space="preserve">13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</si>
  <si>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유언장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공증인 앞에서 우산이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에게 간다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양치기 소년 개그의 회수</t>
    </r>
    <r>
      <rPr>
        <sz val="10"/>
        <rFont val="Noto Sans CJK SC"/>
        <family val="2"/>
        <charset val="1"/>
      </rPr>
      <t xml:space="preserve">). Zumbi</t>
    </r>
    <r>
      <rPr>
        <sz val="10"/>
        <rFont val="WenQuanYi Zen Hei"/>
        <family val="2"/>
      </rPr>
      <t xml:space="preserve">가 유언집행자</t>
    </r>
    <r>
      <rPr>
        <sz val="10"/>
        <rFont val="Noto Sans CJK SC"/>
        <family val="2"/>
        <charset val="1"/>
      </rPr>
      <t xml:space="preserve">(testamenteiro)</t>
    </r>
  </si>
  <si>
    <r>
      <rPr>
        <sz val="10"/>
        <rFont val="WenQuanYi Zen Hei"/>
        <family val="2"/>
      </rPr>
      <t xml:space="preserve">공증인</t>
    </r>
    <r>
      <rPr>
        <sz val="10"/>
        <rFont val="Noto Sans CJK SC"/>
        <family val="2"/>
        <charset val="1"/>
      </rPr>
      <t xml:space="preserve">(TABELIÃ)</t>
    </r>
    <r>
      <rPr>
        <sz val="10"/>
        <rFont val="WenQuanYi Zen Hei"/>
        <family val="2"/>
      </rPr>
      <t xml:space="preserve">이 유언 내용을 낭독하고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가 되묻는다</t>
    </r>
    <r>
      <rPr>
        <sz val="10"/>
        <rFont val="Noto Sans CJK SC"/>
        <family val="2"/>
        <charset val="1"/>
      </rPr>
      <t xml:space="preserve">.</t>
    </r>
  </si>
  <si>
    <t xml:space="preserve">Para a Larissa, o meu guarda-chuva. Anotem no meu testamento.</t>
  </si>
  <si>
    <t xml:space="preserve">testamento público, testamenteiro, cartório de notas, busca de testamento</t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</si>
  <si>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선택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</si>
  <si>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Isabel</t>
    </r>
    <r>
      <rPr>
        <sz val="10"/>
        <rFont val="WenQuanYi Zen Hei"/>
        <family val="2"/>
      </rPr>
      <t xml:space="preserve">의 애도 상담</t>
    </r>
  </si>
  <si>
    <r>
      <rPr>
        <sz val="10"/>
        <rFont val="WenQuanYi Zen Hei"/>
        <family val="2"/>
      </rPr>
      <t xml:space="preserve">다들 질색하던 </t>
    </r>
    <r>
      <rPr>
        <sz val="10"/>
        <rFont val="Noto Sans CJK SC"/>
        <family val="2"/>
        <charset val="1"/>
      </rPr>
      <t xml:space="preserve">«E como isso faz você se sentir?»</t>
    </r>
    <r>
      <rPr>
        <sz val="10"/>
        <rFont val="WenQuanYi Zen Hei"/>
        <family val="2"/>
      </rPr>
      <t xml:space="preserve">가 처음으로 진지하게 쓰인다</t>
    </r>
    <r>
      <rPr>
        <sz val="10"/>
        <rFont val="Noto Sans CJK SC"/>
        <family val="2"/>
        <charset val="1"/>
      </rPr>
      <t xml:space="preserve">.</t>
    </r>
  </si>
  <si>
    <t xml:space="preserve">E como isso faz você se sentir?</t>
  </si>
  <si>
    <t xml:space="preserve">luto, perda, saudade</t>
  </si>
  <si>
    <r>
      <rPr>
        <b val="true"/>
        <sz val="14"/>
        <color rgb="FF1F3864"/>
        <rFont val="Arial"/>
        <family val="0"/>
        <charset val="1"/>
      </rPr>
      <t xml:space="preserve">Freire — </t>
    </r>
    <r>
      <rPr>
        <b val="true"/>
        <sz val="14"/>
        <color rgb="FF1F3864"/>
        <rFont val="WenQuanYi Zen Hei"/>
        <family val="2"/>
      </rPr>
      <t xml:space="preserve">결론 대신 출처를 가리키는 사람</t>
    </r>
  </si>
  <si>
    <r>
      <rPr>
        <i val="true"/>
        <sz val="9"/>
        <color rgb="FF595959"/>
        <rFont val="WenQuanYi Zen Hei"/>
        <family val="2"/>
      </rPr>
      <t xml:space="preserve">직접 답하지 않고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어디를 찾을지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만 알려 준다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교육자의 논리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답을 떠먹이면 배움이 끝난다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답은 대부분 공개 출처에 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</si>
  <si>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설정 변경</t>
    </r>
  </si>
  <si>
    <t xml:space="preserve">답하는 방식</t>
  </si>
  <si>
    <r>
      <rPr>
        <sz val="10"/>
        <rFont val="WenQuanYi Zen Hei"/>
        <family val="2"/>
      </rPr>
      <t xml:space="preserve">결론은 말하지 않고 질문과 출처만 준다</t>
    </r>
    <r>
      <rPr>
        <sz val="10"/>
        <rFont val="Noto Sans CJK SC"/>
        <family val="2"/>
        <charset val="1"/>
      </rPr>
      <t xml:space="preserve">. (13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화에서 처음으로 결론을 직접 말한다</t>
    </r>
    <r>
      <rPr>
        <sz val="10"/>
        <rFont val="Noto Sans CJK SC"/>
        <family val="2"/>
        <charset val="1"/>
      </rPr>
      <t xml:space="preserve">.)</t>
    </r>
  </si>
  <si>
    <t xml:space="preserve">시그니처</t>
  </si>
  <si>
    <t xml:space="preserve">«Eu não disse nada. Mas olhe em…» / «Não te dou a resposta. Te digo onde ela mora.» / «Quase tudo está em fonte aberta. Só precisa saber ler.»</t>
  </si>
  <si>
    <r>
      <rPr>
        <b val="true"/>
        <sz val="10"/>
        <rFont val="WenQuanYi Zen Hei"/>
        <family val="2"/>
      </rPr>
      <t xml:space="preserve">도구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대화문 처리</t>
    </r>
    <r>
      <rPr>
        <b val="true"/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</si>
  <si>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책을 꺼내 건네거나 카드에 적어 주는 행동은 지문 대신 대사로 말한다</t>
    </r>
    <r>
      <rPr>
        <sz val="10"/>
        <rFont val="Noto Sans CJK SC"/>
        <family val="2"/>
        <charset val="1"/>
      </rPr>
      <t xml:space="preserve">: «Terceira prateleira, à sua esquerda.» / «Anota. Procure: …»</t>
    </r>
  </si>
  <si>
    <r>
      <rPr>
        <sz val="10"/>
        <rFont val="WenQuanYi Zen Hei"/>
        <family val="2"/>
      </rPr>
      <t xml:space="preserve">전원에게 </t>
    </r>
    <r>
      <rPr>
        <sz val="10"/>
        <rFont val="Noto Sans CJK SC"/>
        <family val="2"/>
        <charset val="1"/>
      </rPr>
      <t xml:space="preserve">você — «Procure você.»</t>
    </r>
    <r>
      <rPr>
        <sz val="10"/>
        <rFont val="WenQuanYi Zen Hei"/>
        <family val="2"/>
      </rPr>
      <t xml:space="preserve">가 다정한데도 물러서지 않아 더 얄밉다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</si>
  <si>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Larissa</t>
    </r>
    <r>
      <rPr>
        <b val="true"/>
        <sz val="10"/>
        <rFont val="WenQuanYi Zen Hei"/>
        <family val="2"/>
      </rPr>
      <t xml:space="preserve">와의 관계</t>
    </r>
  </si>
  <si>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«Me fala a resposta!» </t>
    </r>
    <r>
      <rPr>
        <sz val="10"/>
        <rFont val="WenQuanYi Zen Hei"/>
        <family val="2"/>
      </rPr>
      <t xml:space="preserve">하면 서가 위치만 말한다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짜증 나지만 정답을 떠먹이지 않는 이 교재의 태도와 같다</t>
    </r>
    <r>
      <rPr>
        <sz val="10"/>
        <rFont val="Arial"/>
        <family val="0"/>
        <charset val="1"/>
      </rPr>
      <t xml:space="preserve">.</t>
    </r>
  </si>
  <si>
    <t xml:space="preserve">현실 요소</t>
  </si>
  <si>
    <r>
      <rPr>
        <sz val="10"/>
        <rFont val="WenQuanYi Zen Hei"/>
        <family val="2"/>
      </rPr>
      <t xml:space="preserve">센트로의 헌책방</t>
    </r>
    <r>
      <rPr>
        <sz val="10"/>
        <rFont val="Arial"/>
        <family val="0"/>
        <charset val="1"/>
      </rPr>
      <t xml:space="preserve">(sebo) </t>
    </r>
    <r>
      <rPr>
        <sz val="10"/>
        <rFont val="WenQuanYi Zen Hei"/>
        <family val="2"/>
      </rPr>
      <t xml:space="preserve">거리와 시립 도서관</t>
    </r>
    <r>
      <rPr>
        <sz val="10"/>
        <rFont val="Arial"/>
        <family val="0"/>
        <charset val="1"/>
      </rPr>
      <t xml:space="preserve">(Biblioteca Mário de Andrade)</t>
    </r>
    <r>
      <rPr>
        <sz val="10"/>
        <rFont val="WenQuanYi Zen Hei"/>
        <family val="2"/>
      </rPr>
      <t xml:space="preserve">을 단골 출처로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학습자가 실제 상파울루에서 따라 걸어 볼 수 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군사정권 시절 감시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투옥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망명의 기억이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사찰 스캔들에서 쓰인다</t>
    </r>
    <r>
      <rPr>
        <sz val="10"/>
        <rFont val="Arial"/>
        <family val="0"/>
        <charset val="1"/>
      </rPr>
      <t xml:space="preserve">.</t>
    </r>
  </si>
  <si>
    <t xml:space="preserve">헌책방 원칙</t>
  </si>
  <si>
    <r>
      <rPr>
        <sz val="10"/>
        <rFont val="WenQuanYi Zen Hei"/>
        <family val="2"/>
      </rPr>
      <t xml:space="preserve">손님이 찾던 답이 든 책일 때만 값을 받지 않는다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그가 운영하는 건 아니지만 단골 </t>
    </r>
    <r>
      <rPr>
        <sz val="10"/>
        <rFont val="Noto Sans CJK SC"/>
        <family val="2"/>
        <charset val="1"/>
      </rPr>
      <t xml:space="preserve">sebo </t>
    </r>
    <r>
      <rPr>
        <sz val="10"/>
        <rFont val="WenQuanYi Zen Hei"/>
        <family val="2"/>
      </rPr>
      <t xml:space="preserve">주인과의 약속</t>
    </r>
    <r>
      <rPr>
        <sz val="10"/>
        <rFont val="Noto Sans CJK SC"/>
        <family val="2"/>
        <charset val="1"/>
      </rPr>
      <t xml:space="preserve">).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</si>
  <si>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그의 서가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칸</t>
    </r>
  </si>
  <si>
    <t xml:space="preserve">칸</t>
  </si>
  <si>
    <t xml:space="preserve">대표 출처</t>
  </si>
  <si>
    <t xml:space="preserve">법령칸</t>
  </si>
  <si>
    <t xml:space="preserve">법과 조문</t>
  </si>
  <si>
    <r>
      <rPr>
        <sz val="10"/>
        <rFont val="Arial"/>
        <family val="0"/>
        <charset val="1"/>
      </rPr>
      <t xml:space="preserve">Planalto </t>
    </r>
    <r>
      <rPr>
        <sz val="10"/>
        <rFont val="WenQuanYi Zen Hei"/>
        <family val="2"/>
      </rPr>
      <t xml:space="preserve">법령 사이트</t>
    </r>
    <r>
      <rPr>
        <sz val="10"/>
        <rFont val="Arial"/>
        <family val="0"/>
        <charset val="1"/>
      </rPr>
      <t xml:space="preserve">(planalto.gov.br/legislacao), </t>
    </r>
    <r>
      <rPr>
        <sz val="10"/>
        <rFont val="WenQuanYi Zen Hei"/>
        <family val="2"/>
      </rPr>
      <t xml:space="preserve">헌법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 법률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연방 관보</t>
    </r>
    <r>
      <rPr>
        <sz val="10"/>
        <rFont val="Arial"/>
        <family val="0"/>
        <charset val="1"/>
      </rPr>
      <t xml:space="preserve">(DOU)</t>
    </r>
  </si>
  <si>
    <t xml:space="preserve">문서칸</t>
  </si>
  <si>
    <t xml:space="preserve">기록과 자료</t>
  </si>
  <si>
    <r>
      <rPr>
        <sz val="10"/>
        <rFont val="WenQuanYi Zen Hei"/>
        <family val="2"/>
      </rPr>
      <t xml:space="preserve">국가기록원</t>
    </r>
    <r>
      <rPr>
        <sz val="10"/>
        <rFont val="Noto Sans CJK SC"/>
        <family val="2"/>
        <charset val="1"/>
      </rPr>
      <t xml:space="preserve">(Arquivo Nacional, SIAN), </t>
    </r>
    <r>
      <rPr>
        <sz val="10"/>
        <rFont val="WenQuanYi Zen Hei"/>
        <family val="2"/>
      </rPr>
      <t xml:space="preserve">상파울루주 공공기록원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하원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시의회 회의록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국가진실위원회 보고서</t>
    </r>
    <r>
      <rPr>
        <sz val="10"/>
        <rFont val="Noto Sans CJK SC"/>
        <family val="2"/>
        <charset val="1"/>
      </rPr>
      <t xml:space="preserve">(2014)</t>
    </r>
  </si>
  <si>
    <t xml:space="preserve">신문칸</t>
  </si>
  <si>
    <t xml:space="preserve">과거 기사</t>
  </si>
  <si>
    <r>
      <rPr>
        <sz val="10"/>
        <rFont val="WenQuanYi Zen Hei"/>
        <family val="2"/>
      </rPr>
      <t xml:space="preserve">국립도서관 디지털 신문 아카이브 </t>
    </r>
    <r>
      <rPr>
        <sz val="10"/>
        <rFont val="Noto Sans CJK SC"/>
        <family val="2"/>
        <charset val="1"/>
      </rPr>
      <t xml:space="preserve">(Hemeroteca Digital Brasileira, BN)</t>
    </r>
  </si>
  <si>
    <t xml:space="preserve">사전칸</t>
  </si>
  <si>
    <t xml:space="preserve">용어</t>
  </si>
  <si>
    <r>
      <rPr>
        <sz val="10"/>
        <rFont val="WenQuanYi Zen Hei"/>
        <family val="2"/>
      </rPr>
      <t xml:space="preserve">브라질 문학 아카데미 정서법 어휘집</t>
    </r>
    <r>
      <rPr>
        <sz val="10"/>
        <rFont val="Arial"/>
        <family val="0"/>
        <charset val="1"/>
      </rPr>
      <t xml:space="preserve">(VOLP, ABL), Michaelis </t>
    </r>
    <r>
      <rPr>
        <sz val="10"/>
        <rFont val="WenQuanYi Zen Hei"/>
        <family val="2"/>
      </rPr>
      <t xml:space="preserve">온라인 사전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</si>
  <si>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주제별 출처표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기획한 에피소드 기준</t>
    </r>
    <r>
      <rPr>
        <b val="true"/>
        <sz val="10"/>
        <rFont val="Arial"/>
        <family val="0"/>
        <charset val="1"/>
      </rPr>
      <t xml:space="preserve">)</t>
    </r>
  </si>
  <si>
    <t xml:space="preserve">상황</t>
  </si>
  <si>
    <r>
      <rPr>
        <b val="true"/>
        <sz val="10"/>
        <color rgb="FFFFFFFF"/>
        <rFont val="WenQuanYi Zen Hei"/>
        <family val="2"/>
      </rPr>
      <t xml:space="preserve">관련 부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화</t>
    </r>
  </si>
  <si>
    <r>
      <rPr>
        <b val="true"/>
        <sz val="10"/>
        <color rgb="FFFFFFFF"/>
        <rFont val="Arial"/>
        <family val="0"/>
        <charset val="1"/>
      </rPr>
      <t xml:space="preserve">Freire</t>
    </r>
    <r>
      <rPr>
        <b val="true"/>
        <sz val="10"/>
        <color rgb="FFFFFFFF"/>
        <rFont val="WenQuanYi Zen Hei"/>
        <family val="2"/>
      </rPr>
      <t xml:space="preserve">의 대사 </t>
    </r>
    <r>
      <rPr>
        <b val="true"/>
        <sz val="10"/>
        <color rgb="FFFFFFFF"/>
        <rFont val="Arial"/>
        <family val="0"/>
        <charset val="1"/>
      </rPr>
      <t xml:space="preserve">(PT)</t>
    </r>
  </si>
  <si>
    <t xml:space="preserve">찾을 곳</t>
  </si>
  <si>
    <r>
      <rPr>
        <b val="true"/>
        <sz val="10"/>
        <color rgb="FFFFFFFF"/>
        <rFont val="WenQuanYi Zen Hei"/>
        <family val="2"/>
      </rPr>
      <t xml:space="preserve">검색어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키워드</t>
    </r>
  </si>
  <si>
    <t xml:space="preserve">서가칸</t>
  </si>
  <si>
    <t xml:space="preserve">정보기관 개혁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</si>
  <si>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감독 개혁 자문</t>
    </r>
    <r>
      <rPr>
        <sz val="10"/>
        <rFont val="Arial"/>
        <family val="0"/>
        <charset val="1"/>
      </rPr>
      <t xml:space="preserve">)</t>
    </r>
  </si>
  <si>
    <t xml:space="preserve">Comece pela lei que criou a agência.</t>
  </si>
  <si>
    <r>
      <rPr>
        <sz val="10"/>
        <rFont val="WenQuanYi Zen Hei"/>
        <family val="2"/>
      </rPr>
      <t xml:space="preserve">정보청법</t>
    </r>
    <r>
      <rPr>
        <sz val="10"/>
        <rFont val="Arial"/>
        <family val="0"/>
        <charset val="1"/>
      </rPr>
      <t xml:space="preserve">(Lei 9.883/1999), </t>
    </r>
    <r>
      <rPr>
        <sz val="10"/>
        <rFont val="WenQuanYi Zen Hei"/>
        <family val="2"/>
      </rPr>
      <t xml:space="preserve">의회 정보활동통제위원회</t>
    </r>
    <r>
      <rPr>
        <sz val="10"/>
        <rFont val="Arial"/>
        <family val="0"/>
        <charset val="1"/>
      </rPr>
      <t xml:space="preserve">(CCAI) — Planalto</t>
    </r>
    <r>
      <rPr>
        <sz val="10"/>
        <rFont val="WenQuanYi Zen Hei"/>
        <family val="2"/>
      </rPr>
      <t xml:space="preserve">에서 검색</t>
    </r>
  </si>
  <si>
    <t xml:space="preserve">Lei 9.883/1999 Abin; controle externo CCAI</t>
  </si>
  <si>
    <t xml:space="preserve">도청의 합법성</t>
  </si>
  <si>
    <t xml:space="preserve">Prova ilícita não vale. Procure.</t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</si>
  <si>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XII(</t>
    </r>
    <r>
      <rPr>
        <sz val="10"/>
        <rFont val="WenQuanYi Zen Hei"/>
        <family val="2"/>
      </rPr>
      <t xml:space="preserve">통신의 비밀</t>
    </r>
    <r>
      <rPr>
        <sz val="10"/>
        <rFont val="Noto Sans CJK SC"/>
        <family val="2"/>
        <charset val="1"/>
      </rPr>
      <t xml:space="preserve">)·LVI(</t>
    </r>
    <r>
      <rPr>
        <sz val="10"/>
        <rFont val="WenQuanYi Zen Hei"/>
        <family val="2"/>
      </rPr>
      <t xml:space="preserve">위법 수집 증거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형사소송법 제</t>
    </r>
    <r>
      <rPr>
        <sz val="10"/>
        <rFont val="Noto Sans CJK SC"/>
        <family val="2"/>
        <charset val="1"/>
      </rPr>
      <t xml:space="preserve">157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감청법</t>
    </r>
    <r>
      <rPr>
        <sz val="10"/>
        <rFont val="Noto Sans CJK SC"/>
        <family val="2"/>
        <charset val="1"/>
      </rPr>
      <t xml:space="preserve">(Lei 9.296/1996)</t>
    </r>
  </si>
  <si>
    <t xml:space="preserve">interceptação telefônica, autorização judicial, cadeia de custódia, prova ilícita</t>
  </si>
  <si>
    <t xml:space="preserve">기밀과 정보 공개</t>
  </si>
  <si>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</si>
  <si>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Existe uma lei que obriga o Estado a responder.</t>
  </si>
  <si>
    <r>
      <rPr>
        <sz val="10"/>
        <rFont val="WenQuanYi Zen Hei"/>
        <family val="2"/>
      </rPr>
      <t xml:space="preserve">정보접근법</t>
    </r>
    <r>
      <rPr>
        <sz val="10"/>
        <rFont val="Arial"/>
        <family val="0"/>
        <charset val="1"/>
      </rPr>
      <t xml:space="preserve">(Lei 12.527/2011), </t>
    </r>
    <r>
      <rPr>
        <sz val="10"/>
        <rFont val="WenQuanYi Zen Hei"/>
        <family val="2"/>
      </rPr>
      <t xml:space="preserve">정보공개 청구 포털</t>
    </r>
    <r>
      <rPr>
        <sz val="10"/>
        <rFont val="Arial"/>
        <family val="0"/>
        <charset val="1"/>
      </rPr>
      <t xml:space="preserve">(Fala.BR)</t>
    </r>
  </si>
  <si>
    <t xml:space="preserve">Lei de Acesso à Informação, sigilo, classificação</t>
  </si>
  <si>
    <t xml:space="preserve">의사의 비밀유지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</si>
  <si>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6·11~12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(Dom Pedro </t>
    </r>
    <r>
      <rPr>
        <sz val="10"/>
        <rFont val="WenQuanYi Zen Hei"/>
        <family val="2"/>
      </rPr>
      <t xml:space="preserve">복선</t>
    </r>
    <r>
      <rPr>
        <sz val="10"/>
        <rFont val="Arial"/>
        <family val="0"/>
        <charset val="1"/>
      </rPr>
      <t xml:space="preserve">)</t>
    </r>
  </si>
  <si>
    <t xml:space="preserve">Pergunte à doutora o que diz o código dela.</t>
  </si>
  <si>
    <r>
      <rPr>
        <sz val="10"/>
        <rFont val="WenQuanYi Zen Hei"/>
        <family val="2"/>
      </rPr>
      <t xml:space="preserve">연방의사회 의료윤리강령</t>
    </r>
    <r>
      <rPr>
        <sz val="10"/>
        <rFont val="Noto Sans CJK SC"/>
        <family val="2"/>
        <charset val="1"/>
      </rPr>
      <t xml:space="preserve">(CFM </t>
    </r>
    <r>
      <rPr>
        <sz val="10"/>
        <rFont val="WenQuanYi Zen Hei"/>
        <family val="2"/>
      </rPr>
      <t xml:space="preserve">결의 </t>
    </r>
    <r>
      <rPr>
        <sz val="10"/>
        <rFont val="Noto Sans CJK SC"/>
        <family val="2"/>
        <charset val="1"/>
      </rPr>
      <t xml:space="preserve">2.217/2018)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73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형법 제</t>
    </r>
    <r>
      <rPr>
        <sz val="10"/>
        <rFont val="Noto Sans CJK SC"/>
        <family val="2"/>
        <charset val="1"/>
      </rPr>
      <t xml:space="preserve">154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직업상 비밀 누설</t>
    </r>
    <r>
      <rPr>
        <sz val="10"/>
        <rFont val="Noto Sans CJK SC"/>
        <family val="2"/>
        <charset val="1"/>
      </rPr>
      <t xml:space="preserve">)</t>
    </r>
  </si>
  <si>
    <t xml:space="preserve">sigilo médico, prontuário</t>
  </si>
  <si>
    <t xml:space="preserve">자금 세탁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</si>
  <si>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</si>
  <si>
    <t xml:space="preserve">Todo dinheiro tem uma lei que o vigia. Procure.</t>
  </si>
  <si>
    <r>
      <rPr>
        <sz val="10"/>
        <rFont val="WenQuanYi Zen Hei"/>
        <family val="2"/>
      </rPr>
      <t xml:space="preserve">자금세탁방지법</t>
    </r>
    <r>
      <rPr>
        <sz val="10"/>
        <rFont val="Arial"/>
        <family val="0"/>
        <charset val="1"/>
      </rPr>
      <t xml:space="preserve">(Lei 9.613/1998), </t>
    </r>
    <r>
      <rPr>
        <sz val="10"/>
        <rFont val="WenQuanYi Zen Hei"/>
        <family val="2"/>
      </rPr>
      <t xml:space="preserve">금융정보분석원</t>
    </r>
    <r>
      <rPr>
        <sz val="10"/>
        <rFont val="Arial"/>
        <family val="0"/>
        <charset val="1"/>
      </rPr>
      <t xml:space="preserve">(COAF), </t>
    </r>
    <r>
      <rPr>
        <sz val="10"/>
        <rFont val="WenQuanYi Zen Hei"/>
        <family val="2"/>
      </rPr>
      <t xml:space="preserve">상업등기소</t>
    </r>
    <r>
      <rPr>
        <sz val="10"/>
        <rFont val="Arial"/>
        <family val="0"/>
        <charset val="1"/>
      </rPr>
      <t xml:space="preserve">(JUCESP)·</t>
    </r>
    <r>
      <rPr>
        <sz val="10"/>
        <rFont val="WenQuanYi Zen Hei"/>
        <family val="2"/>
      </rPr>
      <t xml:space="preserve">국세청 법인 주주 명부</t>
    </r>
  </si>
  <si>
    <t xml:space="preserve">lavagem de dinheiro, beneficiário final, paraíso fiscal</t>
  </si>
  <si>
    <r>
      <rPr>
        <sz val="10"/>
        <rFont val="WenQuanYi Zen Hei"/>
        <family val="2"/>
      </rPr>
      <t xml:space="preserve">문서칸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법령칸</t>
    </r>
  </si>
  <si>
    <r>
      <rPr>
        <b val="true"/>
        <sz val="10"/>
        <rFont val="WenQuanYi Zen Hei"/>
        <family val="2"/>
      </rPr>
      <t xml:space="preserve">주거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퇴거</t>
    </r>
  </si>
  <si>
    <r>
      <rPr>
        <sz val="10"/>
        <rFont val="Arial"/>
        <family val="0"/>
        <charset val="1"/>
      </rPr>
      <t xml:space="preserve">1·2·11</t>
    </r>
    <r>
      <rPr>
        <sz val="10"/>
        <rFont val="WenQuanYi Zen Hei"/>
        <family val="2"/>
      </rPr>
      <t xml:space="preserve">부</t>
    </r>
  </si>
  <si>
    <t xml:space="preserve">Compare o que dizem com o que existe.</t>
  </si>
  <si>
    <r>
      <rPr>
        <sz val="10"/>
        <rFont val="WenQuanYi Zen Hei"/>
        <family val="2"/>
      </rPr>
      <t xml:space="preserve">임대차법</t>
    </r>
    <r>
      <rPr>
        <sz val="10"/>
        <rFont val="Arial"/>
        <family val="0"/>
        <charset val="1"/>
      </rPr>
      <t xml:space="preserve">(Lei 8.245/1991), </t>
    </r>
    <r>
      <rPr>
        <sz val="10"/>
        <rFont val="WenQuanYi Zen Hei"/>
        <family val="2"/>
      </rPr>
      <t xml:space="preserve">도시법</t>
    </r>
    <r>
      <rPr>
        <sz val="10"/>
        <rFont val="Arial"/>
        <family val="0"/>
        <charset val="1"/>
      </rPr>
      <t xml:space="preserve">(Lei 10.257/2001), </t>
    </r>
    <r>
      <rPr>
        <sz val="10"/>
        <rFont val="WenQuanYi Zen Hei"/>
        <family val="2"/>
      </rPr>
      <t xml:space="preserve">민사소송법</t>
    </r>
    <r>
      <rPr>
        <sz val="10"/>
        <rFont val="Arial"/>
        <family val="0"/>
        <charset val="1"/>
      </rPr>
      <t xml:space="preserve">(CPC, Lei 13.105/2015)</t>
    </r>
    <r>
      <rPr>
        <sz val="10"/>
        <rFont val="WenQuanYi Zen Hei"/>
        <family val="2"/>
      </rPr>
      <t xml:space="preserve">의 퇴거 절차</t>
    </r>
    <r>
      <rPr>
        <sz val="10"/>
        <rFont val="Arial"/>
        <family val="0"/>
        <charset val="1"/>
      </rPr>
      <t xml:space="preserve">, STF ADPF 828</t>
    </r>
  </si>
  <si>
    <t xml:space="preserve">despejo, locação, retomada, ocupação</t>
  </si>
  <si>
    <t xml:space="preserve">가격 담합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</si>
  <si>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</si>
  <si>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Olhe no CADE.</t>
  </si>
  <si>
    <r>
      <rPr>
        <sz val="10"/>
        <rFont val="WenQuanYi Zen Hei"/>
        <family val="2"/>
      </rPr>
      <t xml:space="preserve">경쟁법</t>
    </r>
    <r>
      <rPr>
        <sz val="10"/>
        <rFont val="Arial"/>
        <family val="0"/>
        <charset val="1"/>
      </rPr>
      <t xml:space="preserve">(Lei 12.529/2011), </t>
    </r>
    <r>
      <rPr>
        <sz val="10"/>
        <rFont val="WenQuanYi Zen Hei"/>
        <family val="2"/>
      </rPr>
      <t xml:space="preserve">경쟁당국</t>
    </r>
    <r>
      <rPr>
        <sz val="10"/>
        <rFont val="Arial"/>
        <family val="0"/>
        <charset val="1"/>
      </rPr>
      <t xml:space="preserve">(CADE, cade.gov.br)</t>
    </r>
    <r>
      <rPr>
        <sz val="10"/>
        <rFont val="WenQuanYi Zen Hei"/>
        <family val="2"/>
      </rPr>
      <t xml:space="preserve">의 제재 결정문</t>
    </r>
  </si>
  <si>
    <t xml:space="preserve">cartel, processo administrativo, concorrência</t>
  </si>
  <si>
    <r>
      <rPr>
        <sz val="10"/>
        <rFont val="WenQuanYi Zen Hei"/>
        <family val="2"/>
      </rPr>
      <t xml:space="preserve">법령칸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문서칸</t>
    </r>
  </si>
  <si>
    <t xml:space="preserve">초고소득 과세</t>
  </si>
  <si>
    <t xml:space="preserve">Você não inventou isso. Já foi feito.</t>
  </si>
  <si>
    <r>
      <rPr>
        <sz val="10"/>
        <rFont val="WenQuanYi Zen Hei"/>
        <family val="2"/>
      </rPr>
      <t xml:space="preserve">역외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전용펀드 과세법</t>
    </r>
    <r>
      <rPr>
        <sz val="10"/>
        <rFont val="Arial"/>
        <family val="0"/>
        <charset val="1"/>
      </rPr>
      <t xml:space="preserve">(Lei 14.754/2023),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III</t>
    </r>
  </si>
  <si>
    <t xml:space="preserve">tributação de altas rendas, offshore, fundos exclusivos</t>
  </si>
  <si>
    <t xml:space="preserve">Mercosul–EU·EUDR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</si>
  <si>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9~10</t>
    </r>
    <r>
      <rPr>
        <sz val="10"/>
        <rFont val="WenQuanYi Zen Hei"/>
        <family val="2"/>
      </rPr>
      <t xml:space="preserve">화</t>
    </r>
  </si>
  <si>
    <t xml:space="preserve">Esse artigo não diz o que te disseram.</t>
  </si>
  <si>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규정 </t>
    </r>
    <r>
      <rPr>
        <sz val="10"/>
        <rFont val="Noto Sans CJK SC"/>
        <family val="2"/>
        <charset val="1"/>
      </rPr>
      <t xml:space="preserve">2023/1115(EUDR), EUR-Lex(eur-lex.europa.eu), </t>
    </r>
    <r>
      <rPr>
        <sz val="10"/>
        <rFont val="WenQuanYi Zen Hei"/>
        <family val="2"/>
      </rPr>
      <t xml:space="preserve">외교부</t>
    </r>
    <r>
      <rPr>
        <sz val="10"/>
        <rFont val="Noto Sans CJK SC"/>
        <family val="2"/>
        <charset val="1"/>
      </rPr>
      <t xml:space="preserve">(Itamaraty) </t>
    </r>
    <r>
      <rPr>
        <sz val="10"/>
        <rFont val="WenQuanYi Zen Hei"/>
        <family val="2"/>
      </rPr>
      <t xml:space="preserve">협정문 공개본</t>
    </r>
  </si>
  <si>
    <t xml:space="preserve">acordo Mercosul-UE, EUDR, salvaguarda</t>
  </si>
  <si>
    <t xml:space="preserve">과거의 감시 기록</t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</si>
  <si>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</si>
  <si>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Os jornais guardam o que as pessoas esquecem.</t>
  </si>
  <si>
    <r>
      <rPr>
        <sz val="10"/>
        <rFont val="Noto Sans CJK SC"/>
        <family val="2"/>
        <charset val="1"/>
      </rPr>
      <t xml:space="preserve">Hemeroteca Digital Brasileira, </t>
    </r>
    <r>
      <rPr>
        <sz val="10"/>
        <rFont val="WenQuanYi Zen Hei"/>
        <family val="2"/>
      </rPr>
      <t xml:space="preserve">국가진실위원회 보고서</t>
    </r>
  </si>
  <si>
    <r>
      <rPr>
        <sz val="10"/>
        <rFont val="Arial"/>
        <family val="0"/>
        <charset val="1"/>
      </rPr>
      <t xml:space="preserve">'SNI', 'Comissão Nacional da Verdade'</t>
    </r>
    <r>
      <rPr>
        <sz val="10"/>
        <rFont val="WenQuanYi Zen Hei"/>
        <family val="2"/>
      </rPr>
      <t xml:space="preserve">로 검색</t>
    </r>
  </si>
  <si>
    <t xml:space="preserve">의회 발언 확인</t>
  </si>
  <si>
    <t xml:space="preserve">Tudo o que se disse na tribuna está escrito.</t>
  </si>
  <si>
    <r>
      <rPr>
        <sz val="10"/>
        <rFont val="WenQuanYi Zen Hei"/>
        <family val="2"/>
      </rPr>
      <t xml:space="preserve">시의회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하원 속기록</t>
    </r>
    <r>
      <rPr>
        <sz val="10"/>
        <rFont val="Noto Sans CJK SC"/>
        <family val="2"/>
        <charset val="1"/>
      </rPr>
      <t xml:space="preserve">(camara.leg.br '</t>
    </r>
    <r>
      <rPr>
        <sz val="10"/>
        <rFont val="WenQuanYi Zen Hei"/>
        <family val="2"/>
      </rPr>
      <t xml:space="preserve">발언과 속기</t>
    </r>
    <r>
      <rPr>
        <sz val="10"/>
        <rFont val="Noto Sans CJK SC"/>
        <family val="2"/>
        <charset val="1"/>
      </rPr>
      <t xml:space="preserve">')</t>
    </r>
  </si>
  <si>
    <t xml:space="preserve">discurso, notas taquigráficas, sessão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</si>
  <si>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5~6</t>
    </r>
    <r>
      <rPr>
        <sz val="10"/>
        <rFont val="WenQuanYi Zen Hei"/>
        <family val="2"/>
      </rPr>
      <t xml:space="preserve">화</t>
    </r>
  </si>
  <si>
    <t xml:space="preserve">Um partido começa num papel público. Procure.</t>
  </si>
  <si>
    <r>
      <rPr>
        <sz val="10"/>
        <rFont val="WenQuanYi Zen Hei"/>
        <family val="2"/>
      </rPr>
      <t xml:space="preserve">정당법</t>
    </r>
    <r>
      <rPr>
        <sz val="10"/>
        <rFont val="Arial"/>
        <family val="0"/>
        <charset val="1"/>
      </rPr>
      <t xml:space="preserve">(Lei 9.096/1995), </t>
    </r>
    <r>
      <rPr>
        <sz val="10"/>
        <rFont val="WenQuanYi Zen Hei"/>
        <family val="2"/>
      </rPr>
      <t xml:space="preserve">선거법원</t>
    </r>
    <r>
      <rPr>
        <sz val="10"/>
        <rFont val="Arial"/>
        <family val="0"/>
        <charset val="1"/>
      </rPr>
      <t xml:space="preserve">(TSE) </t>
    </r>
    <r>
      <rPr>
        <sz val="10"/>
        <rFont val="WenQuanYi Zen Hei"/>
        <family val="2"/>
      </rPr>
      <t xml:space="preserve">정당 등록 결의</t>
    </r>
  </si>
  <si>
    <t xml:space="preserve">ata de fundação, estatuto, apoiamento, registro</t>
  </si>
  <si>
    <t xml:space="preserve">정당 재정</t>
  </si>
  <si>
    <t xml:space="preserve">Quem conta o dinheiro de um partido também deixa rastro.</t>
  </si>
  <si>
    <r>
      <rPr>
        <sz val="10"/>
        <rFont val="WenQuanYi Zen Hei"/>
        <family val="2"/>
      </rPr>
      <t xml:space="preserve">정당법 제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조 이하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선거법</t>
    </r>
    <r>
      <rPr>
        <sz val="10"/>
        <rFont val="Arial"/>
        <family val="0"/>
        <charset val="1"/>
      </rPr>
      <t xml:space="preserve">(Lei 9.504/1997), TSE </t>
    </r>
    <r>
      <rPr>
        <sz val="10"/>
        <rFont val="WenQuanYi Zen Hei"/>
        <family val="2"/>
      </rPr>
      <t xml:space="preserve">선거자금 공개 시스템</t>
    </r>
    <r>
      <rPr>
        <sz val="10"/>
        <rFont val="Arial"/>
        <family val="0"/>
        <charset val="1"/>
      </rPr>
      <t xml:space="preserve">(DivulgaCandContas)</t>
    </r>
  </si>
  <si>
    <t xml:space="preserve">Fundo Partidário, FEFC, prestação de contas</t>
  </si>
  <si>
    <t xml:space="preserve">선거 규칙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</si>
  <si>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·10</t>
    </r>
    <r>
      <rPr>
        <sz val="10"/>
        <rFont val="WenQuanYi Zen Hei"/>
        <family val="2"/>
      </rPr>
      <t xml:space="preserve">부</t>
    </r>
  </si>
  <si>
    <t xml:space="preserve">As regras do jogo estão na Lei das Eleições.</t>
  </si>
  <si>
    <r>
      <rPr>
        <sz val="10"/>
        <rFont val="WenQuanYi Zen Hei"/>
        <family val="2"/>
      </rPr>
      <t xml:space="preserve">선거법</t>
    </r>
    <r>
      <rPr>
        <sz val="10"/>
        <rFont val="Arial"/>
        <family val="0"/>
        <charset val="1"/>
      </rPr>
      <t xml:space="preserve">(Lei 9.504/1997): </t>
    </r>
    <r>
      <rPr>
        <sz val="10"/>
        <rFont val="WenQuanYi Zen Hei"/>
        <family val="2"/>
      </rPr>
      <t xml:space="preserve">후보 등록 제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TV </t>
    </r>
    <r>
      <rPr>
        <sz val="10"/>
        <rFont val="WenQuanYi Zen Hei"/>
        <family val="2"/>
      </rPr>
      <t xml:space="preserve">토론 제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반론권 제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선거법전</t>
    </r>
    <r>
      <rPr>
        <sz val="10"/>
        <rFont val="Arial"/>
        <family val="0"/>
        <charset val="1"/>
      </rPr>
      <t xml:space="preserve">(Lei 4.737/1965)</t>
    </r>
  </si>
  <si>
    <t xml:space="preserve">registro de candidatura, quociente eleitoral, Justiça Eleitoral</t>
  </si>
  <si>
    <r>
      <rPr>
        <b val="true"/>
        <sz val="10"/>
        <rFont val="WenQuanYi Zen Hei"/>
        <family val="2"/>
      </rPr>
      <t xml:space="preserve">대통령 선출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탄핵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</si>
  <si>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</si>
  <si>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Artigo 77. Leia devagar, duas vezes.</t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</si>
  <si>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77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선출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78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취임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85·86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탄핵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책임범죄법</t>
    </r>
    <r>
      <rPr>
        <sz val="10"/>
        <rFont val="Noto Sans CJK SC"/>
        <family val="2"/>
        <charset val="1"/>
      </rPr>
      <t xml:space="preserve">(Lei 1.079/1950)</t>
    </r>
  </si>
  <si>
    <t xml:space="preserve">segundo turno, posse, impeachment, crime de responsabilidade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</si>
  <si>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·11</t>
    </r>
    <r>
      <rPr>
        <sz val="10"/>
        <rFont val="WenQuanYi Zen Hei"/>
        <family val="2"/>
      </rPr>
      <t xml:space="preserve">부</t>
    </r>
  </si>
  <si>
    <t xml:space="preserve">Quem manda nisso? Olhe o Título III.</t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</si>
  <si>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편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국가의 조직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21~30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198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(SUS), </t>
    </r>
    <r>
      <rPr>
        <sz val="10"/>
        <rFont val="WenQuanYi Zen Hei"/>
        <family val="2"/>
      </rPr>
      <t xml:space="preserve">상파울루시 조직법</t>
    </r>
  </si>
  <si>
    <t xml:space="preserve">competência comum, concorrente, municipal</t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</si>
  <si>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·9</t>
    </r>
    <r>
      <rPr>
        <sz val="10"/>
        <rFont val="WenQuanYi Zen Hei"/>
        <family val="2"/>
      </rPr>
      <t xml:space="preserve">부</t>
    </r>
  </si>
  <si>
    <t xml:space="preserve">Existe uma lei para quem avisa.</t>
  </si>
  <si>
    <t xml:space="preserve">denunciante, retaliação, canal de denúncias</t>
  </si>
  <si>
    <t xml:space="preserve">의회 표결 확인</t>
  </si>
  <si>
    <t xml:space="preserve">Todo voto fica escrito.</t>
  </si>
  <si>
    <r>
      <rPr>
        <sz val="10"/>
        <rFont val="WenQuanYi Zen Hei"/>
        <family val="2"/>
      </rPr>
      <t xml:space="preserve">하원 기명 투표 결과</t>
    </r>
    <r>
      <rPr>
        <sz val="10"/>
        <rFont val="Noto Sans CJK SC"/>
        <family val="2"/>
        <charset val="1"/>
      </rPr>
      <t xml:space="preserve">(camara.leg.br '</t>
    </r>
    <r>
      <rPr>
        <sz val="10"/>
        <rFont val="WenQuanYi Zen Hei"/>
        <family val="2"/>
      </rPr>
      <t xml:space="preserve">투표</t>
    </r>
    <r>
      <rPr>
        <sz val="10"/>
        <rFont val="Noto Sans CJK SC"/>
        <family val="2"/>
        <charset val="1"/>
      </rPr>
      <t xml:space="preserve">'), </t>
    </r>
    <r>
      <rPr>
        <sz val="10"/>
        <rFont val="WenQuanYi Zen Hei"/>
        <family val="2"/>
      </rPr>
      <t xml:space="preserve">선거법원 개표 결과</t>
    </r>
    <r>
      <rPr>
        <sz val="10"/>
        <rFont val="Noto Sans CJK SC"/>
        <family val="2"/>
        <charset val="1"/>
      </rPr>
      <t xml:space="preserve">(resultados.tse.jus.br)</t>
    </r>
  </si>
  <si>
    <t xml:space="preserve">votação nominal, apuração, placar</t>
  </si>
  <si>
    <t xml:space="preserve">모르는 단어</t>
  </si>
  <si>
    <t xml:space="preserve">전 부</t>
  </si>
  <si>
    <t xml:space="preserve">Se você não sabe a palavra, não sabe a lei.</t>
  </si>
  <si>
    <t xml:space="preserve">VOLP(ABL), Michaelis</t>
  </si>
  <si>
    <r>
      <rPr>
        <i val="true"/>
        <sz val="9"/>
        <color rgb="FF595959"/>
        <rFont val="WenQuanYi Zen Hei"/>
        <family val="2"/>
      </rPr>
      <t xml:space="preserve">※ 법령 번호와 조항은 기획 시점 지식으로 정리한 것입니다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교재에 넣기 전에 </t>
    </r>
    <r>
      <rPr>
        <i val="true"/>
        <sz val="9"/>
        <color rgb="FF595959"/>
        <rFont val="Noto Sans CJK SC"/>
        <family val="2"/>
        <charset val="1"/>
      </rPr>
      <t xml:space="preserve">Planalto </t>
    </r>
    <r>
      <rPr>
        <i val="true"/>
        <sz val="9"/>
        <color rgb="FF595959"/>
        <rFont val="WenQuanYi Zen Hei"/>
        <family val="2"/>
      </rPr>
      <t xml:space="preserve">법령 사이트의 현행 통합본</t>
    </r>
    <r>
      <rPr>
        <i val="true"/>
        <sz val="9"/>
        <color rgb="FF595959"/>
        <rFont val="Noto Sans CJK SC"/>
        <family val="2"/>
        <charset val="1"/>
      </rPr>
      <t xml:space="preserve">(texto compilado)</t>
    </r>
    <r>
      <rPr>
        <i val="true"/>
        <sz val="9"/>
        <color rgb="FF595959"/>
        <rFont val="WenQuanYi Zen Hei"/>
        <family val="2"/>
      </rPr>
      <t xml:space="preserve">으로 반드시 확인하세요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참고 도서 제목은 지어낼 위험이 있어 제외하고 검색어만 적었습니다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</si>
  <si>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카드</t>
    </r>
    <r>
      <rPr>
        <b val="true"/>
        <sz val="10"/>
        <rFont val="Arial"/>
        <family val="0"/>
        <charset val="1"/>
      </rPr>
      <t xml:space="preserve">(FICHA) </t>
    </r>
    <r>
      <rPr>
        <b val="true"/>
        <sz val="10"/>
        <rFont val="WenQuanYi Zen Hei"/>
        <family val="2"/>
      </rPr>
      <t xml:space="preserve">구술 템플릿 — 지문 없이 대사로만</t>
    </r>
  </si>
  <si>
    <t xml:space="preserve">화자</t>
  </si>
  <si>
    <t xml:space="preserve">기능</t>
  </si>
  <si>
    <t xml:space="preserve">FREIRE</t>
  </si>
  <si>
    <r>
      <rPr>
        <sz val="10"/>
        <rFont val="WenQuanYi Zen Hei"/>
        <family val="2"/>
      </rPr>
      <t xml:space="preserve">검색어 </t>
    </r>
    <r>
      <rPr>
        <sz val="10"/>
        <rFont val="Noto Sans CJK SC"/>
        <family val="2"/>
        <charset val="1"/>
      </rPr>
      <t xml:space="preserve">(Procure)</t>
    </r>
  </si>
  <si>
    <t xml:space="preserve">Anota. Procure: «prova ilícita».</t>
  </si>
  <si>
    <r>
      <rPr>
        <sz val="10"/>
        <rFont val="WenQuanYi Zen Hei"/>
        <family val="2"/>
      </rPr>
      <t xml:space="preserve">적어 둬요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찾을 것</t>
    </r>
    <r>
      <rPr>
        <sz val="10"/>
        <rFont val="Noto Sans CJK SC"/>
        <family val="2"/>
        <charset val="1"/>
      </rPr>
      <t xml:space="preserve">: «</t>
    </r>
    <r>
      <rPr>
        <sz val="10"/>
        <rFont val="WenQuanYi Zen Hei"/>
        <family val="2"/>
      </rPr>
      <t xml:space="preserve">위법 수집 증거</t>
    </r>
    <r>
      <rPr>
        <sz val="10"/>
        <rFont val="Noto Sans CJK SC"/>
        <family val="2"/>
        <charset val="1"/>
      </rPr>
      <t xml:space="preserve">».</t>
    </r>
  </si>
  <si>
    <t xml:space="preserve">LARISSA</t>
  </si>
  <si>
    <t xml:space="preserve">질문으로 다음 항목을 끌어냄</t>
  </si>
  <si>
    <t xml:space="preserve">Tá. Onde?</t>
  </si>
  <si>
    <r>
      <rPr>
        <sz val="10"/>
        <rFont val="WenQuanYi Zen Hei"/>
        <family val="2"/>
      </rPr>
      <t xml:space="preserve">알겠어요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어디서요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</si>
  <si>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WenQuanYi Zen Hei"/>
        <family val="2"/>
      </rPr>
      <t xml:space="preserve">출처 </t>
    </r>
    <r>
      <rPr>
        <sz val="10"/>
        <rFont val="Noto Sans CJK SC"/>
        <family val="2"/>
        <charset val="1"/>
      </rPr>
      <t xml:space="preserve">(Onde)</t>
    </r>
  </si>
  <si>
    <t xml:space="preserve">No site do Planalto. Constituição, artigo quinto, inciso cinquenta e seis.</t>
  </si>
  <si>
    <r>
      <rPr>
        <sz val="10"/>
        <rFont val="Noto Sans CJK SC"/>
        <family val="2"/>
        <charset val="1"/>
      </rPr>
      <t xml:space="preserve">Planalto </t>
    </r>
    <r>
      <rPr>
        <sz val="10"/>
        <rFont val="WenQuanYi Zen Hei"/>
        <family val="2"/>
      </rPr>
      <t xml:space="preserve">법령 사이트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조 제</t>
    </r>
    <r>
      <rPr>
        <sz val="10"/>
        <rFont val="Noto Sans CJK SC"/>
        <family val="2"/>
        <charset val="1"/>
      </rPr>
      <t xml:space="preserve">56</t>
    </r>
    <r>
      <rPr>
        <sz val="10"/>
        <rFont val="WenQuanYi Zen Hei"/>
        <family val="2"/>
      </rPr>
      <t xml:space="preserve">호</t>
    </r>
    <r>
      <rPr>
        <sz val="10"/>
        <rFont val="Noto Sans CJK SC"/>
        <family val="2"/>
        <charset val="1"/>
      </rPr>
      <t xml:space="preserve">.</t>
    </r>
  </si>
  <si>
    <t xml:space="preserve">질문</t>
  </si>
  <si>
    <t xml:space="preserve">E que palavras eu procuro?</t>
  </si>
  <si>
    <r>
      <rPr>
        <sz val="10"/>
        <rFont val="WenQuanYi Zen Hei"/>
        <family val="2"/>
      </rPr>
      <t xml:space="preserve">그럼 어떤 단어를 찾죠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</si>
  <si>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WenQuanYi Zen Hei"/>
        <family val="2"/>
      </rPr>
      <t xml:space="preserve">키워드 </t>
    </r>
    <r>
      <rPr>
        <sz val="10"/>
        <rFont val="Noto Sans CJK SC"/>
        <family val="2"/>
        <charset val="1"/>
      </rPr>
      <t xml:space="preserve">(Palavras-chave)</t>
    </r>
  </si>
  <si>
    <t xml:space="preserve">Interceptação telefônica. Autorização judicial. Cadeia de custódia.</t>
  </si>
  <si>
    <r>
      <rPr>
        <sz val="10"/>
        <rFont val="WenQuanYi Zen Hei"/>
        <family val="2"/>
      </rPr>
      <t xml:space="preserve">통신 감청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법원 허가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증거 보관 연속성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</si>
  <si>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의 조급함</t>
    </r>
  </si>
  <si>
    <t xml:space="preserve">E a resposta?</t>
  </si>
  <si>
    <r>
      <rPr>
        <sz val="10"/>
        <rFont val="WenQuanYi Zen Hei"/>
        <family val="2"/>
      </rPr>
      <t xml:space="preserve">그럼 답은요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</si>
  <si>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WenQuanYi Zen Hei"/>
        <family val="2"/>
      </rPr>
      <t xml:space="preserve">시그니처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서가 위치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손짓 지문 대체</t>
    </r>
    <r>
      <rPr>
        <sz val="10"/>
        <rFont val="Noto Sans CJK SC"/>
        <family val="2"/>
        <charset val="1"/>
      </rPr>
      <t xml:space="preserve">)</t>
    </r>
  </si>
  <si>
    <t xml:space="preserve">Eu não disse nada. Terceira prateleira, à sua esquerda.</t>
  </si>
  <si>
    <r>
      <rPr>
        <sz val="10"/>
        <rFont val="WenQuanYi Zen Hei"/>
        <family val="2"/>
      </rPr>
      <t xml:space="preserve">나는 아무 말도 안 했어요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세 번째 선반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왼쪽이에요</t>
    </r>
    <r>
      <rPr>
        <sz val="10"/>
        <rFont val="Noto Sans CJK SC"/>
        <family val="2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</si>
  <si>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카드는 </t>
    </r>
    <r>
      <rPr>
        <i val="true"/>
        <sz val="9"/>
        <color rgb="FF595959"/>
        <rFont val="Noto Sans CJK SC"/>
        <family val="2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줄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검색어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키워드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과 마지막 시그니처로 짧게 유지한다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이 카드가 모이면 교재 전체의 포르투갈어 자료 색인이 된다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카드를 넣을 화의 범위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전 화 </t>
    </r>
    <r>
      <rPr>
        <i val="true"/>
        <sz val="9"/>
        <color rgb="FF595959"/>
        <rFont val="Noto Sans CJK SC"/>
        <family val="2"/>
        <charset val="1"/>
      </rPr>
      <t xml:space="preserve">vs Freire </t>
    </r>
    <r>
      <rPr>
        <i val="true"/>
        <sz val="9"/>
        <color rgb="FF595959"/>
        <rFont val="WenQuanYi Zen Hei"/>
        <family val="2"/>
      </rPr>
      <t xml:space="preserve">등장 화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는 미결사항 참고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</si>
  <si>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대화문 규칙 — 모든 것은 대화문으로 풀어간다</t>
  </si>
  <si>
    <r>
      <rPr>
        <i val="true"/>
        <sz val="9"/>
        <color rgb="FF595959"/>
        <rFont val="WenQuanYi Zen Hei"/>
        <family val="2"/>
      </rPr>
      <t xml:space="preserve">이전 안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상황 </t>
    </r>
    <r>
      <rPr>
        <i val="true"/>
        <sz val="9"/>
        <color rgb="FF595959"/>
        <rFont val="Noto Sans CJK SC"/>
        <family val="2"/>
        <charset val="1"/>
      </rPr>
      <t xml:space="preserve">30% + </t>
    </r>
    <r>
      <rPr>
        <i val="true"/>
        <sz val="9"/>
        <color rgb="FF595959"/>
        <rFont val="WenQuanYi Zen Hei"/>
        <family val="2"/>
      </rPr>
      <t xml:space="preserve">대화 </t>
    </r>
    <r>
      <rPr>
        <i val="true"/>
        <sz val="9"/>
        <color rgb="FF595959"/>
        <rFont val="Noto Sans CJK SC"/>
        <family val="2"/>
        <charset val="1"/>
      </rPr>
      <t xml:space="preserve">70%)</t>
    </r>
    <r>
      <rPr>
        <i val="true"/>
        <sz val="9"/>
        <color rgb="FF595959"/>
        <rFont val="WenQuanYi Zen Hei"/>
        <family val="2"/>
      </rPr>
      <t xml:space="preserve">을 폐기하고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전 화를 「화자명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대사」만으로 구성한다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</si>
  <si>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원칙</t>
    </r>
  </si>
  <si>
    <t xml:space="preserve">예시</t>
  </si>
  <si>
    <r>
      <rPr>
        <sz val="10"/>
        <rFont val="WenQuanYi Zen Hei"/>
        <family val="2"/>
      </rPr>
      <t xml:space="preserve">전 화 </t>
    </r>
    <r>
      <rPr>
        <sz val="10"/>
        <rFont val="Noto Sans CJK SC"/>
        <family val="2"/>
        <charset val="1"/>
      </rPr>
      <t xml:space="preserve">100% </t>
    </r>
    <r>
      <rPr>
        <sz val="10"/>
        <rFont val="WenQuanYi Zen Hei"/>
        <family val="2"/>
      </rPr>
      <t xml:space="preserve">대화문</t>
    </r>
  </si>
  <si>
    <r>
      <rPr>
        <sz val="10"/>
        <rFont val="WenQuanYi Zen Hei"/>
        <family val="2"/>
      </rPr>
      <t xml:space="preserve">지문</t>
    </r>
    <r>
      <rPr>
        <sz val="10"/>
        <rFont val="Noto Sans CJK SC"/>
        <family val="2"/>
        <charset val="1"/>
      </rPr>
      <t xml:space="preserve">(narração)</t>
    </r>
    <r>
      <rPr>
        <sz val="10"/>
        <rFont val="WenQuanYi Zen Hei"/>
        <family val="2"/>
      </rPr>
      <t xml:space="preserve">은 </t>
    </r>
    <r>
      <rPr>
        <sz val="10"/>
        <rFont val="Noto Sans CJK SC"/>
        <family val="2"/>
        <charset val="1"/>
      </rPr>
      <t xml:space="preserve">0%. </t>
    </r>
    <r>
      <rPr>
        <sz val="10"/>
        <rFont val="WenQuanYi Zen Hei"/>
        <family val="2"/>
      </rPr>
      <t xml:space="preserve">각 화는 화자명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대사로만 구성한다</t>
    </r>
    <r>
      <rPr>
        <sz val="10"/>
        <rFont val="Noto Sans CJK SC"/>
        <family val="2"/>
        <charset val="1"/>
      </rPr>
      <t xml:space="preserve">.</t>
    </r>
  </si>
  <si>
    <t xml:space="preserve">MARTA: São cinco horas. Começa a reunião.</t>
  </si>
  <si>
    <t xml:space="preserve">화 머리 표기</t>
  </si>
  <si>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화 번호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제목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장소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날짜는 낭독하지 않는 표기 전용 한 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메타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낭독 본문에는 넣지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</si>
  <si>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[11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· Colapso na emergência]</t>
    </r>
  </si>
  <si>
    <t xml:space="preserve">괄호 무대지시 금지</t>
  </si>
  <si>
    <r>
      <rPr>
        <sz val="10"/>
        <rFont val="WenQuanYi Zen Hei"/>
        <family val="2"/>
      </rPr>
      <t xml:space="preserve">행동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표정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침묵은 괄호 지문이 아니라 대사로 표현한다</t>
    </r>
    <r>
      <rPr>
        <sz val="10"/>
        <rFont val="Noto Sans CJK SC"/>
        <family val="2"/>
        <charset val="1"/>
      </rPr>
      <t xml:space="preserve">.</t>
    </r>
  </si>
  <si>
    <t xml:space="preserve">(Marta põe o prato na mesa) → MARTA: Deixa eu pôr esse prato na mesa antes que ele voe.</t>
  </si>
  <si>
    <r>
      <rPr>
        <sz val="10"/>
        <rFont val="WenQuanYi Zen Hei"/>
        <family val="2"/>
      </rPr>
      <t xml:space="preserve">장소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시간 소개</t>
    </r>
  </si>
  <si>
    <r>
      <rPr>
        <sz val="10"/>
        <rFont val="WenQuanYi Zen Hei"/>
        <family val="2"/>
      </rPr>
      <t xml:space="preserve">지정 화자가 대사로 알린다</t>
    </r>
    <r>
      <rPr>
        <sz val="10"/>
        <rFont val="Noto Sans CJK SC"/>
        <family val="2"/>
        <charset val="1"/>
      </rPr>
      <t xml:space="preserve">: Marta(</t>
    </r>
    <r>
      <rPr>
        <sz val="10"/>
        <rFont val="WenQuanYi Zen Hei"/>
        <family val="2"/>
      </rPr>
      <t xml:space="preserve">식사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장소</t>
    </r>
    <r>
      <rPr>
        <sz val="10"/>
        <rFont val="Noto Sans CJK SC"/>
        <family val="2"/>
        <charset val="1"/>
      </rPr>
      <t xml:space="preserve">), Larissa(</t>
    </r>
    <r>
      <rPr>
        <sz val="10"/>
        <rFont val="WenQuanYi Zen Hei"/>
        <family val="2"/>
      </rPr>
      <t xml:space="preserve">질문</t>
    </r>
    <r>
      <rPr>
        <sz val="10"/>
        <rFont val="Noto Sans CJK SC"/>
        <family val="2"/>
        <charset val="1"/>
      </rPr>
      <t xml:space="preserve">), Zumbi(</t>
    </r>
    <r>
      <rPr>
        <sz val="10"/>
        <rFont val="WenQuanYi Zen Hei"/>
        <family val="2"/>
      </rPr>
      <t xml:space="preserve">보고</t>
    </r>
    <r>
      <rPr>
        <sz val="10"/>
        <rFont val="Noto Sans CJK SC"/>
        <family val="2"/>
        <charset val="1"/>
      </rPr>
      <t xml:space="preserve">).</t>
    </r>
  </si>
  <si>
    <t xml:space="preserve">MARTA: São cinco horas. Reunião na minha mesa.</t>
  </si>
  <si>
    <r>
      <rPr>
        <sz val="10"/>
        <rFont val="WenQuanYi Zen Hei"/>
        <family val="2"/>
      </rPr>
      <t xml:space="preserve">시간 경과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장면 전환</t>
    </r>
  </si>
  <si>
    <r>
      <rPr>
        <sz val="10"/>
        <rFont val="WenQuanYi Zen Hei"/>
        <family val="2"/>
      </rPr>
      <t xml:space="preserve">인물이 말로 알린다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전환은 화자 교체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장소 언급으로</t>
    </r>
    <r>
      <rPr>
        <sz val="10"/>
        <rFont val="Noto Sans CJK SC"/>
        <family val="2"/>
        <charset val="1"/>
      </rPr>
      <t xml:space="preserve">.</t>
    </r>
  </si>
  <si>
    <t xml:space="preserve">DUMONT: Já faz três meses desde o despejo, não é?</t>
  </si>
  <si>
    <r>
      <rPr>
        <sz val="10"/>
        <rFont val="WenQuanYi Zen Hei"/>
        <family val="2"/>
      </rPr>
      <t xml:space="preserve">문서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메모</t>
    </r>
  </si>
  <si>
    <r>
      <rPr>
        <sz val="10"/>
        <rFont val="WenQuanYi Zen Hei"/>
        <family val="2"/>
      </rPr>
      <t xml:space="preserve">소리 내어 읽는다</t>
    </r>
    <r>
      <rPr>
        <sz val="10"/>
        <rFont val="Noto Sans CJK SC"/>
        <family val="2"/>
        <charset val="1"/>
      </rPr>
      <t xml:space="preserve">: Rafael=</t>
    </r>
    <r>
      <rPr>
        <sz val="10"/>
        <rFont val="WenQuanYi Zen Hei"/>
        <family val="2"/>
      </rPr>
      <t xml:space="preserve">조항</t>
    </r>
    <r>
      <rPr>
        <sz val="10"/>
        <rFont val="Noto Sans CJK SC"/>
        <family val="2"/>
        <charset val="1"/>
      </rPr>
      <t xml:space="preserve">, Dumont=</t>
    </r>
    <r>
      <rPr>
        <sz val="10"/>
        <rFont val="WenQuanYi Zen Hei"/>
        <family val="2"/>
      </rPr>
      <t xml:space="preserve">기사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팟캐스트 원고</t>
    </r>
    <r>
      <rPr>
        <sz val="10"/>
        <rFont val="Noto Sans CJK SC"/>
        <family val="2"/>
        <charset val="1"/>
      </rPr>
      <t xml:space="preserve">, Machado=</t>
    </r>
    <r>
      <rPr>
        <sz val="10"/>
        <rFont val="WenQuanYi Zen Hei"/>
        <family val="2"/>
      </rPr>
      <t xml:space="preserve">초고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메모</t>
    </r>
    <r>
      <rPr>
        <sz val="10"/>
        <rFont val="Noto Sans CJK SC"/>
        <family val="2"/>
        <charset val="1"/>
      </rPr>
      <t xml:space="preserve">, Freire=</t>
    </r>
    <r>
      <rPr>
        <sz val="10"/>
        <rFont val="WenQuanYi Zen Hei"/>
        <family val="2"/>
      </rPr>
      <t xml:space="preserve">카드</t>
    </r>
    <r>
      <rPr>
        <sz val="10"/>
        <rFont val="Noto Sans CJK SC"/>
        <family val="2"/>
        <charset val="1"/>
      </rPr>
      <t xml:space="preserve">.</t>
    </r>
  </si>
  <si>
    <t xml:space="preserve">RAFAEL: Artigo sexto: «São direitos sociais a educação, a saúde, a alimentação, o trabalho, a moradia…»</t>
  </si>
  <si>
    <r>
      <rPr>
        <sz val="10"/>
        <rFont val="WenQuanYi Zen Hei"/>
        <family val="2"/>
      </rPr>
      <t xml:space="preserve">무거운 장면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죽음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침묵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</si>
  <si>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짧은 호명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확인 대사로 처리한다</t>
    </r>
    <r>
      <rPr>
        <sz val="10"/>
        <rFont val="Noto Sans CJK SC"/>
        <family val="2"/>
        <charset val="1"/>
      </rPr>
      <t xml:space="preserve">.</t>
    </r>
  </si>
  <si>
    <t xml:space="preserve">LARISSA: Dom Pedro? / CAMILA: Ele se foi, Larissa.</t>
  </si>
  <si>
    <r>
      <rPr>
        <sz val="10"/>
        <rFont val="WenQuanYi Zen Hei"/>
        <family val="2"/>
      </rPr>
      <t xml:space="preserve">내면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감정</t>
    </r>
  </si>
  <si>
    <r>
      <rPr>
        <sz val="10"/>
        <rFont val="WenQuanYi Zen Hei"/>
        <family val="2"/>
      </rPr>
      <t xml:space="preserve">독백은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소리 내어 하는 말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로만 허용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감정 노출은 </t>
    </r>
    <r>
      <rPr>
        <sz val="10"/>
        <rFont val="Noto Sans CJK SC"/>
        <family val="2"/>
        <charset val="1"/>
      </rPr>
      <t xml:space="preserve">Isabel</t>
    </r>
    <r>
      <rPr>
        <sz val="10"/>
        <rFont val="WenQuanYi Zen Hei"/>
        <family val="2"/>
      </rPr>
      <t xml:space="preserve">의 되받기 화법을 활용</t>
    </r>
    <r>
      <rPr>
        <sz val="10"/>
        <rFont val="Noto Sans CJK SC"/>
        <family val="2"/>
        <charset val="1"/>
      </rPr>
      <t xml:space="preserve">.</t>
    </r>
  </si>
  <si>
    <t xml:space="preserve">ISABEL: Então você se sente sozinha. É isso?</t>
  </si>
  <si>
    <t xml:space="preserve">문장 길이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</si>
  <si>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(B1): </t>
    </r>
    <r>
      <rPr>
        <sz val="10"/>
        <rFont val="WenQuanYi Zen Hei"/>
        <family val="2"/>
      </rPr>
      <t xml:space="preserve">대사 한 줄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단어 이내</t>
    </r>
    <r>
      <rPr>
        <sz val="10"/>
        <rFont val="Arial"/>
        <family val="0"/>
        <charset val="1"/>
      </rPr>
      <t xml:space="preserve">. Dom Pedro·Rafael</t>
    </r>
    <r>
      <rPr>
        <sz val="10"/>
        <rFont val="WenQuanYi Zen Hei"/>
        <family val="2"/>
      </rPr>
      <t xml:space="preserve">의 격식체는 한두 줄만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어른들 말투 맛보기</t>
    </r>
    <r>
      <rPr>
        <sz val="10"/>
        <rFont val="Arial"/>
        <family val="0"/>
        <charset val="1"/>
      </rPr>
      <t xml:space="preserve">'. </t>
    </r>
    <r>
      <rPr>
        <sz val="10"/>
        <rFont val="WenQuanYi Zen Hei"/>
        <family val="2"/>
      </rPr>
      <t xml:space="preserve">부가 올라갈수록 인물별 허용 길이 확대</t>
    </r>
    <r>
      <rPr>
        <sz val="10"/>
        <rFont val="Arial"/>
        <family val="0"/>
        <charset val="1"/>
      </rPr>
      <t xml:space="preserve">. Larissa</t>
    </r>
    <r>
      <rPr>
        <sz val="10"/>
        <rFont val="WenQuanYi Zen Hei"/>
        <family val="2"/>
      </rPr>
      <t xml:space="preserve">의 질문은 끝까지 짧게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</si>
  <si>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'1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시범대사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시트에서 단어 수 자동 점검</t>
    </r>
  </si>
  <si>
    <r>
      <rPr>
        <sz val="10"/>
        <rFont val="WenQuanYi Zen Hei"/>
        <family val="2"/>
      </rPr>
      <t xml:space="preserve">화당 분량 </t>
    </r>
    <r>
      <rPr>
        <sz val="10"/>
        <rFont val="Noto Sans CJK SC"/>
        <family val="2"/>
        <charset val="1"/>
      </rPr>
      <t xml:space="preserve">= 120</t>
    </r>
    <r>
      <rPr>
        <sz val="10"/>
        <rFont val="WenQuanYi Zen Hei"/>
        <family val="2"/>
      </rPr>
      <t xml:space="preserve">턴</t>
    </r>
  </si>
  <si>
    <r>
      <rPr>
        <sz val="10"/>
        <rFont val="WenQuanYi Zen Hei"/>
        <family val="2"/>
      </rPr>
      <t xml:space="preserve">한 화는 대화 </t>
    </r>
    <r>
      <rPr>
        <sz val="10"/>
        <rFont val="Noto Sans CJK SC"/>
        <family val="2"/>
        <charset val="1"/>
      </rPr>
      <t xml:space="preserve">120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화자 교대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Noto Sans CJK SC"/>
        <family val="2"/>
        <charset val="1"/>
      </rPr>
      <t xml:space="preserve">= 1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으로 구성한다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한 턴은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15</t>
    </r>
    <r>
      <rPr>
        <sz val="10"/>
        <rFont val="WenQuanYi Zen Hei"/>
        <family val="2"/>
      </rPr>
      <t xml:space="preserve">단어 이내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조항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기사 낭독은 긴 턴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개로 세되 화당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개까지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화 유형별 도입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장면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마무리 배분과 화자 점유율은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설계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시트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</si>
  <si>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턴 중 장면 전환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장소 안내 </t>
    </r>
    <r>
      <rPr>
        <sz val="10"/>
        <rFont val="Arial"/>
        <family val="0"/>
        <charset val="1"/>
      </rPr>
      <t xml:space="preserve">5~10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, Larissa </t>
    </r>
    <r>
      <rPr>
        <sz val="10"/>
        <rFont val="WenQuanYi Zen Hei"/>
        <family val="2"/>
      </rPr>
      <t xml:space="preserve">질문→재설명 </t>
    </r>
    <r>
      <rPr>
        <sz val="10"/>
        <rFont val="Arial"/>
        <family val="0"/>
        <charset val="1"/>
      </rPr>
      <t xml:space="preserve">6~12</t>
    </r>
    <r>
      <rPr>
        <sz val="10"/>
        <rFont val="WenQuanYi Zen Hei"/>
        <family val="2"/>
      </rPr>
      <t xml:space="preserve">턴</t>
    </r>
  </si>
  <si>
    <r>
      <rPr>
        <sz val="10"/>
        <rFont val="WenQuanYi Zen Hei"/>
        <family val="2"/>
      </rPr>
      <t xml:space="preserve">화자 식별 장치이자 반복 학습 문장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한 화에 화자당 </t>
    </r>
    <r>
      <rPr>
        <sz val="10"/>
        <rFont val="Noto Sans CJK SC"/>
        <family val="2"/>
        <charset val="1"/>
      </rPr>
      <t xml:space="preserve">1~2</t>
    </r>
    <r>
      <rPr>
        <sz val="10"/>
        <rFont val="WenQuanYi Zen Hei"/>
        <family val="2"/>
      </rPr>
      <t xml:space="preserve">회까지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</si>
  <si>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의 질문 장치</t>
    </r>
  </si>
  <si>
    <r>
      <rPr>
        <sz val="10"/>
        <rFont val="WenQuanYi Zen Hei"/>
        <family val="2"/>
      </rPr>
      <t xml:space="preserve">어려운 용어 뒤에는 </t>
    </r>
    <r>
      <rPr>
        <sz val="10"/>
        <rFont val="Noto Sans CJK SC"/>
        <family val="2"/>
        <charset val="1"/>
      </rPr>
      <t xml:space="preserve">Larissa</t>
    </r>
    <r>
      <rPr>
        <sz val="10"/>
        <rFont val="WenQuanYi Zen Hei"/>
        <family val="2"/>
      </rPr>
      <t xml:space="preserve">의 질문 → 쉬운 재설명이 온다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전문 표현 → 쉬운 표현 짝</t>
    </r>
    <r>
      <rPr>
        <sz val="10"/>
        <rFont val="Noto Sans CJK SC"/>
        <family val="2"/>
        <charset val="1"/>
      </rPr>
      <t xml:space="preserve">).</t>
    </r>
  </si>
  <si>
    <t xml:space="preserve">LARISSA: Desculpa, o que isso significa?</t>
  </si>
  <si>
    <r>
      <rPr>
        <sz val="10"/>
        <rFont val="Arial"/>
        <family val="0"/>
        <charset val="1"/>
      </rPr>
      <t xml:space="preserve">Freire</t>
    </r>
    <r>
      <rPr>
        <sz val="10"/>
        <rFont val="WenQuanYi Zen Hei"/>
        <family val="2"/>
      </rPr>
      <t xml:space="preserve">의 카드</t>
    </r>
  </si>
  <si>
    <r>
      <rPr>
        <sz val="10"/>
        <rFont val="WenQuanYi Zen Hei"/>
        <family val="2"/>
      </rPr>
      <t xml:space="preserve">카드는 구술로 처리한다 </t>
    </r>
    <r>
      <rPr>
        <sz val="10"/>
        <rFont val="Noto Sans CJK SC"/>
        <family val="2"/>
        <charset val="1"/>
      </rPr>
      <t xml:space="preserve">(Freire_</t>
    </r>
    <r>
      <rPr>
        <sz val="10"/>
        <rFont val="WenQuanYi Zen Hei"/>
        <family val="2"/>
      </rPr>
      <t xml:space="preserve">출처 시트 템플릿</t>
    </r>
    <r>
      <rPr>
        <sz val="10"/>
        <rFont val="Noto Sans CJK SC"/>
        <family val="2"/>
        <charset val="1"/>
      </rPr>
      <t xml:space="preserve">).</t>
    </r>
  </si>
  <si>
    <t xml:space="preserve">FREIRE: Anota. Procure: …</t>
  </si>
  <si>
    <t xml:space="preserve">욕설 수위</t>
  </si>
  <si>
    <r>
      <rPr>
        <sz val="10"/>
        <rFont val="Arial"/>
        <family val="0"/>
        <charset val="1"/>
      </rPr>
      <t xml:space="preserve">porra, caralho </t>
    </r>
    <r>
      <rPr>
        <sz val="10"/>
        <rFont val="WenQuanYi Zen Hei"/>
        <family val="2"/>
      </rPr>
      <t xml:space="preserve">등은 교재 제외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순한 표현만 </t>
    </r>
    <r>
      <rPr>
        <sz val="10"/>
        <rFont val="Arial"/>
        <family val="0"/>
        <charset val="1"/>
      </rPr>
      <t xml:space="preserve">(Larissa_</t>
    </r>
    <r>
      <rPr>
        <sz val="10"/>
        <rFont val="WenQuanYi Zen Hei"/>
        <family val="2"/>
      </rPr>
      <t xml:space="preserve">폭발과욕 시트</t>
    </r>
    <r>
      <rPr>
        <sz val="10"/>
        <rFont val="Arial"/>
        <family val="0"/>
        <charset val="1"/>
      </rPr>
      <t xml:space="preserve">).</t>
    </r>
  </si>
  <si>
    <t xml:space="preserve">호칭 전환</t>
  </si>
  <si>
    <r>
      <rPr>
        <sz val="10"/>
        <rFont val="Arial"/>
        <family val="0"/>
        <charset val="1"/>
      </rPr>
      <t xml:space="preserve">o senhor/a senhora ↔ você </t>
    </r>
    <r>
      <rPr>
        <sz val="10"/>
        <rFont val="WenQuanYi Zen Hei"/>
        <family val="2"/>
      </rPr>
      <t xml:space="preserve">전환은 대사로 명시한다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호칭규칙 시트</t>
    </r>
    <r>
      <rPr>
        <sz val="10"/>
        <rFont val="Arial"/>
        <family val="0"/>
        <charset val="1"/>
      </rPr>
      <t xml:space="preserve">).</t>
    </r>
  </si>
  <si>
    <t xml:space="preserve">DOM PEDRO: Pode me chamar de você.</t>
  </si>
  <si>
    <t xml:space="preserve">가상 정치 세계</t>
  </si>
  <si>
    <r>
      <rPr>
        <sz val="10"/>
        <rFont val="WenQuanYi Zen Hei"/>
        <family val="2"/>
      </rPr>
      <t xml:space="preserve">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정치인은 전부 가상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실존 정치인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정당명을 쓰지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공식 결과는 선거법원장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하원의장의 대사로 낭독한다</t>
    </r>
    <r>
      <rPr>
        <sz val="10"/>
        <rFont val="Noto Sans CJK SC"/>
        <family val="2"/>
        <charset val="1"/>
      </rPr>
      <t xml:space="preserve">.</t>
    </r>
  </si>
  <si>
    <t xml:space="preserve">PRESIDENTE DA CÂMARA: Votaram sim duzentos e trinta e dois deputados.</t>
  </si>
  <si>
    <t xml:space="preserve">현안을 다루는 법</t>
  </si>
  <si>
    <r>
      <rPr>
        <sz val="10"/>
        <rFont val="WenQuanYi Zen Hei"/>
        <family val="2"/>
      </rPr>
      <t xml:space="preserve">시사 현안은 가상 설정으로 각색하고 실존 인물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참사 희생자를 특정하지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찬반 양측이 각자의 가장 강한 논거를 말하게 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결론은 화 안에서 제도의 결과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표결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판결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협약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로만 닫는다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수치는 </t>
    </r>
    <r>
      <rPr>
        <sz val="10"/>
        <rFont val="Noto Sans CJK SC"/>
        <family val="2"/>
        <charset val="1"/>
      </rPr>
      <t xml:space="preserve">Freire</t>
    </r>
    <r>
      <rPr>
        <sz val="10"/>
        <rFont val="WenQuanYi Zen Hei"/>
        <family val="2"/>
      </rPr>
      <t xml:space="preserve">의 카드로 출처를 안내한다</t>
    </r>
    <r>
      <rPr>
        <sz val="10"/>
        <rFont val="Noto Sans CJK SC"/>
        <family val="2"/>
        <charset val="1"/>
      </rPr>
      <t xml:space="preserve">.</t>
    </r>
  </si>
  <si>
    <t xml:space="preserve">LARISSA: Desculpa, o que é «auxílio-aluguel»? / BRUNO: É um dinheiro da prefeitura pra ajudar a pagar o aluguel.</t>
  </si>
  <si>
    <t xml:space="preserve">화자 표기</t>
  </si>
  <si>
    <r>
      <rPr>
        <sz val="10"/>
        <rFont val="WenQuanYi Zen Hei"/>
        <family val="2"/>
      </rPr>
      <t xml:space="preserve">화자명은 대문자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콜론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포르투갈어 본문과 한국어 번역은 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또는 파일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분리해 낭독 시 번역이 섞이지 않게 한다</t>
    </r>
    <r>
      <rPr>
        <sz val="10"/>
        <rFont val="Noto Sans CJK SC"/>
        <family val="2"/>
        <charset val="1"/>
      </rPr>
      <t xml:space="preserve">.</t>
    </r>
  </si>
  <si>
    <t xml:space="preserve">LARISSA: CHEGA!</t>
  </si>
  <si>
    <t xml:space="preserve">고전 인용</t>
  </si>
  <si>
    <r>
      <rPr>
        <sz val="10"/>
        <rFont val="WenQuanYi Zen Hei"/>
        <family val="2"/>
      </rPr>
      <t xml:space="preserve">인물마다 다른 포르투갈어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브라질 고전 출처를 맡겨 화마다 </t>
    </r>
    <r>
      <rPr>
        <sz val="10"/>
        <rFont val="Noto Sans CJK SC"/>
        <family val="2"/>
        <charset val="1"/>
      </rPr>
      <t xml:space="preserve">1~2</t>
    </r>
    <r>
      <rPr>
        <sz val="10"/>
        <rFont val="WenQuanYi Zen Hei"/>
        <family val="2"/>
      </rPr>
      <t xml:space="preserve">명이 짧게 인용한다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전부 저작권 만료 공유 저작물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작가 사후 </t>
    </r>
    <r>
      <rPr>
        <sz val="10"/>
        <rFont val="Noto Sans CJK SC"/>
        <family val="2"/>
        <charset val="1"/>
      </rPr>
      <t xml:space="preserve">70</t>
    </r>
    <r>
      <rPr>
        <sz val="10"/>
        <rFont val="WenQuanYi Zen Hei"/>
        <family val="2"/>
      </rPr>
      <t xml:space="preserve">년 경과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만 쓰고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원문을 정확히 인용한다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배정표는 아래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번</t>
    </r>
    <r>
      <rPr>
        <sz val="10"/>
        <rFont val="Noto Sans CJK SC"/>
        <family val="2"/>
        <charset val="1"/>
      </rPr>
      <t xml:space="preserve">).</t>
    </r>
  </si>
  <si>
    <t xml:space="preserve">DOM PEDRO: Minha terra tem palmeiras, / Onde canta o Sabiá.</t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</si>
  <si>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고전 인용 배정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화마다 </t>
    </r>
    <r>
      <rPr>
        <b val="true"/>
        <sz val="10"/>
        <rFont val="Arial"/>
        <family val="0"/>
        <charset val="1"/>
      </rPr>
      <t xml:space="preserve">1~2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</si>
  <si>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인물마다 다른 출처를 맡겨 반복되지 않게 하고</t>
    </r>
    <r>
      <rPr>
        <sz val="10"/>
        <rFont val="Noto Sans CJK SC"/>
        <family val="2"/>
        <charset val="1"/>
      </rPr>
      <t xml:space="preserve">, Marta</t>
    </r>
    <r>
      <rPr>
        <sz val="10"/>
        <rFont val="WenQuanYi Zen Hei"/>
        <family val="2"/>
      </rPr>
      <t xml:space="preserve">가 거의 전 화에 등장하므로 로테이션 캐스트인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부에서도 대부분의 화가 커버된다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전부 저작권 만료 공유 저작물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카몽이스 </t>
    </r>
    <r>
      <rPr>
        <sz val="10"/>
        <rFont val="Noto Sans CJK SC"/>
        <family val="2"/>
        <charset val="1"/>
      </rPr>
      <t xml:space="preserve">16</t>
    </r>
    <r>
      <rPr>
        <sz val="10"/>
        <rFont val="WenQuanYi Zen Hei"/>
        <family val="2"/>
      </rPr>
      <t xml:space="preserve">세기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곤사우베스 지아스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카스트루 아우베스 </t>
    </r>
    <r>
      <rPr>
        <sz val="10"/>
        <rFont val="Noto Sans CJK SC"/>
        <family val="2"/>
        <charset val="1"/>
      </rPr>
      <t xml:space="preserve">19</t>
    </r>
    <r>
      <rPr>
        <sz val="10"/>
        <rFont val="WenQuanYi Zen Hei"/>
        <family val="2"/>
      </rPr>
      <t xml:space="preserve">세기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마샤두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에우클리지스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빌락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후이 바르보자는 사후 </t>
    </r>
    <r>
      <rPr>
        <sz val="10"/>
        <rFont val="Noto Sans CJK SC"/>
        <family val="2"/>
        <charset val="1"/>
      </rPr>
      <t xml:space="preserve">70</t>
    </r>
    <r>
      <rPr>
        <sz val="10"/>
        <rFont val="WenQuanYi Zen Hei"/>
        <family val="2"/>
      </rPr>
      <t xml:space="preserve">년 경과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만 쓰고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원문을 정확히 인용한다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인터넷에 떠도는 출처 불명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명언</t>
    </r>
    <r>
      <rPr>
        <sz val="10"/>
        <rFont val="Noto Sans CJK SC"/>
        <family val="2"/>
        <charset val="1"/>
      </rPr>
      <t xml:space="preserve">'(</t>
    </r>
    <r>
      <rPr>
        <sz val="10"/>
        <rFont val="WenQuanYi Zen Hei"/>
        <family val="2"/>
      </rPr>
      <t xml:space="preserve">유명 작가 이름을 붙인 가짜 인용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은 쓰지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</si>
  <si>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(Silencio.) </t>
    </r>
    <r>
      <rPr>
        <sz val="10"/>
        <rFont val="WenQuanYi Zen Hei"/>
        <family val="2"/>
      </rPr>
      <t xml:space="preserve">폭발 직후 정적</t>
    </r>
  </si>
  <si>
    <r>
      <rPr>
        <sz val="10"/>
        <rFont val="Arial"/>
        <family val="0"/>
        <charset val="1"/>
      </rPr>
      <t xml:space="preserve">«Opa.» — </t>
    </r>
    <r>
      <rPr>
        <sz val="10"/>
        <rFont val="WenQuanYi Zen Hei"/>
        <family val="2"/>
      </rPr>
      <t xml:space="preserve">정적 대신 짧은 감탄으로 멈춤을 표현</t>
    </r>
  </si>
  <si>
    <t xml:space="preserve">출처</t>
  </si>
  <si>
    <t xml:space="preserve">쓰는 방식</t>
  </si>
  <si>
    <r>
      <rPr>
        <b val="true"/>
        <sz val="10"/>
        <color rgb="FFFFFFFF"/>
        <rFont val="WenQuanYi Zen Hei"/>
        <family val="2"/>
      </rPr>
      <t xml:space="preserve">실제 인용 예시 </t>
    </r>
    <r>
      <rPr>
        <b val="true"/>
        <sz val="10"/>
        <color rgb="FFFFFFFF"/>
        <rFont val="Noto Sans CJK SC"/>
        <family val="2"/>
        <charset val="1"/>
      </rPr>
      <t xml:space="preserve">(PT)</t>
    </r>
  </si>
  <si>
    <t xml:space="preserve">등장 부</t>
  </si>
  <si>
    <r>
      <rPr>
        <sz val="10"/>
        <rFont val="WenQuanYi Zen Hei"/>
        <family val="2"/>
      </rPr>
      <t xml:space="preserve">브라질 속담</t>
    </r>
    <r>
      <rPr>
        <sz val="10"/>
        <rFont val="Noto Sans CJK SC"/>
        <family val="2"/>
        <charset val="1"/>
      </rPr>
      <t xml:space="preserve">(ditados populares)</t>
    </r>
  </si>
  <si>
    <r>
      <rPr>
        <sz val="10"/>
        <rFont val="WenQuanYi Zen Hei"/>
        <family val="2"/>
      </rPr>
      <t xml:space="preserve">인용이 아니라 그냥 말버릇처럼 자연스럽게 섞인다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따뜻하고 실용적</t>
    </r>
    <r>
      <rPr>
        <sz val="10"/>
        <rFont val="Noto Sans CJK SC"/>
        <family val="2"/>
        <charset val="1"/>
      </rPr>
      <t xml:space="preserve">.</t>
    </r>
  </si>
  <si>
    <t xml:space="preserve">Água mole em pedra dura, tanto bate até que fura. / Devagar se vai ao longe.</t>
  </si>
  <si>
    <t xml:space="preserve">거의 전 화</t>
  </si>
  <si>
    <r>
      <rPr>
        <sz val="10"/>
        <rFont val="WenQuanYi Zen Hei"/>
        <family val="2"/>
      </rPr>
      <t xml:space="preserve">카몽이스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곤사우베스 지아스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망명의 시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</si>
  <si>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정중하게 비꼬는 코미디로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평소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죽음 앞에서는 무겁게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망명 시는 이번엔 조국에서 죽는다는 아이러니로</t>
    </r>
    <r>
      <rPr>
        <sz val="10"/>
        <rFont val="Noto Sans CJK SC"/>
        <family val="2"/>
        <charset val="1"/>
      </rPr>
      <t xml:space="preserve">.</t>
    </r>
  </si>
  <si>
    <t xml:space="preserve">Amor é fogo que arde sem se ver. (Camões) / Minha terra tem palmeiras, / Onde canta o Sabiá. (Gonçalves Dias, «Canção do Exílio»)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</si>
  <si>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</t>
    </r>
  </si>
  <si>
    <t xml:space="preserve">에우클리지스 다 쿠냐 등</t>
  </si>
  <si>
    <r>
      <rPr>
        <sz val="10"/>
        <rFont val="WenQuanYi Zen Hei"/>
        <family val="2"/>
      </rPr>
      <t xml:space="preserve">감정으로 낭송하지 않고 서지 정보처럼 인용한다 — 「몇 번째 선반」식 습관과 같은 화법</t>
    </r>
    <r>
      <rPr>
        <sz val="10"/>
        <rFont val="Noto Sans CJK SC"/>
        <family val="2"/>
        <charset val="1"/>
      </rPr>
      <t xml:space="preserve">.</t>
    </r>
  </si>
  <si>
    <t xml:space="preserve">O sertanejo é, antes de tudo, um forte. Euclides da Cunha, «Os Sertões», 1902.</t>
  </si>
  <si>
    <r>
      <rPr>
        <sz val="10"/>
        <rFont val="Arial"/>
        <family val="0"/>
        <charset val="1"/>
      </rPr>
      <t xml:space="preserve">1·2·6·11·12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</si>
  <si>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자기 작품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빌락</t>
    </r>
  </si>
  <si>
    <r>
      <rPr>
        <sz val="10"/>
        <rFont val="WenQuanYi Zen Hei"/>
        <family val="2"/>
      </rPr>
      <t xml:space="preserve">자기 글을 인용해 놓고 남의 글인 척 시치미를 뗀다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아이러니하고 머뭇거리는 톤</t>
    </r>
    <r>
      <rPr>
        <sz val="10"/>
        <rFont val="Noto Sans CJK SC"/>
        <family val="2"/>
        <charset val="1"/>
      </rPr>
      <t xml:space="preserve">.</t>
    </r>
  </si>
  <si>
    <t xml:space="preserve">Ao vencedor, as batatas. (Quincas Borba) / Ora (direis) ouvir estrelas! (Olavo Bilac)</t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</si>
  <si>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이후</t>
    </r>
  </si>
  <si>
    <t xml:space="preserve">후이 바르보자의 연설</t>
  </si>
  <si>
    <r>
      <rPr>
        <sz val="10"/>
        <rFont val="WenQuanYi Zen Hei"/>
        <family val="2"/>
      </rPr>
      <t xml:space="preserve">대통령이 되어 가며 연설에 섞어 쓴다</t>
    </r>
    <r>
      <rPr>
        <sz val="10"/>
        <rFont val="Noto Sans CJK SC"/>
        <family val="2"/>
        <charset val="1"/>
      </rPr>
      <t xml:space="preserve">.</t>
    </r>
  </si>
  <si>
    <t xml:space="preserve">A justiça atrasada não é justiça, senão injustiça qualificada e manifesta. (Rui Barbosa, «Oração aos Moços»)</t>
  </si>
  <si>
    <r>
      <rPr>
        <sz val="10"/>
        <rFont val="Arial"/>
        <family val="0"/>
        <charset val="1"/>
      </rPr>
      <t xml:space="preserve">8~13</t>
    </r>
    <r>
      <rPr>
        <sz val="10"/>
        <rFont val="WenQuanYi Zen Hei"/>
        <family val="2"/>
      </rPr>
      <t xml:space="preserve">부</t>
    </r>
  </si>
  <si>
    <t xml:space="preserve">시간 경과</t>
  </si>
  <si>
    <t xml:space="preserve">«Já faz três meses desde o despejo.»</t>
  </si>
  <si>
    <r>
      <rPr>
        <sz val="10"/>
        <rFont val="Arial"/>
        <family val="0"/>
        <charset val="1"/>
      </rPr>
      <t xml:space="preserve">Dumont (</t>
    </r>
    <r>
      <rPr>
        <sz val="10"/>
        <rFont val="WenQuanYi Zen Hei"/>
        <family val="2"/>
      </rPr>
      <t xml:space="preserve">질문 형태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</si>
  <si>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기사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팟캐스트 원고 삽입</t>
    </r>
  </si>
  <si>
    <r>
      <rPr>
        <sz val="10"/>
        <rFont val="Arial"/>
        <family val="0"/>
        <charset val="1"/>
      </rPr>
      <t xml:space="preserve">Dumont</t>
    </r>
    <r>
      <rPr>
        <sz val="10"/>
        <rFont val="WenQuanYi Zen Hei"/>
        <family val="2"/>
      </rPr>
      <t xml:space="preserve">이 기사 첫 문단이나 팟캐스트 오프닝을 소리 내어 읽는다</t>
    </r>
  </si>
  <si>
    <t xml:space="preserve">연설문 초고 삽입</t>
  </si>
  <si>
    <r>
      <rPr>
        <sz val="10"/>
        <rFont val="Arial"/>
        <family val="0"/>
        <charset val="1"/>
      </rPr>
      <t xml:space="preserve">Machado</t>
    </r>
    <r>
      <rPr>
        <sz val="10"/>
        <rFont val="WenQuanYi Zen Hei"/>
        <family val="2"/>
      </rPr>
      <t xml:space="preserve">가 초고를 읽고 </t>
    </r>
    <r>
      <rPr>
        <sz val="10"/>
        <rFont val="Arial"/>
        <family val="0"/>
        <charset val="1"/>
      </rPr>
      <t xml:space="preserve">Rafael</t>
    </r>
    <r>
      <rPr>
        <sz val="10"/>
        <rFont val="WenQuanYi Zen Hei"/>
        <family val="2"/>
      </rPr>
      <t xml:space="preserve">이 고친다</t>
    </r>
  </si>
  <si>
    <t xml:space="preserve">Machado, Rafael</t>
  </si>
  <si>
    <r>
      <rPr>
        <sz val="10"/>
        <rFont val="WenQuanYi Zen Hei"/>
        <family val="2"/>
      </rPr>
      <t xml:space="preserve">개표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표결 결과 전광판</t>
    </r>
  </si>
  <si>
    <r>
      <rPr>
        <sz val="10"/>
        <rFont val="WenQuanYi Zen Hei"/>
        <family val="2"/>
      </rPr>
      <t xml:space="preserve">선거법원장이 개표 결과를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하원의장이 표결 결과를 낭독한다</t>
    </r>
    <r>
      <rPr>
        <sz val="10"/>
        <rFont val="Noto Sans CJK SC"/>
        <family val="2"/>
        <charset val="1"/>
      </rPr>
      <t xml:space="preserve">: «Apurados cem por cento das urnas…» / «Votaram sim…»</t>
    </r>
  </si>
  <si>
    <t xml:space="preserve">PRESIDENTE DO TSE, PRESIDENTE DA CÂMARA</t>
  </si>
  <si>
    <t xml:space="preserve">취임 선서</t>
  </si>
  <si>
    <r>
      <rPr>
        <sz val="10"/>
        <rFont val="WenQuanYi Zen Hei"/>
        <family val="2"/>
      </rPr>
      <t xml:space="preserve">연방의회 의장이 절차를 진행하고 </t>
    </r>
    <r>
      <rPr>
        <sz val="10"/>
        <rFont val="Noto Sans CJK SC"/>
        <family val="2"/>
        <charset val="1"/>
      </rPr>
      <t xml:space="preserve">Rafael</t>
    </r>
    <r>
      <rPr>
        <sz val="10"/>
        <rFont val="WenQuanYi Zen Hei"/>
        <family val="2"/>
      </rPr>
      <t xml:space="preserve">이 헌법 선서문을 낭독한다</t>
    </r>
    <r>
      <rPr>
        <sz val="10"/>
        <rFont val="Noto Sans CJK SC"/>
        <family val="2"/>
        <charset val="1"/>
      </rPr>
      <t xml:space="preserve">: «Prometo manter, defender e cumprir a Constituição…»</t>
    </r>
  </si>
  <si>
    <t xml:space="preserve">PRESIDENTE DO CONGRESSO, Rafael</t>
  </si>
  <si>
    <r>
      <rPr>
        <b val="true"/>
        <sz val="14"/>
        <color rgb="FF1F3864"/>
        <rFont val="Arial"/>
        <family val="0"/>
        <charset val="1"/>
      </rPr>
      <t xml:space="preserve">1</t>
    </r>
    <r>
      <rPr>
        <b val="true"/>
        <sz val="14"/>
        <color rgb="FF1F3864"/>
        <rFont val="WenQuanYi Zen Hei"/>
        <family val="2"/>
      </rPr>
      <t xml:space="preserve">부 시범 장면 — </t>
    </r>
    <r>
      <rPr>
        <b val="true"/>
        <sz val="14"/>
        <color rgb="FF1F3864"/>
        <rFont val="Arial"/>
        <family val="0"/>
        <charset val="1"/>
      </rPr>
      <t xml:space="preserve">Larissa 1</t>
    </r>
    <r>
      <rPr>
        <b val="true"/>
        <sz val="14"/>
        <color rgb="FF1F3864"/>
        <rFont val="WenQuanYi Zen Hei"/>
        <family val="2"/>
      </rPr>
      <t xml:space="preserve">차 폭발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지문 없이 대사만</t>
    </r>
    <r>
      <rPr>
        <b val="true"/>
        <sz val="14"/>
        <color rgb="FF1F3864"/>
        <rFont val="Arial"/>
        <family val="0"/>
        <charset val="1"/>
      </rPr>
      <t xml:space="preserve">, B1, </t>
    </r>
    <r>
      <rPr>
        <b val="true"/>
        <sz val="14"/>
        <color rgb="FF1F3864"/>
        <rFont val="WenQuanYi Zen Hei"/>
        <family val="2"/>
      </rPr>
      <t xml:space="preserve">일반화된 예시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</si>
  <si>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장소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시간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행동을 모두 대사로 처리한 샘플로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한 화</t>
    </r>
    <r>
      <rPr>
        <i val="true"/>
        <sz val="9"/>
        <color rgb="FF595959"/>
        <rFont val="Noto Sans CJK SC"/>
        <family val="2"/>
        <charset val="1"/>
      </rPr>
      <t xml:space="preserve">(120</t>
    </r>
    <r>
      <rPr>
        <i val="true"/>
        <sz val="9"/>
        <color rgb="FF595959"/>
        <rFont val="WenQuanYi Zen Hei"/>
        <family val="2"/>
      </rPr>
      <t xml:space="preserve">턴</t>
    </r>
    <r>
      <rPr>
        <i val="true"/>
        <sz val="9"/>
        <color rgb="FF595959"/>
        <rFont val="Noto Sans CJK SC"/>
        <family val="2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중 폭발 장면 </t>
    </r>
    <r>
      <rPr>
        <i val="true"/>
        <sz val="9"/>
        <color rgb="FF595959"/>
        <rFont val="Noto Sans CJK SC"/>
        <family val="2"/>
        <charset val="1"/>
      </rPr>
      <t xml:space="preserve">22</t>
    </r>
    <r>
      <rPr>
        <i val="true"/>
        <sz val="9"/>
        <color rgb="FF595959"/>
        <rFont val="WenQuanYi Zen Hei"/>
        <family val="2"/>
      </rPr>
      <t xml:space="preserve">턴을 발췌했다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단어 수는 수식으로 자동 계산되며 상한을 넘으면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초과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로 표시됩니다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</si>
  <si>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부 대사 상한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단어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</si>
  <si>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← 노란 셀은 가정값 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교재 규칙 초안</t>
    </r>
    <r>
      <rPr>
        <i val="true"/>
        <sz val="9"/>
        <color rgb="FF595959"/>
        <rFont val="Noto Sans CJK SC"/>
        <family val="2"/>
        <charset val="1"/>
      </rPr>
      <t xml:space="preserve">: 15</t>
    </r>
    <r>
      <rPr>
        <i val="true"/>
        <sz val="9"/>
        <color rgb="FF595959"/>
        <rFont val="WenQuanYi Zen Hei"/>
        <family val="2"/>
      </rPr>
      <t xml:space="preserve">단어 이내</t>
    </r>
    <r>
      <rPr>
        <i val="true"/>
        <sz val="9"/>
        <color rgb="FF595959"/>
        <rFont val="Noto Sans CJK SC"/>
        <family val="2"/>
        <charset val="1"/>
      </rPr>
      <t xml:space="preserve">)</t>
    </r>
  </si>
  <si>
    <t xml:space="preserve">총 대사 수</t>
  </si>
  <si>
    <t xml:space="preserve">상한 초과 대사 수</t>
  </si>
  <si>
    <r>
      <rPr>
        <b val="true"/>
        <sz val="10"/>
        <color rgb="FFFFFFFF"/>
        <rFont val="WenQuanYi Zen Hei"/>
        <family val="2"/>
      </rPr>
      <t xml:space="preserve">대사 </t>
    </r>
    <r>
      <rPr>
        <b val="true"/>
        <sz val="10"/>
        <color rgb="FFFFFFFF"/>
        <rFont val="Noto Sans CJK SC"/>
        <family val="2"/>
        <charset val="1"/>
      </rPr>
      <t xml:space="preserve">(PT-BR)</t>
    </r>
  </si>
  <si>
    <r>
      <rPr>
        <b val="true"/>
        <sz val="10"/>
        <color rgb="FFFFFFFF"/>
        <rFont val="WenQuanYi Zen Hei"/>
        <family val="2"/>
      </rPr>
      <t xml:space="preserve">한국어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낭독 제외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</si>
  <si>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기능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학습 포인트</t>
    </r>
  </si>
  <si>
    <t xml:space="preserve">단어 수</t>
  </si>
  <si>
    <t xml:space="preserve">판정</t>
  </si>
  <si>
    <t xml:space="preserve">MARTA</t>
  </si>
  <si>
    <t xml:space="preserve">São cinco horas. Começa a reunião do escritório, aqui embaixo, na minha mesa.</t>
  </si>
  <si>
    <r>
      <rPr>
        <sz val="10"/>
        <rFont val="WenQuanYi Zen Hei"/>
        <family val="2"/>
      </rPr>
      <t xml:space="preserve">다섯 시야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사무소 회의 시작이야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여기 아래 내 테이블에서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</si>
  <si>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지문 대체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시간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장소를 </t>
    </r>
    <r>
      <rPr>
        <sz val="10"/>
        <rFont val="Noto Sans CJK SC"/>
        <family val="2"/>
        <charset val="1"/>
      </rPr>
      <t xml:space="preserve">Marta</t>
    </r>
    <r>
      <rPr>
        <sz val="10"/>
        <rFont val="WenQuanYi Zen Hei"/>
        <family val="2"/>
      </rPr>
      <t xml:space="preserve">가 알림</t>
    </r>
  </si>
  <si>
    <t xml:space="preserve">JULIANA</t>
  </si>
  <si>
    <t xml:space="preserve">É simples. A gente alinha os stakeholders e escala o impacto.</t>
  </si>
  <si>
    <r>
      <rPr>
        <sz val="10"/>
        <rFont val="WenQuanYi Zen Hei"/>
        <family val="2"/>
      </rPr>
      <t xml:space="preserve">간단해요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이해관계자를 정렬하고 임팩트를 확장하는 거예요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</si>
  <si>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경영 용어 제시 </t>
    </r>
    <r>
      <rPr>
        <sz val="10"/>
        <rFont val="Noto Sans CJK SC"/>
        <family val="2"/>
        <charset val="1"/>
      </rPr>
      <t xml:space="preserve">(alinhar, escalar, impacto)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</si>
  <si>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정중한 질문</t>
    </r>
  </si>
  <si>
    <t xml:space="preserve">A gente otimiza o fluxo de valor pra maximizar as sinergias.</t>
  </si>
  <si>
    <r>
      <rPr>
        <sz val="10"/>
        <rFont val="WenQuanYi Zen Hei"/>
        <family val="2"/>
      </rPr>
      <t xml:space="preserve">가치 흐름을 최적화해서 시너지를 극대화하는 거죠</t>
    </r>
    <r>
      <rPr>
        <sz val="10"/>
        <rFont val="Noto Sans CJK SC"/>
        <family val="2"/>
        <charset val="1"/>
      </rPr>
      <t xml:space="preserve">.</t>
    </r>
  </si>
  <si>
    <t xml:space="preserve">알맹이 없는 용어의 반복</t>
  </si>
  <si>
    <t xml:space="preserve">A senhora me explica como se eu tivesse cinco anos?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</si>
  <si>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슬슬 짜증</t>
    </r>
  </si>
  <si>
    <t xml:space="preserve">Claro. A gente gera valor com um modelo escalável e alinhado.</t>
  </si>
  <si>
    <r>
      <rPr>
        <sz val="10"/>
        <rFont val="WenQuanYi Zen Hei"/>
        <family val="2"/>
      </rPr>
      <t xml:space="preserve">물론이죠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확장 가능하고 정렬된 모델로 가치를 만드는 거예요</t>
    </r>
    <r>
      <rPr>
        <sz val="10"/>
        <rFont val="Noto Sans CJK SC"/>
        <family val="2"/>
        <charset val="1"/>
      </rPr>
      <t xml:space="preserve">.</t>
    </r>
  </si>
  <si>
    <t xml:space="preserve">동어반복 — 여전히 설명이 안 됨</t>
  </si>
  <si>
    <t xml:space="preserve">CHEGA! Não entendo nada! Faz uma hora que eu balanço a cabeça feito boba.</t>
  </si>
  <si>
    <r>
      <rPr>
        <sz val="10"/>
        <rFont val="WenQuanYi Zen Hei"/>
        <family val="2"/>
      </rPr>
      <t xml:space="preserve">그만</t>
    </r>
    <r>
      <rPr>
        <sz val="10"/>
        <rFont val="Noto Sans CJK SC"/>
        <family val="2"/>
        <charset val="1"/>
      </rPr>
      <t xml:space="preserve">! </t>
    </r>
    <r>
      <rPr>
        <sz val="10"/>
        <rFont val="WenQuanYi Zen Hei"/>
        <family val="2"/>
      </rPr>
      <t xml:space="preserve">하나도 모르겠어요</t>
    </r>
    <r>
      <rPr>
        <sz val="10"/>
        <rFont val="Noto Sans CJK SC"/>
        <family val="2"/>
        <charset val="1"/>
      </rPr>
      <t xml:space="preserve">! </t>
    </r>
    <r>
      <rPr>
        <sz val="10"/>
        <rFont val="WenQuanYi Zen Hei"/>
        <family val="2"/>
      </rPr>
      <t xml:space="preserve">한 시간째 바보처럼 고개만 끄덕였다고요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</si>
  <si>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폭발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톤 급상승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</si>
  <si>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지문 대체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접시 내려놓는 행동을 대사로</t>
    </r>
  </si>
  <si>
    <t xml:space="preserve">CAMILA</t>
  </si>
  <si>
    <r>
      <rPr>
        <sz val="10"/>
        <rFont val="Arial"/>
        <family val="0"/>
        <charset val="1"/>
      </rPr>
      <t xml:space="preserve">Camila</t>
    </r>
    <r>
      <rPr>
        <sz val="10"/>
        <rFont val="WenQuanYi Zen Hei"/>
        <family val="2"/>
      </rPr>
      <t xml:space="preserve">의 고정 반응</t>
    </r>
  </si>
  <si>
    <t xml:space="preserve">Não me diga «respira»!</t>
  </si>
  <si>
    <r>
      <rPr>
        <sz val="10"/>
        <rFont val="Arial"/>
        <family val="0"/>
        <charset val="1"/>
      </rPr>
      <t xml:space="preserve">«</t>
    </r>
    <r>
      <rPr>
        <sz val="10"/>
        <rFont val="WenQuanYi Zen Hei"/>
        <family val="2"/>
      </rPr>
      <t xml:space="preserve">숨 쉬어</t>
    </r>
    <r>
      <rPr>
        <sz val="10"/>
        <rFont val="Arial"/>
        <family val="0"/>
        <charset val="1"/>
      </rPr>
      <t xml:space="preserve">»</t>
    </r>
    <r>
      <rPr>
        <sz val="10"/>
        <rFont val="WenQuanYi Zen Hei"/>
        <family val="2"/>
      </rPr>
      <t xml:space="preserve">라고 하지 마세요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</si>
  <si>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a senhora</t>
    </r>
    <r>
      <rPr>
        <sz val="10"/>
        <rFont val="WenQuanYi Zen Hei"/>
        <family val="2"/>
      </rPr>
      <t xml:space="preserve">에게 하는 명령형 </t>
    </r>
    <r>
      <rPr>
        <sz val="10"/>
        <rFont val="Arial"/>
        <family val="0"/>
        <charset val="1"/>
      </rPr>
      <t xml:space="preserve">(diga)</t>
    </r>
  </si>
  <si>
    <t xml:space="preserve">ZUMBI</t>
  </si>
  <si>
    <r>
      <rPr>
        <sz val="10"/>
        <rFont val="Arial"/>
        <family val="0"/>
        <charset val="1"/>
      </rPr>
      <t xml:space="preserve">Zumbi</t>
    </r>
    <r>
      <rPr>
        <sz val="10"/>
        <rFont val="WenQuanYi Zen Hei"/>
        <family val="2"/>
      </rPr>
      <t xml:space="preserve">의 고정 반응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카메오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</si>
  <si>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Freire</t>
    </r>
    <r>
      <rPr>
        <sz val="10"/>
        <rFont val="WenQuanYi Zen Hei"/>
        <family val="2"/>
      </rPr>
      <t xml:space="preserve">의 고정 반응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카메오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답 대신 시그니처</t>
    </r>
  </si>
  <si>
    <t xml:space="preserve">DOM PEDRO</t>
  </si>
  <si>
    <t xml:space="preserve">Mentecapta. Ninguém pediu que você fingisse. Pergunte.</t>
  </si>
  <si>
    <r>
      <rPr>
        <sz val="10"/>
        <rFont val="WenQuanYi Zen Hei"/>
        <family val="2"/>
      </rPr>
      <t xml:space="preserve">멍청하긴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아무도 너한테 아는 척하라고 안 했어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물어봐</t>
    </r>
    <r>
      <rPr>
        <sz val="10"/>
        <rFont val="Noto Sans CJK SC"/>
        <family val="2"/>
        <charset val="1"/>
      </rPr>
      <t xml:space="preserve">.</t>
    </r>
  </si>
  <si>
    <t xml:space="preserve">욕 안에 담긴 가장 좋은 조언</t>
  </si>
  <si>
    <t xml:space="preserve">O senhor não ajuda!</t>
  </si>
  <si>
    <r>
      <rPr>
        <sz val="10"/>
        <rFont val="WenQuanYi Zen Hei"/>
        <family val="2"/>
      </rPr>
      <t xml:space="preserve">당신은 도움이 안 돼요</t>
    </r>
    <r>
      <rPr>
        <sz val="10"/>
        <rFont val="Noto Sans CJK SC"/>
        <family val="2"/>
        <charset val="1"/>
      </rPr>
      <t xml:space="preserve">!</t>
    </r>
  </si>
  <si>
    <r>
      <rPr>
        <sz val="10"/>
        <rFont val="WenQuanYi Zen Hei"/>
        <family val="2"/>
      </rPr>
      <t xml:space="preserve">폭발 중에도 </t>
    </r>
    <r>
      <rPr>
        <sz val="10"/>
        <rFont val="Noto Sans CJK SC"/>
        <family val="2"/>
        <charset val="1"/>
      </rPr>
      <t xml:space="preserve">Dom Pedro</t>
    </r>
    <r>
      <rPr>
        <sz val="10"/>
        <rFont val="WenQuanYi Zen Hei"/>
        <family val="2"/>
      </rPr>
      <t xml:space="preserve">에게는 </t>
    </r>
    <r>
      <rPr>
        <sz val="10"/>
        <rFont val="Noto Sans CJK SC"/>
        <family val="2"/>
        <charset val="1"/>
      </rPr>
      <t xml:space="preserve">o senhor</t>
    </r>
  </si>
  <si>
    <t xml:space="preserve">Ajudo mais que a moça dos slides.</t>
  </si>
  <si>
    <r>
      <rPr>
        <sz val="10"/>
        <rFont val="WenQuanYi Zen Hei"/>
        <family val="2"/>
      </rPr>
      <t xml:space="preserve">슬라이드 아가씨보다는 내가 더 도와주지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</si>
  <si>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Juliana </t>
    </r>
    <r>
      <rPr>
        <sz val="10"/>
        <rFont val="WenQuanYi Zen Hei"/>
        <family val="2"/>
      </rPr>
      <t xml:space="preserve">놀리기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심술 패턴</t>
    </r>
    <r>
      <rPr>
        <sz val="10"/>
        <rFont val="Arial"/>
        <family val="0"/>
        <charset val="1"/>
      </rPr>
      <t xml:space="preserve">)</t>
    </r>
  </si>
  <si>
    <t xml:space="preserve">BRUNO</t>
  </si>
  <si>
    <t xml:space="preserve">Deixa que eu traduzo. Quer dizer: demitir gente pra economizar.</t>
  </si>
  <si>
    <r>
      <rPr>
        <sz val="10"/>
        <rFont val="WenQuanYi Zen Hei"/>
        <family val="2"/>
      </rPr>
      <t xml:space="preserve">내가 번역할게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사람을 해고해서 돈을 아끼자는 뜻이야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</si>
  <si>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쉬운 말로 재설명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어휘 교습 장면</t>
    </r>
    <r>
      <rPr>
        <sz val="10"/>
        <rFont val="Noto Sans CJK SC"/>
        <family val="2"/>
        <charset val="1"/>
      </rPr>
      <t xml:space="preserve">)</t>
    </r>
  </si>
  <si>
    <t xml:space="preserve">Não foi exatamente isso que eu disse.</t>
  </si>
  <si>
    <r>
      <rPr>
        <sz val="10"/>
        <rFont val="WenQuanYi Zen Hei"/>
        <family val="2"/>
      </rPr>
      <t xml:space="preserve">제가 말한 건 정확히 그게 아닌데요</t>
    </r>
    <r>
      <rPr>
        <sz val="10"/>
        <rFont val="Noto Sans CJK SC"/>
        <family val="2"/>
        <charset val="1"/>
      </rPr>
      <t xml:space="preserve">.</t>
    </r>
  </si>
  <si>
    <t xml:space="preserve">Foi exatamente isso que você disse.</t>
  </si>
  <si>
    <r>
      <rPr>
        <sz val="10"/>
        <rFont val="WenQuanYi Zen Hei"/>
        <family val="2"/>
      </rPr>
      <t xml:space="preserve">정확히 네가 한 말이야</t>
    </r>
    <r>
      <rPr>
        <sz val="10"/>
        <rFont val="Noto Sans CJK SC"/>
        <family val="2"/>
        <charset val="1"/>
      </rPr>
      <t xml:space="preserve">.</t>
    </r>
  </si>
  <si>
    <t xml:space="preserve">짧은 반박 — 티키타카</t>
  </si>
  <si>
    <t xml:space="preserve">Sério? Tanta palavra pra dizer isso?</t>
  </si>
  <si>
    <r>
      <rPr>
        <sz val="10"/>
        <rFont val="WenQuanYi Zen Hei"/>
        <family val="2"/>
      </rPr>
      <t xml:space="preserve">정말요</t>
    </r>
    <r>
      <rPr>
        <sz val="10"/>
        <rFont val="Noto Sans CJK SC"/>
        <family val="2"/>
        <charset val="1"/>
      </rPr>
      <t xml:space="preserve">? </t>
    </r>
    <r>
      <rPr>
        <sz val="10"/>
        <rFont val="WenQuanYi Zen Hei"/>
        <family val="2"/>
      </rPr>
      <t xml:space="preserve">겨우 그 말 하려고 그렇게 많은 단어를요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</si>
  <si>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가 옳았음이 드러남</t>
    </r>
  </si>
  <si>
    <t xml:space="preserve">Bom. Às vezes, sim.</t>
  </si>
  <si>
    <r>
      <rPr>
        <sz val="10"/>
        <rFont val="WenQuanYi Zen Hei"/>
        <family val="2"/>
      </rPr>
      <t xml:space="preserve">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가끔은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그렇죠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</si>
  <si>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Juliana</t>
    </r>
    <r>
      <rPr>
        <sz val="10"/>
        <rFont val="WenQuanYi Zen Hei"/>
        <family val="2"/>
      </rPr>
      <t xml:space="preserve">의 성장 씨앗</t>
    </r>
  </si>
  <si>
    <t xml:space="preserve">Sentem aí, que eu trago alguma coisa. De estômago vazio não se pensa.</t>
  </si>
  <si>
    <r>
      <rPr>
        <sz val="10"/>
        <rFont val="WenQuanYi Zen Hei"/>
        <family val="2"/>
      </rPr>
      <t xml:space="preserve">다들 앉아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뭐 좀 내올게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배가 비면 생각이 안 돼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</si>
  <si>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vocês </t>
    </r>
    <r>
      <rPr>
        <sz val="10"/>
        <rFont val="WenQuanYi Zen Hei"/>
        <family val="2"/>
      </rPr>
      <t xml:space="preserve">명령형</t>
    </r>
    <r>
      <rPr>
        <sz val="10"/>
        <rFont val="Arial"/>
        <family val="0"/>
        <charset val="1"/>
      </rPr>
      <t xml:space="preserve">(sentem), Marta</t>
    </r>
    <r>
      <rPr>
        <sz val="10"/>
        <rFont val="WenQuanYi Zen Hei"/>
        <family val="2"/>
      </rPr>
      <t xml:space="preserve">의 시그니처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개</t>
    </r>
  </si>
  <si>
    <t xml:space="preserve">Tá. Mas amanhã, sem palavra difícil, por favor.</t>
  </si>
  <si>
    <r>
      <rPr>
        <sz val="10"/>
        <rFont val="WenQuanYi Zen Hei"/>
        <family val="2"/>
      </rPr>
      <t xml:space="preserve">알았어요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그래도 내일은 어려운 말 없이 부탁해요</t>
    </r>
    <r>
      <rPr>
        <sz val="10"/>
        <rFont val="Noto Sans CJK SC"/>
        <family val="2"/>
        <charset val="1"/>
      </rPr>
      <t xml:space="preserve">.</t>
    </r>
  </si>
  <si>
    <t xml:space="preserve">변경 이력과 미결 사항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</si>
  <si>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변경 이력</t>
    </r>
  </si>
  <si>
    <t xml:space="preserve">이전</t>
  </si>
  <si>
    <t xml:space="preserve">이후</t>
  </si>
  <si>
    <t xml:space="preserve">반영 시트</t>
  </si>
  <si>
    <r>
      <rPr>
        <sz val="10"/>
        <rFont val="Noto Sans CJK SC"/>
        <family val="2"/>
        <charset val="1"/>
      </rPr>
      <t xml:space="preserve">v1 </t>
    </r>
    <r>
      <rPr>
        <sz val="10"/>
        <rFont val="WenQuanYi Zen Hei"/>
        <family val="2"/>
      </rPr>
      <t xml:space="preserve">이력</t>
    </r>
  </si>
  <si>
    <r>
      <rPr>
        <sz val="10"/>
        <rFont val="WenQuanYi Zen Hei"/>
        <family val="2"/>
      </rPr>
      <t xml:space="preserve">스페인판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마드리드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기획 이력 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건</t>
    </r>
  </si>
  <si>
    <r>
      <rPr>
        <sz val="10"/>
        <rFont val="WenQuanYi Zen Hei"/>
        <family val="2"/>
      </rPr>
      <t xml:space="preserve">인원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말투</t>
    </r>
    <r>
      <rPr>
        <sz val="10"/>
        <rFont val="Arial"/>
        <family val="0"/>
        <charset val="1"/>
      </rPr>
      <t xml:space="preserve">·1</t>
    </r>
    <r>
      <rPr>
        <sz val="10"/>
        <rFont val="WenQuanYi Zen Hei"/>
        <family val="2"/>
      </rPr>
      <t xml:space="preserve">부 재설계</t>
    </r>
    <r>
      <rPr>
        <sz val="10"/>
        <rFont val="Arial"/>
        <family val="0"/>
        <charset val="1"/>
      </rPr>
      <t xml:space="preserve">·13</t>
    </r>
    <r>
      <rPr>
        <sz val="10"/>
        <rFont val="WenQuanYi Zen Hei"/>
        <family val="2"/>
      </rPr>
      <t xml:space="preserve">부 확장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현안 </t>
    </r>
    <r>
      <rPr>
        <sz val="10"/>
        <rFont val="Arial"/>
        <family val="0"/>
        <charset val="1"/>
      </rPr>
      <t xml:space="preserve">15→18</t>
    </r>
    <r>
      <rPr>
        <sz val="10"/>
        <rFont val="WenQuanYi Zen Hei"/>
        <family val="2"/>
      </rPr>
      <t xml:space="preserve">개 등 스페인판의 결정 사항은 브라질판에 구조 그대로 이어받음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화 수</t>
    </r>
    <r>
      <rPr>
        <sz val="10"/>
        <rFont val="Arial"/>
        <family val="0"/>
        <charset val="1"/>
      </rPr>
      <t xml:space="preserve">, 120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, 100% </t>
    </r>
    <r>
      <rPr>
        <sz val="10"/>
        <rFont val="WenQuanYi Zen Hei"/>
        <family val="2"/>
      </rPr>
      <t xml:space="preserve">대화문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원형 구조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복선 </t>
    </r>
    <r>
      <rPr>
        <sz val="10"/>
        <rFont val="Arial"/>
        <family val="0"/>
        <charset val="1"/>
      </rPr>
      <t xml:space="preserve">28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</si>
  <si>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t xml:space="preserve">배경 도시</t>
  </si>
  <si>
    <r>
      <rPr>
        <sz val="10"/>
        <rFont val="Arial"/>
        <family val="0"/>
        <charset val="1"/>
      </rPr>
      <t xml:space="preserve">Madrid(Lavapiés) / </t>
    </r>
    <r>
      <rPr>
        <sz val="10"/>
        <rFont val="WenQuanYi Zen Hei"/>
        <family val="2"/>
      </rPr>
      <t xml:space="preserve">캐릭터 시트만 </t>
    </r>
    <r>
      <rPr>
        <sz val="10"/>
        <rFont val="Arial"/>
        <family val="0"/>
        <charset val="1"/>
      </rPr>
      <t xml:space="preserve">Rio(Lapa)</t>
    </r>
  </si>
  <si>
    <r>
      <rPr>
        <sz val="10"/>
        <rFont val="WenQuanYi Zen Hei"/>
        <family val="2"/>
      </rPr>
      <t xml:space="preserve">상파울루 </t>
    </r>
    <r>
      <rPr>
        <sz val="10"/>
        <rFont val="Arial"/>
        <family val="0"/>
        <charset val="1"/>
      </rPr>
      <t xml:space="preserve">Bixiga(</t>
    </r>
    <r>
      <rPr>
        <sz val="10"/>
        <rFont val="WenQuanYi Zen Hei"/>
        <family val="2"/>
      </rPr>
      <t xml:space="preserve">이탈리아 이민자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삼바 학교 동네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시의회 청사 옆</t>
    </r>
    <r>
      <rPr>
        <sz val="10"/>
        <rFont val="Arial"/>
        <family val="0"/>
        <charset val="1"/>
      </rPr>
      <t xml:space="preserve">). 10</t>
    </r>
    <r>
      <rPr>
        <sz val="10"/>
        <rFont val="WenQuanYi Zen Hei"/>
        <family val="2"/>
      </rPr>
      <t xml:space="preserve">부 대선 이후는 브라질리아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상파울루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주말의 식탁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사무소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이원 배경</t>
    </r>
  </si>
  <si>
    <r>
      <rPr>
        <sz val="10"/>
        <rFont val="WenQuanYi Zen Hei"/>
        <family val="2"/>
      </rPr>
      <t xml:space="preserve">개요</t>
    </r>
    <r>
      <rPr>
        <sz val="10"/>
        <rFont val="Noto Sans CJK SC"/>
        <family val="2"/>
        <charset val="1"/>
      </rPr>
      <t xml:space="preserve">, 13</t>
    </r>
    <r>
      <rPr>
        <sz val="10"/>
        <rFont val="WenQuanYi Zen Hei"/>
        <family val="2"/>
      </rPr>
      <t xml:space="preserve">부 구성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아크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화별목차</t>
    </r>
  </si>
  <si>
    <t xml:space="preserve">인물 대응</t>
  </si>
  <si>
    <r>
      <rPr>
        <sz val="10"/>
        <rFont val="WenQuanYi Zen Hei"/>
        <family val="2"/>
      </rPr>
      <t xml:space="preserve">스페인판 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인 이름이 캐릭터 시트 외 시트에 남아 있었음</t>
    </r>
  </si>
  <si>
    <r>
      <rPr>
        <sz val="10"/>
        <rFont val="Arial"/>
        <family val="0"/>
        <charset val="1"/>
      </rPr>
      <t xml:space="preserve">Mateo→Rafael, Javier→Camila, Sofía→Bruno, Diego→Juliana, Anselmo→Dom Pedro, Ramón→Zumbi, Raimundo→Freire, Inés→Dumont, Lucía→Isabel, Pepa→Marta, Nieves→Edson, Tomás→Machado, Carmen→Larissa, Gonzalo→Sérgio </t>
    </r>
    <r>
      <rPr>
        <sz val="10"/>
        <rFont val="WenQuanYi Zen Hei"/>
        <family val="2"/>
      </rPr>
      <t xml:space="preserve">로 전 시트 통일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한국어 조사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</si>
  <si>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부활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인의 기능</t>
    </r>
  </si>
  <si>
    <r>
      <rPr>
        <sz val="10"/>
        <rFont val="Arial"/>
        <family val="0"/>
        <charset val="1"/>
      </rPr>
      <t xml:space="preserve">Dom Pedro=</t>
    </r>
    <r>
      <rPr>
        <sz val="10"/>
        <rFont val="WenQuanYi Zen Hei"/>
        <family val="2"/>
      </rPr>
      <t xml:space="preserve">심술 원로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외교</t>
    </r>
    <r>
      <rPr>
        <sz val="10"/>
        <rFont val="Arial"/>
        <family val="0"/>
        <charset val="1"/>
      </rPr>
      <t xml:space="preserve">(Anselmo), Zumbi=</t>
    </r>
    <r>
      <rPr>
        <sz val="10"/>
        <rFont val="WenQuanYi Zen Hei"/>
        <family val="2"/>
      </rPr>
      <t xml:space="preserve">현장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캠프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재난 지휘</t>
    </r>
    <r>
      <rPr>
        <sz val="10"/>
        <rFont val="Arial"/>
        <family val="0"/>
        <charset val="1"/>
      </rPr>
      <t xml:space="preserve">(Ramón), Freire=</t>
    </r>
    <r>
      <rPr>
        <sz val="10"/>
        <rFont val="WenQuanYi Zen Hei"/>
        <family val="2"/>
      </rPr>
      <t xml:space="preserve">출처 안내</t>
    </r>
    <r>
      <rPr>
        <sz val="10"/>
        <rFont val="Arial"/>
        <family val="0"/>
        <charset val="1"/>
      </rPr>
      <t xml:space="preserve">(Raimundo, </t>
    </r>
    <r>
      <rPr>
        <sz val="10"/>
        <rFont val="WenQuanYi Zen Hei"/>
        <family val="2"/>
      </rPr>
      <t xml:space="preserve">군사정권 감시 경험 추가</t>
    </r>
    <r>
      <rPr>
        <sz val="10"/>
        <rFont val="Arial"/>
        <family val="0"/>
        <charset val="1"/>
      </rPr>
      <t xml:space="preserve">), Dumont=</t>
    </r>
    <r>
      <rPr>
        <sz val="10"/>
        <rFont val="WenQuanYi Zen Hei"/>
        <family val="2"/>
      </rPr>
      <t xml:space="preserve">공론화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팟캐스트</t>
    </r>
    <r>
      <rPr>
        <sz val="10"/>
        <rFont val="Arial"/>
        <family val="0"/>
        <charset val="1"/>
      </rPr>
      <t xml:space="preserve">(Inés), Isabel=</t>
    </r>
    <r>
      <rPr>
        <sz val="10"/>
        <rFont val="WenQuanYi Zen Hei"/>
        <family val="2"/>
      </rPr>
      <t xml:space="preserve">상담</t>
    </r>
    <r>
      <rPr>
        <sz val="10"/>
        <rFont val="Arial"/>
        <family val="0"/>
        <charset val="1"/>
      </rPr>
      <t xml:space="preserve">(Lucía, CVV </t>
    </r>
    <r>
      <rPr>
        <sz val="10"/>
        <rFont val="WenQuanYi Zen Hei"/>
        <family val="2"/>
      </rPr>
      <t xml:space="preserve">자원봉사</t>
    </r>
    <r>
      <rPr>
        <sz val="10"/>
        <rFont val="Arial"/>
        <family val="0"/>
        <charset val="1"/>
      </rPr>
      <t xml:space="preserve">), Machado=</t>
    </r>
    <r>
      <rPr>
        <sz val="10"/>
        <rFont val="WenQuanYi Zen Hei"/>
        <family val="2"/>
      </rPr>
      <t xml:space="preserve">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연설</t>
    </r>
    <r>
      <rPr>
        <sz val="10"/>
        <rFont val="Arial"/>
        <family val="0"/>
        <charset val="1"/>
      </rPr>
      <t xml:space="preserve">(Tomás)</t>
    </r>
  </si>
  <si>
    <r>
      <rPr>
        <sz val="10"/>
        <rFont val="WenQuanYi Zen Hei"/>
        <family val="2"/>
      </rPr>
      <t xml:space="preserve">캐릭터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등장비중</t>
    </r>
  </si>
  <si>
    <t xml:space="preserve">시트 이름</t>
  </si>
  <si>
    <r>
      <rPr>
        <sz val="10"/>
        <rFont val="Noto Sans CJK SC"/>
        <family val="2"/>
        <charset val="1"/>
      </rPr>
      <t xml:space="preserve">Carmen_</t>
    </r>
    <r>
      <rPr>
        <sz val="10"/>
        <rFont val="WenQuanYi Zen Hei"/>
        <family val="2"/>
      </rPr>
      <t xml:space="preserve">폭발과욕 </t>
    </r>
    <r>
      <rPr>
        <sz val="10"/>
        <rFont val="Noto Sans CJK SC"/>
        <family val="2"/>
        <charset val="1"/>
      </rPr>
      <t xml:space="preserve">/ Anselmo_</t>
    </r>
    <r>
      <rPr>
        <sz val="10"/>
        <rFont val="WenQuanYi Zen Hei"/>
        <family val="2"/>
      </rPr>
      <t xml:space="preserve">죽음 </t>
    </r>
    <r>
      <rPr>
        <sz val="10"/>
        <rFont val="Noto Sans CJK SC"/>
        <family val="2"/>
        <charset val="1"/>
      </rPr>
      <t xml:space="preserve">/ Raimundo_</t>
    </r>
    <r>
      <rPr>
        <sz val="10"/>
        <rFont val="WenQuanYi Zen Hei"/>
        <family val="2"/>
      </rPr>
      <t xml:space="preserve">출처</t>
    </r>
  </si>
  <si>
    <r>
      <rPr>
        <sz val="10"/>
        <rFont val="Noto Sans CJK SC"/>
        <family val="2"/>
        <charset val="1"/>
      </rPr>
      <t xml:space="preserve">Larissa_</t>
    </r>
    <r>
      <rPr>
        <sz val="10"/>
        <rFont val="WenQuanYi Zen Hei"/>
        <family val="2"/>
      </rPr>
      <t xml:space="preserve">폭발과욕 </t>
    </r>
    <r>
      <rPr>
        <sz val="10"/>
        <rFont val="Noto Sans CJK SC"/>
        <family val="2"/>
        <charset val="1"/>
      </rPr>
      <t xml:space="preserve">/ DomPedro_</t>
    </r>
    <r>
      <rPr>
        <sz val="10"/>
        <rFont val="WenQuanYi Zen Hei"/>
        <family val="2"/>
      </rPr>
      <t xml:space="preserve">죽음 </t>
    </r>
    <r>
      <rPr>
        <sz val="10"/>
        <rFont val="Noto Sans CJK SC"/>
        <family val="2"/>
        <charset val="1"/>
      </rPr>
      <t xml:space="preserve">/ Freire_</t>
    </r>
    <r>
      <rPr>
        <sz val="10"/>
        <rFont val="WenQuanYi Zen Hei"/>
        <family val="2"/>
      </rPr>
      <t xml:space="preserve">출처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개요의 링크도 갱신</t>
    </r>
    <r>
      <rPr>
        <sz val="10"/>
        <rFont val="Noto Sans CJK SC"/>
        <family val="2"/>
        <charset val="1"/>
      </rPr>
      <t xml:space="preserve">)</t>
    </r>
  </si>
  <si>
    <t xml:space="preserve">개요</t>
  </si>
  <si>
    <t xml:space="preserve">제목 언어</t>
  </si>
  <si>
    <r>
      <rPr>
        <sz val="10"/>
        <rFont val="WenQuanYi Zen Hei"/>
        <family val="2"/>
      </rPr>
      <t xml:space="preserve">스페인어 제목 </t>
    </r>
    <r>
      <rPr>
        <sz val="10"/>
        <rFont val="Noto Sans CJK SC"/>
        <family val="2"/>
        <charset val="1"/>
      </rPr>
      <t xml:space="preserve">156</t>
    </r>
    <r>
      <rPr>
        <sz val="10"/>
        <rFont val="WenQuanYi Zen Hei"/>
        <family val="2"/>
      </rPr>
      <t xml:space="preserve">개</t>
    </r>
  </si>
  <si>
    <r>
      <rPr>
        <sz val="10"/>
        <rFont val="WenQuanYi Zen Hei"/>
        <family val="2"/>
      </rPr>
      <t xml:space="preserve">브라질 포르투갈어 제목 </t>
    </r>
    <r>
      <rPr>
        <sz val="10"/>
        <rFont val="Noto Sans CJK SC"/>
        <family val="2"/>
        <charset val="1"/>
      </rPr>
      <t xml:space="preserve">156</t>
    </r>
    <r>
      <rPr>
        <sz val="10"/>
        <rFont val="WenQuanYi Zen Hei"/>
        <family val="2"/>
      </rPr>
      <t xml:space="preserve">개로 새로 작성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열 이름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제목 </t>
    </r>
    <r>
      <rPr>
        <sz val="10"/>
        <rFont val="Noto Sans CJK SC"/>
        <family val="2"/>
        <charset val="1"/>
      </rPr>
      <t xml:space="preserve">(ES)' → '</t>
    </r>
    <r>
      <rPr>
        <sz val="10"/>
        <rFont val="WenQuanYi Zen Hei"/>
        <family val="2"/>
      </rPr>
      <t xml:space="preserve">제목 </t>
    </r>
    <r>
      <rPr>
        <sz val="10"/>
        <rFont val="Noto Sans CJK SC"/>
        <family val="2"/>
        <charset val="1"/>
      </rPr>
      <t xml:space="preserve">(PT-BR)', </t>
    </r>
    <r>
      <rPr>
        <sz val="10"/>
        <rFont val="WenQuanYi Zen Hei"/>
        <family val="2"/>
      </rPr>
      <t xml:space="preserve">대사 열 </t>
    </r>
    <r>
      <rPr>
        <sz val="10"/>
        <rFont val="Noto Sans CJK SC"/>
        <family val="2"/>
        <charset val="1"/>
      </rPr>
      <t xml:space="preserve">'(ES)' → '(PT)'</t>
    </r>
  </si>
  <si>
    <r>
      <rPr>
        <sz val="10"/>
        <rFont val="WenQuanYi Zen Hei"/>
        <family val="2"/>
      </rPr>
      <t xml:space="preserve">화별목차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구성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시범대사</t>
    </r>
  </si>
  <si>
    <t xml:space="preserve">정치 제도</t>
  </si>
  <si>
    <r>
      <rPr>
        <sz val="10"/>
        <rFont val="WenQuanYi Zen Hei"/>
        <family val="2"/>
      </rPr>
      <t xml:space="preserve">의원내각제</t>
    </r>
    <r>
      <rPr>
        <sz val="10"/>
        <rFont val="Noto Sans CJK SC"/>
        <family val="2"/>
        <charset val="1"/>
      </rPr>
      <t xml:space="preserve">: investidura·</t>
    </r>
    <r>
      <rPr>
        <sz val="10"/>
        <rFont val="WenQuanYi Zen Hei"/>
        <family val="2"/>
      </rPr>
      <t xml:space="preserve">두 달 시계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재선거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건설적 불신임안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국왕</t>
    </r>
  </si>
  <si>
    <r>
      <rPr>
        <sz val="10"/>
        <rFont val="WenQuanYi Zen Hei"/>
        <family val="2"/>
      </rPr>
      <t xml:space="preserve">대통령제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전당대회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후보 등록</t>
    </r>
    <r>
      <rPr>
        <sz val="10"/>
        <rFont val="Noto Sans CJK SC"/>
        <family val="2"/>
        <charset val="1"/>
      </rPr>
      <t xml:space="preserve">·45</t>
    </r>
    <r>
      <rPr>
        <sz val="10"/>
        <rFont val="WenQuanYi Zen Hei"/>
        <family val="2"/>
      </rPr>
      <t xml:space="preserve">일 유세</t>
    </r>
    <r>
      <rPr>
        <sz val="10"/>
        <rFont val="Noto Sans CJK SC"/>
        <family val="2"/>
        <charset val="1"/>
      </rPr>
      <t xml:space="preserve">·1</t>
    </r>
    <r>
      <rPr>
        <sz val="10"/>
        <rFont val="WenQuanYi Zen Hei"/>
        <family val="2"/>
      </rPr>
      <t xml:space="preserve">차 투표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당선증</t>
    </r>
    <r>
      <rPr>
        <sz val="10"/>
        <rFont val="Noto Sans CJK SC"/>
        <family val="2"/>
        <charset val="1"/>
      </rPr>
      <t xml:space="preserve">·1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일 취임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연립 대통령제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탄핵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분의 </t>
    </r>
    <r>
      <rPr>
        <sz val="10"/>
        <rFont val="Noto Sans CJK SC"/>
        <family val="2"/>
        <charset val="1"/>
      </rPr>
      <t xml:space="preserve">2), </t>
    </r>
    <r>
      <rPr>
        <sz val="10"/>
        <rFont val="WenQuanYi Zen Hei"/>
        <family val="2"/>
      </rPr>
      <t xml:space="preserve">임시조치</t>
    </r>
    <r>
      <rPr>
        <sz val="10"/>
        <rFont val="Noto Sans CJK SC"/>
        <family val="2"/>
        <charset val="1"/>
      </rPr>
      <t xml:space="preserve">(MP)</t>
    </r>
  </si>
  <si>
    <r>
      <rPr>
        <sz val="10"/>
        <rFont val="WenQuanYi Zen Hei"/>
        <family val="2"/>
      </rPr>
      <t xml:space="preserve">정치제도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정치경로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의석</t>
    </r>
    <r>
      <rPr>
        <sz val="10"/>
        <rFont val="Arial"/>
        <family val="0"/>
        <charset val="1"/>
      </rPr>
      <t xml:space="preserve">, 10~12</t>
    </r>
    <r>
      <rPr>
        <sz val="10"/>
        <rFont val="WenQuanYi Zen Hei"/>
        <family val="2"/>
      </rPr>
      <t xml:space="preserve">부</t>
    </r>
  </si>
  <si>
    <t xml:space="preserve">총리 → 대통령</t>
  </si>
  <si>
    <r>
      <rPr>
        <sz val="10"/>
        <rFont val="Arial"/>
        <family val="0"/>
        <charset val="1"/>
      </rPr>
      <t xml:space="preserve">Mateo </t>
    </r>
    <r>
      <rPr>
        <sz val="10"/>
        <rFont val="WenQuanYi Zen Hei"/>
        <family val="2"/>
      </rPr>
      <t xml:space="preserve">총리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대통령실장 등 스페인 직제</t>
    </r>
  </si>
  <si>
    <r>
      <rPr>
        <sz val="10"/>
        <rFont val="Arial"/>
        <family val="0"/>
        <charset val="1"/>
      </rPr>
      <t xml:space="preserve">Rafael </t>
    </r>
    <r>
      <rPr>
        <sz val="10"/>
        <rFont val="WenQuanYi Zen Hei"/>
        <family val="2"/>
      </rPr>
      <t xml:space="preserve">대통령</t>
    </r>
    <r>
      <rPr>
        <sz val="10"/>
        <rFont val="Arial"/>
        <family val="0"/>
        <charset val="1"/>
      </rPr>
      <t xml:space="preserve">, Juliana </t>
    </r>
    <r>
      <rPr>
        <sz val="10"/>
        <rFont val="WenQuanYi Zen Hei"/>
        <family val="2"/>
      </rPr>
      <t xml:space="preserve">수석장관</t>
    </r>
    <r>
      <rPr>
        <sz val="10"/>
        <rFont val="Arial"/>
        <family val="0"/>
        <charset val="1"/>
      </rPr>
      <t xml:space="preserve">(Casa Civil), Bruno </t>
    </r>
    <r>
      <rPr>
        <sz val="10"/>
        <rFont val="WenQuanYi Zen Hei"/>
        <family val="2"/>
      </rPr>
      <t xml:space="preserve">재무장관</t>
    </r>
    <r>
      <rPr>
        <sz val="10"/>
        <rFont val="Arial"/>
        <family val="0"/>
        <charset val="1"/>
      </rPr>
      <t xml:space="preserve">, Camila </t>
    </r>
    <r>
      <rPr>
        <sz val="10"/>
        <rFont val="WenQuanYi Zen Hei"/>
        <family val="2"/>
      </rPr>
      <t xml:space="preserve">보건장관</t>
    </r>
    <r>
      <rPr>
        <sz val="10"/>
        <rFont val="Arial"/>
        <family val="0"/>
        <charset val="1"/>
      </rPr>
      <t xml:space="preserve">, Zumbi </t>
    </r>
    <r>
      <rPr>
        <sz val="10"/>
        <rFont val="WenQuanYi Zen Hei"/>
        <family val="2"/>
      </rPr>
      <t xml:space="preserve">통합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지역개발장관</t>
    </r>
    <r>
      <rPr>
        <sz val="10"/>
        <rFont val="Arial"/>
        <family val="0"/>
        <charset val="1"/>
      </rPr>
      <t xml:space="preserve">, Dumont </t>
    </r>
    <r>
      <rPr>
        <sz val="10"/>
        <rFont val="WenQuanYi Zen Hei"/>
        <family val="2"/>
      </rPr>
      <t xml:space="preserve">대변인</t>
    </r>
  </si>
  <si>
    <r>
      <rPr>
        <sz val="10"/>
        <rFont val="WenQuanYi Zen Hei"/>
        <family val="2"/>
      </rPr>
      <t xml:space="preserve">캐릭터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아크</t>
    </r>
  </si>
  <si>
    <t xml:space="preserve">지방 정치</t>
  </si>
  <si>
    <r>
      <rPr>
        <sz val="10"/>
        <rFont val="WenQuanYi Zen Hei"/>
        <family val="2"/>
      </rPr>
      <t xml:space="preserve">시의회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자치의회 동시 선거</t>
    </r>
    <r>
      <rPr>
        <sz val="10"/>
        <rFont val="Noto Sans CJK SC"/>
        <family val="2"/>
        <charset val="1"/>
      </rPr>
      <t xml:space="preserve">(5</t>
    </r>
    <r>
      <rPr>
        <sz val="10"/>
        <rFont val="WenQuanYi Zen Hei"/>
        <family val="2"/>
      </rPr>
      <t xml:space="preserve">월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</si>
  <si>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브라질은 시장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시의원 선거가 총선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년 뒤 따로 치러지므로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=</t>
    </r>
    <r>
      <rPr>
        <sz val="10"/>
        <rFont val="WenQuanYi Zen Hei"/>
        <family val="2"/>
      </rPr>
      <t xml:space="preserve">시장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시의원 선거</t>
    </r>
    <r>
      <rPr>
        <sz val="10"/>
        <rFont val="Noto Sans CJK SC"/>
        <family val="2"/>
        <charset val="1"/>
      </rPr>
      <t xml:space="preserve">(Rafael </t>
    </r>
    <r>
      <rPr>
        <sz val="10"/>
        <rFont val="WenQuanYi Zen Hei"/>
        <family val="2"/>
      </rPr>
      <t xml:space="preserve">시장 후보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위</t>
    </r>
    <r>
      <rPr>
        <sz val="10"/>
        <rFont val="Noto Sans CJK SC"/>
        <family val="2"/>
        <charset val="1"/>
      </rPr>
      <t xml:space="preserve">), 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=</t>
    </r>
    <r>
      <rPr>
        <sz val="10"/>
        <rFont val="WenQuanYi Zen Hei"/>
        <family val="2"/>
      </rPr>
      <t xml:space="preserve">시의회만</t>
    </r>
    <r>
      <rPr>
        <sz val="10"/>
        <rFont val="Noto Sans CJK SC"/>
        <family val="2"/>
        <charset val="1"/>
      </rPr>
      <t xml:space="preserve">(Bruno </t>
    </r>
    <r>
      <rPr>
        <sz val="10"/>
        <rFont val="WenQuanYi Zen Hei"/>
        <family val="2"/>
      </rPr>
      <t xml:space="preserve">재정위</t>
    </r>
    <r>
      <rPr>
        <sz val="10"/>
        <rFont val="Noto Sans CJK SC"/>
        <family val="2"/>
        <charset val="1"/>
      </rPr>
      <t xml:space="preserve">, Camila </t>
    </r>
    <r>
      <rPr>
        <sz val="10"/>
        <rFont val="WenQuanYi Zen Hei"/>
        <family val="2"/>
      </rPr>
      <t xml:space="preserve">보건위</t>
    </r>
    <r>
      <rPr>
        <sz val="10"/>
        <rFont val="Noto Sans CJK SC"/>
        <family val="2"/>
        <charset val="1"/>
      </rPr>
      <t xml:space="preserve">), 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=</t>
    </r>
    <r>
      <rPr>
        <sz val="10"/>
        <rFont val="WenQuanYi Zen Hei"/>
        <family val="2"/>
      </rPr>
      <t xml:space="preserve">총선의 해로 재구성</t>
    </r>
  </si>
  <si>
    <r>
      <rPr>
        <sz val="10"/>
        <rFont val="Arial"/>
        <family val="0"/>
        <charset val="1"/>
      </rPr>
      <t xml:space="preserve">8~10</t>
    </r>
    <r>
      <rPr>
        <sz val="10"/>
        <rFont val="WenQuanYi Zen Hei"/>
        <family val="2"/>
      </rPr>
      <t xml:space="preserve">부</t>
    </r>
  </si>
  <si>
    <t xml:space="preserve">시뮬레이션</t>
  </si>
  <si>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350</t>
    </r>
    <r>
      <rPr>
        <sz val="10"/>
        <rFont val="WenQuanYi Zen Hei"/>
        <family val="2"/>
      </rPr>
      <t xml:space="preserve">석 </t>
    </r>
    <r>
      <rPr>
        <sz val="10"/>
        <rFont val="Noto Sans CJK SC"/>
        <family val="2"/>
        <charset val="1"/>
      </rPr>
      <t xml:space="preserve">investidura 1·2</t>
    </r>
    <r>
      <rPr>
        <sz val="10"/>
        <rFont val="WenQuanYi Zen Hei"/>
        <family val="2"/>
      </rPr>
      <t xml:space="preserve">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불신임안</t>
    </r>
    <r>
      <rPr>
        <sz val="10"/>
        <rFont val="Noto Sans CJK SC"/>
        <family val="2"/>
        <charset val="1"/>
      </rPr>
      <t xml:space="preserve">(176</t>
    </r>
    <r>
      <rPr>
        <sz val="10"/>
        <rFont val="WenQuanYi Zen Hei"/>
        <family val="2"/>
      </rPr>
      <t xml:space="preserve">표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</si>
  <si>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대선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득표</t>
    </r>
    <r>
      <rPr>
        <sz val="10"/>
        <rFont val="Noto Sans CJK SC"/>
        <family val="2"/>
        <charset val="1"/>
      </rPr>
      <t xml:space="preserve">(A), </t>
    </r>
    <r>
      <rPr>
        <sz val="10"/>
        <rFont val="WenQuanYi Zen Hei"/>
        <family val="2"/>
      </rPr>
      <t xml:space="preserve">결선 표 이동</t>
    </r>
    <r>
      <rPr>
        <sz val="10"/>
        <rFont val="Noto Sans CJK SC"/>
        <family val="2"/>
        <charset val="1"/>
      </rPr>
      <t xml:space="preserve">(B), </t>
    </r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513</t>
    </r>
    <r>
      <rPr>
        <sz val="10"/>
        <rFont val="WenQuanYi Zen Hei"/>
        <family val="2"/>
      </rPr>
      <t xml:space="preserve">석 구성과 탄핵 개시 표결</t>
    </r>
    <r>
      <rPr>
        <sz val="10"/>
        <rFont val="Noto Sans CJK SC"/>
        <family val="2"/>
        <charset val="1"/>
      </rPr>
      <t xml:space="preserve">(342</t>
    </r>
    <r>
      <rPr>
        <sz val="10"/>
        <rFont val="WenQuanYi Zen Hei"/>
        <family val="2"/>
      </rPr>
      <t xml:space="preserve">표 문턱</t>
    </r>
    <r>
      <rPr>
        <sz val="10"/>
        <rFont val="Noto Sans CJK SC"/>
        <family val="2"/>
        <charset val="1"/>
      </rPr>
      <t xml:space="preserve">, C)</t>
    </r>
    <r>
      <rPr>
        <sz val="10"/>
        <rFont val="WenQuanYi Zen Hei"/>
        <family val="2"/>
      </rPr>
      <t xml:space="preserve">을 수식으로 계산</t>
    </r>
  </si>
  <si>
    <r>
      <rPr>
        <sz val="10"/>
        <rFont val="WenQuanYi Zen Hei"/>
        <family val="2"/>
      </rPr>
      <t xml:space="preserve">정치경로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의석</t>
    </r>
  </si>
  <si>
    <t xml:space="preserve">사회 현안</t>
  </si>
  <si>
    <r>
      <rPr>
        <sz val="10"/>
        <rFont val="WenQuanYi Zen Hei"/>
        <family val="2"/>
      </rPr>
      <t xml:space="preserve">스페인 현안 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사면</t>
    </r>
    <r>
      <rPr>
        <sz val="10"/>
        <rFont val="Arial"/>
        <family val="0"/>
        <charset val="1"/>
      </rPr>
      <t xml:space="preserve">·DANA·NATO·</t>
    </r>
    <r>
      <rPr>
        <sz val="10"/>
        <rFont val="WenQuanYi Zen Hei"/>
        <family val="2"/>
      </rPr>
      <t xml:space="preserve">라이더법 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</si>
  <si>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브라질 현안 </t>
    </r>
    <r>
      <rPr>
        <sz val="10"/>
        <rFont val="Noto Sans CJK SC"/>
        <family val="2"/>
        <charset val="1"/>
      </rPr>
      <t xml:space="preserve">18</t>
    </r>
    <r>
      <rPr>
        <sz val="10"/>
        <rFont val="WenQuanYi Zen Hei"/>
        <family val="2"/>
      </rPr>
      <t xml:space="preserve">개로 교체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같은 </t>
    </r>
    <r>
      <rPr>
        <sz val="10"/>
        <rFont val="Noto Sans CJK SC"/>
        <family val="2"/>
        <charset val="1"/>
      </rPr>
      <t xml:space="preserve">ID </t>
    </r>
    <r>
      <rPr>
        <sz val="10"/>
        <rFont val="WenQuanYi Zen Hei"/>
        <family val="2"/>
      </rPr>
      <t xml:space="preserve">유지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연립 대통령제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주 부채 재협상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사법–정치 충돌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주거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점거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비공식 경제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재정규칙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고금리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청년 고용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노동 착취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지역 의료 격차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폭염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가뭄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대홍수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의원 예산 불투명</t>
    </r>
    <r>
      <rPr>
        <sz val="10"/>
        <rFont val="Noto Sans CJK SC"/>
        <family val="2"/>
        <charset val="1"/>
      </rPr>
      <t xml:space="preserve">, Mercosul–EU·</t>
    </r>
    <r>
      <rPr>
        <sz val="10"/>
        <rFont val="WenQuanYi Zen Hei"/>
        <family val="2"/>
      </rPr>
      <t xml:space="preserve">관세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부모소외법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풍력단지 갈등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앱 노동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정보기관 사찰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청년 정신건강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온라인 도박</t>
    </r>
  </si>
  <si>
    <r>
      <rPr>
        <sz val="10"/>
        <rFont val="WenQuanYi Zen Hei"/>
        <family val="2"/>
      </rPr>
      <t xml:space="preserve">현안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배치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분포</t>
    </r>
  </si>
  <si>
    <t xml:space="preserve">국제 협상</t>
  </si>
  <si>
    <r>
      <rPr>
        <sz val="10"/>
        <rFont val="Arial"/>
        <family val="0"/>
        <charset val="1"/>
      </rPr>
      <t xml:space="preserve">NATO </t>
    </r>
    <r>
      <rPr>
        <sz val="10"/>
        <rFont val="WenQuanYi Zen Hei"/>
        <family val="2"/>
      </rPr>
      <t xml:space="preserve">방위비</t>
    </r>
    <r>
      <rPr>
        <sz val="10"/>
        <rFont val="Arial"/>
        <family val="0"/>
        <charset val="1"/>
      </rPr>
      <t xml:space="preserve">·EU </t>
    </r>
    <r>
      <rPr>
        <sz val="10"/>
        <rFont val="WenQuanYi Zen Hei"/>
        <family val="2"/>
      </rPr>
      <t xml:space="preserve">재정규칙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브뤼셀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</si>
  <si>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Mercosul–EU </t>
    </r>
    <r>
      <rPr>
        <sz val="10"/>
        <rFont val="WenQuanYi Zen Hei"/>
        <family val="2"/>
      </rPr>
      <t xml:space="preserve">협정 비준과 </t>
    </r>
    <r>
      <rPr>
        <sz val="10"/>
        <rFont val="Arial"/>
        <family val="0"/>
        <charset val="1"/>
      </rPr>
      <t xml:space="preserve">EU </t>
    </r>
    <r>
      <rPr>
        <sz val="10"/>
        <rFont val="WenQuanYi Zen Hei"/>
        <family val="2"/>
      </rPr>
      <t xml:space="preserve">산림전용방지규정</t>
    </r>
    <r>
      <rPr>
        <sz val="10"/>
        <rFont val="Arial"/>
        <family val="0"/>
        <charset val="1"/>
      </rPr>
      <t xml:space="preserve">(EUDR), </t>
    </r>
    <r>
      <rPr>
        <sz val="10"/>
        <rFont val="WenQuanYi Zen Hei"/>
        <family val="2"/>
      </rPr>
      <t xml:space="preserve">관세 압박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무대는 그대로 브뤼셀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반박 근거는 위성 산림 감시 자료</t>
    </r>
  </si>
  <si>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9~11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</si>
  <si>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DANA(</t>
    </r>
    <r>
      <rPr>
        <sz val="10"/>
        <rFont val="WenQuanYi Zen Hei"/>
        <family val="2"/>
      </rPr>
      <t xml:space="preserve">지중해 폭우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</si>
  <si>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남부 대홍수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민방위법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공공재난사태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특별 예산</t>
    </r>
    <r>
      <rPr>
        <sz val="10"/>
        <rFont val="Arial"/>
        <family val="0"/>
        <charset val="1"/>
      </rPr>
      <t xml:space="preserve">.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화로 잘못 적혀 있던 위치를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화로 통일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</si>
  <si>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복선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회수</t>
    </r>
  </si>
  <si>
    <t xml:space="preserve">젠더 현안</t>
  </si>
  <si>
    <t xml:space="preserve">성적 자유법의 형량 감경 부작용</t>
  </si>
  <si>
    <r>
      <rPr>
        <sz val="10"/>
        <rFont val="WenQuanYi Zen Hei"/>
        <family val="2"/>
      </rPr>
      <t xml:space="preserve">부모소외법이 학대 신고 어머니의 양육권 박탈에 쓰이는 문제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좋은 뜻의 나쁜 법 구조 유지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</si>
  <si>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</si>
  <si>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법령 근거</t>
  </si>
  <si>
    <r>
      <rPr>
        <sz val="10"/>
        <rFont val="Noto Sans CJK SC"/>
        <family val="2"/>
        <charset val="1"/>
      </rPr>
      <t xml:space="preserve">BOE·LO·Ley </t>
    </r>
    <r>
      <rPr>
        <sz val="10"/>
        <rFont val="WenQuanYi Zen Hei"/>
        <family val="2"/>
      </rPr>
      <t xml:space="preserve">번호</t>
    </r>
  </si>
  <si>
    <r>
      <rPr>
        <sz val="10"/>
        <rFont val="Noto Sans CJK SC"/>
        <family val="2"/>
        <charset val="1"/>
      </rPr>
      <t xml:space="preserve">Planalto </t>
    </r>
    <r>
      <rPr>
        <sz val="10"/>
        <rFont val="WenQuanYi Zen Hei"/>
        <family val="2"/>
      </rPr>
      <t xml:space="preserve">법령 사이트 기준 브라질 법령 번호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</t>
    </r>
    <r>
      <rPr>
        <sz val="10"/>
        <rFont val="Noto Sans CJK SC"/>
        <family val="2"/>
        <charset val="1"/>
      </rPr>
      <t xml:space="preserve">·Lei·LC)</t>
    </r>
    <r>
      <rPr>
        <sz val="10"/>
        <rFont val="WenQuanYi Zen Hei"/>
        <family val="2"/>
      </rPr>
      <t xml:space="preserve">로 교체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스페인판의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검색 확인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표시는 모두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기획 시점 지식 — 확인 필요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로 되돌림</t>
    </r>
  </si>
  <si>
    <r>
      <rPr>
        <sz val="10"/>
        <rFont val="WenQuanYi Zen Hei"/>
        <family val="2"/>
      </rPr>
      <t xml:space="preserve">정치제도</t>
    </r>
    <r>
      <rPr>
        <sz val="10"/>
        <rFont val="Noto Sans CJK SC"/>
        <family val="2"/>
        <charset val="1"/>
      </rPr>
      <t xml:space="preserve">, Freire_</t>
    </r>
    <r>
      <rPr>
        <sz val="10"/>
        <rFont val="WenQuanYi Zen Hei"/>
        <family val="2"/>
      </rPr>
      <t xml:space="preserve">출처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아크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화별목차</t>
    </r>
  </si>
  <si>
    <t xml:space="preserve">출처 서가</t>
  </si>
  <si>
    <t xml:space="preserve">BOE·AHN·Hemeroteca(BNE)·DLE</t>
  </si>
  <si>
    <r>
      <rPr>
        <sz val="10"/>
        <rFont val="Noto Sans CJK SC"/>
        <family val="2"/>
        <charset val="1"/>
      </rPr>
      <t xml:space="preserve">Planalto·DOU / </t>
    </r>
    <r>
      <rPr>
        <sz val="10"/>
        <rFont val="WenQuanYi Zen Hei"/>
        <family val="2"/>
      </rPr>
      <t xml:space="preserve">국가기록원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국가진실위원회 보고서 </t>
    </r>
    <r>
      <rPr>
        <sz val="10"/>
        <rFont val="Noto Sans CJK SC"/>
        <family val="2"/>
        <charset val="1"/>
      </rPr>
      <t xml:space="preserve">/ Hemeroteca Digital Brasileira / VOLP·Michaelis. </t>
    </r>
    <r>
      <rPr>
        <sz val="10"/>
        <rFont val="WenQuanYi Zen Hei"/>
        <family val="2"/>
      </rPr>
      <t xml:space="preserve">현실 동선은 센트로의 헌책방과 </t>
    </r>
    <r>
      <rPr>
        <sz val="10"/>
        <rFont val="Noto Sans CJK SC"/>
        <family val="2"/>
        <charset val="1"/>
      </rPr>
      <t xml:space="preserve">Biblioteca Mário de Andrade</t>
    </r>
  </si>
  <si>
    <r>
      <rPr>
        <sz val="10"/>
        <rFont val="Noto Sans CJK SC"/>
        <family val="2"/>
        <charset val="1"/>
      </rPr>
      <t xml:space="preserve">Freire_</t>
    </r>
    <r>
      <rPr>
        <sz val="10"/>
        <rFont val="WenQuanYi Zen Hei"/>
        <family val="2"/>
      </rPr>
      <t xml:space="preserve">출처</t>
    </r>
  </si>
  <si>
    <t xml:space="preserve">tú / usted / vosotros / ustedes</t>
  </si>
  <si>
    <r>
      <rPr>
        <sz val="10"/>
        <rFont val="Noto Sans CJK SC"/>
        <family val="2"/>
        <charset val="1"/>
      </rPr>
      <t xml:space="preserve">você / o senhor·a senhora / vocês / os senhores. Larissa→Dom Pedro 'o senhor' </t>
    </r>
    <r>
      <rPr>
        <sz val="10"/>
        <rFont val="WenQuanYi Zen Hei"/>
        <family val="2"/>
      </rPr>
      <t xml:space="preserve">유지 →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화 장례식에서 처음 </t>
    </r>
    <r>
      <rPr>
        <sz val="10"/>
        <rFont val="Noto Sans CJK SC"/>
        <family val="2"/>
        <charset val="1"/>
      </rPr>
      <t xml:space="preserve">'você'</t>
    </r>
  </si>
  <si>
    <r>
      <rPr>
        <sz val="10"/>
        <rFont val="WenQuanYi Zen Hei"/>
        <family val="2"/>
      </rPr>
      <t xml:space="preserve">호칭규칙</t>
    </r>
    <r>
      <rPr>
        <sz val="10"/>
        <rFont val="Noto Sans CJK SC"/>
        <family val="2"/>
        <charset val="1"/>
      </rPr>
      <t xml:space="preserve">, DomPedro_</t>
    </r>
    <r>
      <rPr>
        <sz val="10"/>
        <rFont val="WenQuanYi Zen Hei"/>
        <family val="2"/>
      </rPr>
      <t xml:space="preserve">죽음</t>
    </r>
  </si>
  <si>
    <t xml:space="preserve">욕 배정</t>
  </si>
  <si>
    <t xml:space="preserve">Mentecata·Recluta·Melona·Pánfila</t>
  </si>
  <si>
    <r>
      <rPr>
        <sz val="10"/>
        <rFont val="Noto Sans CJK SC"/>
        <family val="2"/>
        <charset val="1"/>
      </rPr>
      <t xml:space="preserve">Mentecapta·Recruta·Mané·Pamonha. </t>
    </r>
    <r>
      <rPr>
        <sz val="10"/>
        <rFont val="WenQuanYi Zen Hei"/>
        <family val="2"/>
      </rPr>
      <t xml:space="preserve">제외어</t>
    </r>
    <r>
      <rPr>
        <sz val="10"/>
        <rFont val="Noto Sans CJK SC"/>
        <family val="2"/>
        <charset val="1"/>
      </rPr>
      <t xml:space="preserve">: porra, caralho</t>
    </r>
  </si>
  <si>
    <r>
      <rPr>
        <sz val="10"/>
        <rFont val="Noto Sans CJK SC"/>
        <family val="2"/>
        <charset val="1"/>
      </rPr>
      <t xml:space="preserve">Larissa_</t>
    </r>
    <r>
      <rPr>
        <sz val="10"/>
        <rFont val="WenQuanYi Zen Hei"/>
        <family val="2"/>
      </rPr>
      <t xml:space="preserve">폭발과욕</t>
    </r>
  </si>
  <si>
    <r>
      <rPr>
        <sz val="10"/>
        <rFont val="WenQuanYi Zen Hei"/>
        <family val="2"/>
      </rPr>
      <t xml:space="preserve">스페인 고전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세르반테스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만리케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케베도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로르카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마차도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</si>
  <si>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포르투갈어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브라질 공유 저작물</t>
    </r>
    <r>
      <rPr>
        <sz val="10"/>
        <rFont val="Arial"/>
        <family val="0"/>
        <charset val="1"/>
      </rPr>
      <t xml:space="preserve">: Marta=</t>
    </r>
    <r>
      <rPr>
        <sz val="10"/>
        <rFont val="WenQuanYi Zen Hei"/>
        <family val="2"/>
      </rPr>
      <t xml:space="preserve">속담</t>
    </r>
    <r>
      <rPr>
        <sz val="10"/>
        <rFont val="Arial"/>
        <family val="0"/>
        <charset val="1"/>
      </rPr>
      <t xml:space="preserve">, Dom Pedro=</t>
    </r>
    <r>
      <rPr>
        <sz val="10"/>
        <rFont val="WenQuanYi Zen Hei"/>
        <family val="2"/>
      </rPr>
      <t xml:space="preserve">카몽이스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곤사우베스 지아스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망명의 시</t>
    </r>
    <r>
      <rPr>
        <sz val="10"/>
        <rFont val="Arial"/>
        <family val="0"/>
        <charset val="1"/>
      </rPr>
      <t xml:space="preserve">), Freire=</t>
    </r>
    <r>
      <rPr>
        <sz val="10"/>
        <rFont val="WenQuanYi Zen Hei"/>
        <family val="2"/>
      </rPr>
      <t xml:space="preserve">에우클리지스 다 쿠냐</t>
    </r>
    <r>
      <rPr>
        <sz val="10"/>
        <rFont val="Arial"/>
        <family val="0"/>
        <charset val="1"/>
      </rPr>
      <t xml:space="preserve">, Machado=</t>
    </r>
    <r>
      <rPr>
        <sz val="10"/>
        <rFont val="WenQuanYi Zen Hei"/>
        <family val="2"/>
      </rPr>
      <t xml:space="preserve">자기 작품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빌락</t>
    </r>
    <r>
      <rPr>
        <sz val="10"/>
        <rFont val="Arial"/>
        <family val="0"/>
        <charset val="1"/>
      </rPr>
      <t xml:space="preserve">, Rafael=</t>
    </r>
    <r>
      <rPr>
        <sz val="10"/>
        <rFont val="WenQuanYi Zen Hei"/>
        <family val="2"/>
      </rPr>
      <t xml:space="preserve">후이 바르보자</t>
    </r>
  </si>
  <si>
    <t xml:space="preserve">시그니처 대사</t>
  </si>
  <si>
    <t xml:space="preserve">«No está mal» «Sin novedad» «Búscalo tú» «Sentaos, que os pongo algo»</t>
  </si>
  <si>
    <t xml:space="preserve">«Não é ruim» «Sem novidade no quilombo» «Procure você» «Senta aí, que eu trago alguma coisa»</t>
  </si>
  <si>
    <r>
      <rPr>
        <sz val="10"/>
        <rFont val="WenQuanYi Zen Hei"/>
        <family val="2"/>
      </rPr>
      <t xml:space="preserve">가상 인물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기관</t>
    </r>
  </si>
  <si>
    <t xml:space="preserve">Salvat·Quintana·Ochoa·Remedios·Marisol·Encarna·Rueda·Banco Ibérico·Cenit</t>
  </si>
  <si>
    <r>
      <rPr>
        <sz val="10"/>
        <rFont val="Noto Sans CJK SC"/>
        <family val="2"/>
        <charset val="1"/>
      </rPr>
      <t xml:space="preserve">Salgado·Quintela·Barros·Dona Conceição·Rosângela·Dona Cida·Tavares·Banco Atlântico·Zênite. 1</t>
    </r>
    <r>
      <rPr>
        <sz val="10"/>
        <rFont val="WenQuanYi Zen Hei"/>
        <family val="2"/>
      </rPr>
      <t xml:space="preserve">부 사건</t>
    </r>
    <r>
      <rPr>
        <sz val="10"/>
        <rFont val="Noto Sans CJK SC"/>
        <family val="2"/>
        <charset val="1"/>
      </rPr>
      <t xml:space="preserve">6 </t>
    </r>
    <r>
      <rPr>
        <sz val="10"/>
        <rFont val="WenQuanYi Zen Hei"/>
        <family val="2"/>
      </rPr>
      <t xml:space="preserve">의뢰인은 주인공과 이름이 겹쳐 </t>
    </r>
    <r>
      <rPr>
        <sz val="10"/>
        <rFont val="Noto Sans CJK SC"/>
        <family val="2"/>
        <charset val="1"/>
      </rPr>
      <t xml:space="preserve">Seu Jurandir</t>
    </r>
    <r>
      <rPr>
        <sz val="10"/>
        <rFont val="WenQuanYi Zen Hei"/>
        <family val="2"/>
      </rPr>
      <t xml:space="preserve">로 변경</t>
    </r>
  </si>
  <si>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아크</t>
    </r>
  </si>
  <si>
    <t xml:space="preserve">가상 정당</t>
  </si>
  <si>
    <t xml:space="preserve">UCN·PPS·HU(Hispania Unida)·TA·TB</t>
  </si>
  <si>
    <r>
      <rPr>
        <sz val="10"/>
        <rFont val="Arial"/>
        <family val="0"/>
        <charset val="1"/>
      </rPr>
      <t xml:space="preserve">UCN·PPS </t>
    </r>
    <r>
      <rPr>
        <sz val="10"/>
        <rFont val="WenQuanYi Zen Hei"/>
        <family val="2"/>
      </rPr>
      <t xml:space="preserve">유지</t>
    </r>
    <r>
      <rPr>
        <sz val="10"/>
        <rFont val="Arial"/>
        <family val="0"/>
        <charset val="1"/>
      </rPr>
      <t xml:space="preserve">, HU=Honra e União, </t>
    </r>
    <r>
      <rPr>
        <sz val="10"/>
        <rFont val="WenQuanYi Zen Hei"/>
        <family val="2"/>
      </rPr>
      <t xml:space="preserve">중도 연합 </t>
    </r>
    <r>
      <rPr>
        <sz val="10"/>
        <rFont val="Arial"/>
        <family val="0"/>
        <charset val="1"/>
      </rPr>
      <t xml:space="preserve">PCN </t>
    </r>
    <r>
      <rPr>
        <sz val="10"/>
        <rFont val="WenQuanYi Zen Hei"/>
        <family val="2"/>
      </rPr>
      <t xml:space="preserve">추가</t>
    </r>
    <r>
      <rPr>
        <sz val="10"/>
        <rFont val="Arial"/>
        <family val="0"/>
        <charset val="1"/>
      </rPr>
      <t xml:space="preserve">, TA/TB=Frente Regional A/B</t>
    </r>
  </si>
  <si>
    <t xml:space="preserve">캐릭터 시트 정합</t>
  </si>
  <si>
    <r>
      <rPr>
        <sz val="10"/>
        <rFont val="Arial"/>
        <family val="0"/>
        <charset val="1"/>
      </rPr>
      <t xml:space="preserve">Dom Pedro </t>
    </r>
    <r>
      <rPr>
        <sz val="10"/>
        <rFont val="WenQuanYi Zen Hei"/>
        <family val="2"/>
      </rPr>
      <t xml:space="preserve">사망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현안 담당 </t>
    </r>
    <r>
      <rPr>
        <sz val="10"/>
        <rFont val="Arial"/>
        <family val="0"/>
        <charset val="1"/>
      </rPr>
      <t xml:space="preserve">TBD, </t>
    </r>
    <r>
      <rPr>
        <sz val="10"/>
        <rFont val="WenQuanYi Zen Hei"/>
        <family val="2"/>
      </rPr>
      <t xml:space="preserve">전 소속 이름이 주인공 성과 겹침</t>
    </r>
  </si>
  <si>
    <r>
      <rPr>
        <sz val="10"/>
        <rFont val="WenQuanYi Zen Hei"/>
        <family val="2"/>
      </rPr>
      <t xml:space="preserve">사망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화로 통일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현안 담당 </t>
    </r>
    <r>
      <rPr>
        <sz val="10"/>
        <rFont val="Noto Sans CJK SC"/>
        <family val="2"/>
        <charset val="1"/>
      </rPr>
      <t xml:space="preserve">ID </t>
    </r>
    <r>
      <rPr>
        <sz val="10"/>
        <rFont val="WenQuanYi Zen Hei"/>
        <family val="2"/>
      </rPr>
      <t xml:space="preserve">기입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전 소속을 </t>
    </r>
    <r>
      <rPr>
        <sz val="10"/>
        <rFont val="Noto Sans CJK SC"/>
        <family val="2"/>
        <charset val="1"/>
      </rPr>
      <t xml:space="preserve">Aguiar &amp; Salgado·Barros &amp; Teixeira</t>
    </r>
    <r>
      <rPr>
        <sz val="10"/>
        <rFont val="WenQuanYi Zen Hei"/>
        <family val="2"/>
      </rPr>
      <t xml:space="preserve">로 변경</t>
    </r>
    <r>
      <rPr>
        <sz val="10"/>
        <rFont val="Noto Sans CJK SC"/>
        <family val="2"/>
        <charset val="1"/>
      </rPr>
      <t xml:space="preserve">, Dom Pedro </t>
    </r>
    <r>
      <rPr>
        <sz val="10"/>
        <rFont val="WenQuanYi Zen Hei"/>
        <family val="2"/>
      </rPr>
      <t xml:space="preserve">폐위 경위</t>
    </r>
    <r>
      <rPr>
        <sz val="10"/>
        <rFont val="Noto Sans CJK SC"/>
        <family val="2"/>
        <charset val="1"/>
      </rPr>
      <t xml:space="preserve">(1889 </t>
    </r>
    <r>
      <rPr>
        <sz val="10"/>
        <rFont val="WenQuanYi Zen Hei"/>
        <family val="2"/>
      </rPr>
      <t xml:space="preserve">공화정 쿠데타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정정</t>
    </r>
  </si>
  <si>
    <t xml:space="preserve">파일명</t>
  </si>
  <si>
    <t xml:space="preserve">Biblia_de_Personajes_Rio_v1.xlsx</t>
  </si>
  <si>
    <t xml:space="preserve">Biblia_de_Personagens_SaoPaulo_v2.xlsx</t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</si>
  <si>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미결 사항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확정 필요</t>
    </r>
    <r>
      <rPr>
        <b val="true"/>
        <sz val="10"/>
        <rFont val="Arial"/>
        <family val="0"/>
        <charset val="1"/>
      </rPr>
      <t xml:space="preserve">)</t>
    </r>
  </si>
  <si>
    <t xml:space="preserve">제안</t>
  </si>
  <si>
    <t xml:space="preserve">관련 시트</t>
  </si>
  <si>
    <r>
      <rPr>
        <sz val="10"/>
        <rFont val="WenQuanYi Zen Hei"/>
        <family val="2"/>
      </rPr>
      <t xml:space="preserve">대본 파일</t>
    </r>
    <r>
      <rPr>
        <sz val="10"/>
        <rFont val="Arial"/>
        <family val="0"/>
        <charset val="1"/>
      </rPr>
      <t xml:space="preserve">(docx)</t>
    </r>
  </si>
  <si>
    <r>
      <rPr>
        <sz val="10"/>
        <rFont val="WenQuanYi Zen Hei"/>
        <family val="2"/>
      </rPr>
      <t xml:space="preserve">저장소의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8~12</t>
    </r>
    <r>
      <rPr>
        <sz val="10"/>
        <rFont val="WenQuanYi Zen Hei"/>
        <family val="2"/>
      </rPr>
      <t xml:space="preserve">화 대본</t>
    </r>
    <r>
      <rPr>
        <sz val="10"/>
        <rFont val="Arial"/>
        <family val="0"/>
        <charset val="1"/>
      </rPr>
      <t xml:space="preserve">(docx)</t>
    </r>
    <r>
      <rPr>
        <sz val="10"/>
        <rFont val="WenQuanYi Zen Hei"/>
        <family val="2"/>
      </rPr>
      <t xml:space="preserve">은 아직 스페인어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스페인 설정 그대로다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</si>
  <si>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이 워크북 기준으로 포르투갈어 대본을 다시 쓰거나 번역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별도 작업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</si>
  <si>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</t>
    </r>
  </si>
  <si>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설계 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열</t>
    </r>
  </si>
  <si>
    <r>
      <rPr>
        <sz val="10"/>
        <rFont val="WenQuanYi Zen Hei"/>
        <family val="2"/>
      </rPr>
      <t xml:space="preserve">턴 설계 표는 </t>
    </r>
    <r>
      <rPr>
        <sz val="10"/>
        <rFont val="Noto Sans CJK SC"/>
        <family val="2"/>
        <charset val="1"/>
      </rPr>
      <t xml:space="preserve">1~12</t>
    </r>
    <r>
      <rPr>
        <sz val="10"/>
        <rFont val="WenQuanYi Zen Hei"/>
        <family val="2"/>
      </rPr>
      <t xml:space="preserve">부 열만 있고 </t>
    </r>
    <r>
      <rPr>
        <sz val="10"/>
        <rFont val="Noto Sans CJK SC"/>
        <family val="2"/>
        <charset val="1"/>
      </rPr>
      <t xml:space="preserve">13</t>
    </r>
    <r>
      <rPr>
        <sz val="10"/>
        <rFont val="WenQuanYi Zen Hei"/>
        <family val="2"/>
      </rPr>
      <t xml:space="preserve">부 열이 없다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스페인판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부 시절 구조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아크 </t>
    </r>
    <r>
      <rPr>
        <sz val="10"/>
        <rFont val="Noto Sans CJK SC"/>
        <family val="2"/>
        <charset val="1"/>
      </rPr>
      <t xml:space="preserve">13</t>
    </r>
    <r>
      <rPr>
        <sz val="10"/>
        <rFont val="WenQuanYi Zen Hei"/>
        <family val="2"/>
      </rPr>
      <t xml:space="preserve">부의 대화량 수식은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전체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행을 가리킨다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</si>
  <si>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13</t>
    </r>
    <r>
      <rPr>
        <sz val="10"/>
        <rFont val="WenQuanYi Zen Hei"/>
        <family val="2"/>
      </rPr>
      <t xml:space="preserve">부 열을 추가하고 점유율을 새 인물 기준으로 다시 잡기</t>
    </r>
  </si>
  <si>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설계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아크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구성계획</t>
    </r>
  </si>
  <si>
    <r>
      <rPr>
        <sz val="10"/>
        <rFont val="Arial"/>
        <family val="0"/>
        <charset val="1"/>
      </rPr>
      <t xml:space="preserve">Freire </t>
    </r>
    <r>
      <rPr>
        <sz val="10"/>
        <rFont val="WenQuanYi Zen Hei"/>
        <family val="2"/>
      </rPr>
      <t xml:space="preserve">카드의 범위</t>
    </r>
  </si>
  <si>
    <r>
      <rPr>
        <sz val="10"/>
        <rFont val="WenQuanYi Zen Hei"/>
        <family val="2"/>
      </rPr>
      <t xml:space="preserve">카드를 전 화</t>
    </r>
    <r>
      <rPr>
        <sz val="10"/>
        <rFont val="Arial"/>
        <family val="0"/>
        <charset val="1"/>
      </rPr>
      <t xml:space="preserve">(156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넣을지</t>
    </r>
    <r>
      <rPr>
        <sz val="10"/>
        <rFont val="Arial"/>
        <family val="0"/>
        <charset val="1"/>
      </rPr>
      <t xml:space="preserve">, Freire </t>
    </r>
    <r>
      <rPr>
        <sz val="10"/>
        <rFont val="WenQuanYi Zen Hei"/>
        <family val="2"/>
      </rPr>
      <t xml:space="preserve">등장 화에만 넣을지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</si>
  <si>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등장 화에만 넣고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미등장 화는 </t>
    </r>
    <r>
      <rPr>
        <sz val="10"/>
        <rFont val="Arial"/>
        <family val="0"/>
        <charset val="1"/>
      </rPr>
      <t xml:space="preserve">Larissa</t>
    </r>
    <r>
      <rPr>
        <sz val="10"/>
        <rFont val="WenQuanYi Zen Hei"/>
        <family val="2"/>
      </rPr>
      <t xml:space="preserve">가 사전</t>
    </r>
    <r>
      <rPr>
        <sz val="10"/>
        <rFont val="Arial"/>
        <family val="0"/>
        <charset val="1"/>
      </rPr>
      <t xml:space="preserve">(VOLP·Michaelis)</t>
    </r>
    <r>
      <rPr>
        <sz val="10"/>
        <rFont val="WenQuanYi Zen Hei"/>
        <family val="2"/>
      </rPr>
      <t xml:space="preserve">을 찾는 짧은 대사로 대체</t>
    </r>
  </si>
  <si>
    <r>
      <rPr>
        <sz val="10"/>
        <rFont val="Noto Sans CJK SC"/>
        <family val="2"/>
        <charset val="1"/>
      </rPr>
      <t xml:space="preserve">Larissa → </t>
    </r>
    <r>
      <rPr>
        <sz val="10"/>
        <rFont val="WenQuanYi Zen Hei"/>
        <family val="2"/>
      </rPr>
      <t xml:space="preserve">주력 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인 호칭 전환</t>
    </r>
  </si>
  <si>
    <r>
      <rPr>
        <sz val="10"/>
        <rFont val="Arial"/>
        <family val="0"/>
        <charset val="1"/>
      </rPr>
      <t xml:space="preserve">Dom Pedro</t>
    </r>
    <r>
      <rPr>
        <sz val="10"/>
        <rFont val="WenQuanYi Zen Hei"/>
        <family val="2"/>
      </rPr>
      <t xml:space="preserve">에게만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화에서 </t>
    </r>
    <r>
      <rPr>
        <sz val="10"/>
        <rFont val="Arial"/>
        <family val="0"/>
        <charset val="1"/>
      </rPr>
      <t xml:space="preserve">você</t>
    </r>
    <r>
      <rPr>
        <sz val="10"/>
        <rFont val="WenQuanYi Zen Hei"/>
        <family val="2"/>
      </rPr>
      <t xml:space="preserve">로 전환한다는 것 외에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다른 인물에게 언제 </t>
    </r>
    <r>
      <rPr>
        <sz val="10"/>
        <rFont val="Arial"/>
        <family val="0"/>
        <charset val="1"/>
      </rPr>
      <t xml:space="preserve">você</t>
    </r>
    <r>
      <rPr>
        <sz val="10"/>
        <rFont val="WenQuanYi Zen Hei"/>
        <family val="2"/>
      </rPr>
      <t xml:space="preserve">로 넘어가는지 미정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</si>
  <si>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부 만남 이후 자연스럽게 </t>
    </r>
    <r>
      <rPr>
        <sz val="10"/>
        <rFont val="Noto Sans CJK SC"/>
        <family val="2"/>
        <charset val="1"/>
      </rPr>
      <t xml:space="preserve">você (Dom Pedro·Zumbi·Sérgio·Freire</t>
    </r>
    <r>
      <rPr>
        <sz val="10"/>
        <rFont val="WenQuanYi Zen Hei"/>
        <family val="2"/>
      </rPr>
      <t xml:space="preserve">는 </t>
    </r>
    <r>
      <rPr>
        <sz val="10"/>
        <rFont val="Noto Sans CJK SC"/>
        <family val="2"/>
        <charset val="1"/>
      </rPr>
      <t xml:space="preserve">o senhor </t>
    </r>
    <r>
      <rPr>
        <sz val="10"/>
        <rFont val="WenQuanYi Zen Hei"/>
        <family val="2"/>
      </rPr>
      <t xml:space="preserve">유지</t>
    </r>
    <r>
      <rPr>
        <sz val="10"/>
        <rFont val="Noto Sans CJK SC"/>
        <family val="2"/>
        <charset val="1"/>
      </rPr>
      <t xml:space="preserve">)</t>
    </r>
  </si>
  <si>
    <t xml:space="preserve">경과 연수 가정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</si>
  <si>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부→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년 가정</t>
    </r>
    <r>
      <rPr>
        <sz val="10"/>
        <rFont val="Arial"/>
        <family val="0"/>
        <charset val="1"/>
      </rPr>
      <t xml:space="preserve">(Dom Pedro 65→71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부활자의 나이를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죽을 때 나이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로 할지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되살아난 뒤 몸 나이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로 할지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</si>
  <si>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확정 시 개요</t>
    </r>
    <r>
      <rPr>
        <sz val="10"/>
        <rFont val="Arial"/>
        <family val="0"/>
        <charset val="1"/>
      </rPr>
      <t xml:space="preserve">!C11</t>
    </r>
    <r>
      <rPr>
        <sz val="10"/>
        <rFont val="WenQuanYi Zen Hei"/>
        <family val="2"/>
      </rPr>
      <t xml:space="preserve">만 수정</t>
    </r>
  </si>
  <si>
    <t xml:space="preserve">정치 연도</t>
  </si>
  <si>
    <r>
      <rPr>
        <sz val="10"/>
        <rFont val="WenQuanYi Zen Hei"/>
        <family val="2"/>
      </rPr>
      <t xml:space="preserve">시장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시의원 선거</t>
    </r>
    <r>
      <rPr>
        <sz val="10"/>
        <rFont val="Noto Sans CJK SC"/>
        <family val="2"/>
        <charset val="1"/>
      </rPr>
      <t xml:space="preserve">(8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와 총선</t>
    </r>
    <r>
      <rPr>
        <sz val="10"/>
        <rFont val="Noto Sans CJK SC"/>
        <family val="2"/>
        <charset val="1"/>
      </rPr>
      <t xml:space="preserve">(10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사이가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년이라 </t>
    </r>
    <r>
      <rPr>
        <sz val="10"/>
        <rFont val="Noto Sans CJK SC"/>
        <family val="2"/>
        <charset val="1"/>
      </rPr>
      <t xml:space="preserve">7~10</t>
    </r>
    <r>
      <rPr>
        <sz val="10"/>
        <rFont val="WenQuanYi Zen Hei"/>
        <family val="2"/>
      </rPr>
      <t xml:space="preserve">부의 경과 시간이 스페인판보다 길어진다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</si>
  <si>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가상 연도를 명시할지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지방선거 </t>
    </r>
    <r>
      <rPr>
        <sz val="10"/>
        <rFont val="Noto Sans CJK SC"/>
        <family val="2"/>
        <charset val="1"/>
      </rPr>
      <t xml:space="preserve">2028·</t>
    </r>
    <r>
      <rPr>
        <sz val="10"/>
        <rFont val="WenQuanYi Zen Hei"/>
        <family val="2"/>
      </rPr>
      <t xml:space="preserve">총선 </t>
    </r>
    <r>
      <rPr>
        <sz val="10"/>
        <rFont val="Noto Sans CJK SC"/>
        <family val="2"/>
        <charset val="1"/>
      </rPr>
      <t xml:space="preserve">2030) </t>
    </r>
    <r>
      <rPr>
        <sz val="10"/>
        <rFont val="WenQuanYi Zen Hei"/>
        <family val="2"/>
      </rPr>
      <t xml:space="preserve">연도 없이 </t>
    </r>
    <r>
      <rPr>
        <sz val="10"/>
        <rFont val="Noto Sans CJK SC"/>
        <family val="2"/>
        <charset val="1"/>
      </rPr>
      <t xml:space="preserve">'2</t>
    </r>
    <r>
      <rPr>
        <sz val="10"/>
        <rFont val="WenQuanYi Zen Hei"/>
        <family val="2"/>
      </rPr>
      <t xml:space="preserve">년 뒤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로만 쓸지 결정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</si>
  <si>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구성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아크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구성계획</t>
    </r>
  </si>
  <si>
    <r>
      <rPr>
        <sz val="10"/>
        <rFont val="WenQuanYi Zen Hei"/>
        <family val="2"/>
      </rPr>
      <t xml:space="preserve">법령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통계 확인</t>
    </r>
  </si>
  <si>
    <r>
      <rPr>
        <sz val="10"/>
        <rFont val="WenQuanYi Zen Hei"/>
        <family val="2"/>
      </rPr>
      <t xml:space="preserve">브라질 법령 번호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조항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수치는 기획 시점 지식 기준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특히 주 부채 재협상법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앱 노동 법안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초고소득 과세법</t>
    </r>
    <r>
      <rPr>
        <sz val="10"/>
        <rFont val="Noto Sans CJK SC"/>
        <family val="2"/>
        <charset val="1"/>
      </rPr>
      <t xml:space="preserve">, Mercosul–EU </t>
    </r>
    <r>
      <rPr>
        <sz val="10"/>
        <rFont val="WenQuanYi Zen Hei"/>
        <family val="2"/>
      </rPr>
      <t xml:space="preserve">비준</t>
    </r>
    <r>
      <rPr>
        <sz val="10"/>
        <rFont val="Noto Sans CJK SC"/>
        <family val="2"/>
        <charset val="1"/>
      </rPr>
      <t xml:space="preserve">·EUDR </t>
    </r>
    <r>
      <rPr>
        <sz val="10"/>
        <rFont val="WenQuanYi Zen Hei"/>
        <family val="2"/>
      </rPr>
      <t xml:space="preserve">일정은 변동이 잦다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</si>
  <si>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교재 반영 전 </t>
    </r>
    <r>
      <rPr>
        <sz val="10"/>
        <rFont val="Arial"/>
        <family val="0"/>
        <charset val="1"/>
      </rPr>
      <t xml:space="preserve">Planalto·TSE·IBGE·</t>
    </r>
    <r>
      <rPr>
        <sz val="10"/>
        <rFont val="WenQuanYi Zen Hei"/>
        <family val="2"/>
      </rPr>
      <t xml:space="preserve">중앙은행 자료로 확인</t>
    </r>
  </si>
  <si>
    <r>
      <rPr>
        <sz val="10"/>
        <rFont val="WenQuanYi Zen Hei"/>
        <family val="2"/>
      </rPr>
      <t xml:space="preserve">정치제도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현안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배치</t>
    </r>
    <r>
      <rPr>
        <sz val="10"/>
        <rFont val="Noto Sans CJK SC"/>
        <family val="2"/>
        <charset val="1"/>
      </rPr>
      <t xml:space="preserve">, Freire_</t>
    </r>
    <r>
      <rPr>
        <sz val="10"/>
        <rFont val="WenQuanYi Zen Hei"/>
        <family val="2"/>
      </rPr>
      <t xml:space="preserve">출처</t>
    </r>
  </si>
  <si>
    <t xml:space="preserve">부통령 러닝메이트</t>
  </si>
  <si>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부에서 연합 정당 출신 부통령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영입하는 설정만 있고 인물 정보가 없다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</si>
  <si>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말투를 부록으로 확정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탄핵 정국에서 역할 부여 가능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</si>
  <si>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Casa Comum + PPS + PCN </t>
    </r>
    <r>
      <rPr>
        <sz val="10"/>
        <rFont val="WenQuanYi Zen Hei"/>
        <family val="2"/>
      </rPr>
      <t xml:space="preserve">친정부파 </t>
    </r>
    <r>
      <rPr>
        <sz val="10"/>
        <rFont val="Arial"/>
        <family val="0"/>
        <charset val="1"/>
      </rPr>
      <t xml:space="preserve">+ TA</t>
    </r>
    <r>
      <rPr>
        <sz val="10"/>
        <rFont val="WenQuanYi Zen Hei"/>
        <family val="2"/>
      </rPr>
      <t xml:space="preserve">의 연립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현재 설정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</si>
  <si>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PCN </t>
    </r>
    <r>
      <rPr>
        <sz val="10"/>
        <rFont val="WenQuanYi Zen Hei"/>
        <family val="2"/>
      </rPr>
      <t xml:space="preserve">이탈파를 얼마나 크게 둘지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장관직을 몇 개 나눠 줄지 결정</t>
    </r>
  </si>
  <si>
    <r>
      <rPr>
        <sz val="10"/>
        <rFont val="WenQuanYi Zen Hei"/>
        <family val="2"/>
      </rPr>
      <t xml:space="preserve">대선 득표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표 이동률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하원 의석은 교육용 가상 수치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</si>
  <si>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드라마 효과에 맞춰 조정 가능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정치경로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의석의 파란 셀</t>
    </r>
    <r>
      <rPr>
        <sz val="10"/>
        <rFont val="Noto Sans CJK SC"/>
        <family val="2"/>
        <charset val="1"/>
      </rPr>
      <t xml:space="preserve">)</t>
    </r>
  </si>
  <si>
    <t xml:space="preserve">부활의 규칙</t>
  </si>
  <si>
    <r>
      <rPr>
        <sz val="10"/>
        <rFont val="WenQuanYi Zen Hei"/>
        <family val="2"/>
      </rPr>
      <t xml:space="preserve">부활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인이 왜 되살아났는지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서로의 과거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황제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노예제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킬롬부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황금법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를 어떻게 마주하는지의 규칙이 미정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</si>
  <si>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Dom Pedro–Zumbi–Isabel </t>
    </r>
    <r>
      <rPr>
        <sz val="10"/>
        <rFont val="WenQuanYi Zen Hei"/>
        <family val="2"/>
      </rPr>
      <t xml:space="preserve">삼각 관계를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·13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화에서 정면으로 다룰지 결정</t>
    </r>
  </si>
  <si>
    <r>
      <rPr>
        <sz val="10"/>
        <rFont val="WenQuanYi Zen Hei"/>
        <family val="2"/>
      </rPr>
      <t xml:space="preserve">캐릭터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아크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구성계획</t>
    </r>
  </si>
  <si>
    <r>
      <rPr>
        <sz val="10"/>
        <rFont val="Noto Sans CJK SC"/>
        <family val="2"/>
        <charset val="1"/>
      </rPr>
      <t xml:space="preserve">Dumont·Isabel </t>
    </r>
    <r>
      <rPr>
        <sz val="10"/>
        <rFont val="WenQuanYi Zen Hei"/>
        <family val="2"/>
      </rPr>
      <t xml:space="preserve">비중</t>
    </r>
  </si>
  <si>
    <r>
      <rPr>
        <sz val="10"/>
        <rFont val="WenQuanYi Zen Hei"/>
        <family val="2"/>
      </rPr>
      <t xml:space="preserve">약 </t>
    </r>
    <r>
      <rPr>
        <sz val="10"/>
        <rFont val="Noto Sans CJK SC"/>
        <family val="2"/>
        <charset val="1"/>
      </rPr>
      <t xml:space="preserve">35%</t>
    </r>
    <r>
      <rPr>
        <sz val="10"/>
        <rFont val="WenQuanYi Zen Hei"/>
        <family val="2"/>
      </rPr>
      <t xml:space="preserve">로 가장 얇다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</si>
  <si>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Dumont: 7</t>
    </r>
    <r>
      <rPr>
        <sz val="10"/>
        <rFont val="WenQuanYi Zen Hei"/>
        <family val="2"/>
      </rPr>
      <t xml:space="preserve">부 공론화</t>
    </r>
    <r>
      <rPr>
        <sz val="10"/>
        <rFont val="Noto Sans CJK SC"/>
        <family val="2"/>
        <charset val="1"/>
      </rPr>
      <t xml:space="preserve">·10</t>
    </r>
    <r>
      <rPr>
        <sz val="10"/>
        <rFont val="WenQuanYi Zen Hei"/>
        <family val="2"/>
      </rPr>
      <t xml:space="preserve">부 딥페이크 </t>
    </r>
    <r>
      <rPr>
        <sz val="10"/>
        <rFont val="Noto Sans CJK SC"/>
        <family val="2"/>
        <charset val="1"/>
      </rPr>
      <t xml:space="preserve">/ Isabel: 3·5</t>
    </r>
    <r>
      <rPr>
        <sz val="10"/>
        <rFont val="WenQuanYi Zen Hei"/>
        <family val="2"/>
      </rPr>
      <t xml:space="preserve">부 상담</t>
    </r>
    <r>
      <rPr>
        <sz val="10"/>
        <rFont val="Noto Sans CJK SC"/>
        <family val="2"/>
        <charset val="1"/>
      </rPr>
      <t xml:space="preserve">·12</t>
    </r>
    <r>
      <rPr>
        <sz val="10"/>
        <rFont val="WenQuanYi Zen Hei"/>
        <family val="2"/>
      </rPr>
      <t xml:space="preserve">부 청년 정신건강 확대</t>
    </r>
  </si>
  <si>
    <t xml:space="preserve">가상 인물 목록</t>
  </si>
  <si>
    <r>
      <rPr>
        <sz val="10"/>
        <rFont val="Arial"/>
        <family val="0"/>
        <charset val="1"/>
      </rPr>
      <t xml:space="preserve">Quintela(GM </t>
    </r>
    <r>
      <rPr>
        <sz val="10"/>
        <rFont val="WenQuanYi Zen Hei"/>
        <family val="2"/>
      </rPr>
      <t xml:space="preserve">회장</t>
    </r>
    <r>
      <rPr>
        <sz val="10"/>
        <rFont val="Arial"/>
        <family val="0"/>
        <charset val="1"/>
      </rPr>
      <t xml:space="preserve">), Salgado·Barros(</t>
    </r>
    <r>
      <rPr>
        <sz val="10"/>
        <rFont val="WenQuanYi Zen Hei"/>
        <family val="2"/>
      </rPr>
      <t xml:space="preserve">파트너</t>
    </r>
    <r>
      <rPr>
        <sz val="10"/>
        <rFont val="Arial"/>
        <family val="0"/>
        <charset val="1"/>
      </rPr>
      <t xml:space="preserve">), Dona Conceição·Marina, Rosângela(</t>
    </r>
    <r>
      <rPr>
        <sz val="10"/>
        <rFont val="WenQuanYi Zen Hei"/>
        <family val="2"/>
      </rPr>
      <t xml:space="preserve">간호사</t>
    </r>
    <r>
      <rPr>
        <sz val="10"/>
        <rFont val="Arial"/>
        <family val="0"/>
        <charset val="1"/>
      </rPr>
      <t xml:space="preserve">), Tavares(</t>
    </r>
    <r>
      <rPr>
        <sz val="10"/>
        <rFont val="WenQuanYi Zen Hei"/>
        <family val="2"/>
      </rPr>
      <t xml:space="preserve">공방</t>
    </r>
    <r>
      <rPr>
        <sz val="10"/>
        <rFont val="Arial"/>
        <family val="0"/>
        <charset val="1"/>
      </rPr>
      <t xml:space="preserve">), Lucas(</t>
    </r>
    <r>
      <rPr>
        <sz val="10"/>
        <rFont val="WenQuanYi Zen Hei"/>
        <family val="2"/>
      </rPr>
      <t xml:space="preserve">새 인턴</t>
    </r>
    <r>
      <rPr>
        <sz val="10"/>
        <rFont val="Arial"/>
        <family val="0"/>
        <charset val="1"/>
      </rPr>
      <t xml:space="preserve">), Seu Jurandir·Álvaro·Dona Cida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</si>
  <si>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나이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말투를 캐릭터 바이블 부록으로 확정</t>
    </r>
  </si>
  <si>
    <r>
      <rPr>
        <sz val="10"/>
        <rFont val="WenQuanYi Zen Hei"/>
        <family val="2"/>
      </rPr>
      <t xml:space="preserve">아크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구성계획</t>
    </r>
  </si>
  <si>
    <r>
      <rPr>
        <sz val="10"/>
        <rFont val="Noto Sans CJK SC"/>
        <family val="2"/>
        <charset val="1"/>
      </rPr>
      <t xml:space="preserve">Grupo Meridiano</t>
    </r>
    <r>
      <rPr>
        <sz val="10"/>
        <rFont val="WenQuanYi Zen Hei"/>
        <family val="2"/>
      </rPr>
      <t xml:space="preserve">의 결말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</si>
  <si>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화에서 재판 진행만 언급하고 판결은 열어 두는 안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</si>
  <si>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판결 여부를 정할지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열린 결말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유죄</t>
    </r>
    <r>
      <rPr>
        <sz val="10"/>
        <rFont val="Noto Sans CJK SC"/>
        <family val="2"/>
        <charset val="1"/>
      </rPr>
      <t xml:space="preserve">/</t>
    </r>
    <r>
      <rPr>
        <sz val="10"/>
        <rFont val="WenQuanYi Zen Hei"/>
        <family val="2"/>
      </rPr>
      <t xml:space="preserve">무죄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</si>
  <si>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복선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회수</t>
    </r>
  </si>
  <si>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화의 톤</t>
    </r>
  </si>
  <si>
    <r>
      <rPr>
        <sz val="10"/>
        <rFont val="WenQuanYi Zen Hei"/>
        <family val="2"/>
      </rPr>
      <t xml:space="preserve">부모소외법 화는 피해자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아동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어머니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중심으로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폐지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개정 양측 논거를 함께 담아야 한다</t>
    </r>
    <r>
      <rPr>
        <sz val="10"/>
        <rFont val="Arial"/>
        <family val="0"/>
        <charset val="1"/>
      </rPr>
      <t xml:space="preserve">.</t>
    </r>
  </si>
  <si>
    <t xml:space="preserve">집필 전 톤 가이드 별도 확정</t>
  </si>
  <si>
    <r>
      <rPr>
        <sz val="10"/>
        <rFont val="WenQuanYi Zen Hei"/>
        <family val="2"/>
      </rPr>
      <t xml:space="preserve">현안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배치</t>
    </r>
  </si>
  <si>
    <t xml:space="preserve">가상 외교 인사</t>
  </si>
  <si>
    <r>
      <rPr>
        <sz val="10"/>
        <rFont val="WenQuanYi Zen Hei"/>
        <family val="2"/>
      </rPr>
      <t xml:space="preserve">브뤼셀 협상의 </t>
    </r>
    <r>
      <rPr>
        <sz val="10"/>
        <rFont val="Arial"/>
        <family val="0"/>
        <charset val="1"/>
      </rPr>
      <t xml:space="preserve">EU </t>
    </r>
    <r>
      <rPr>
        <sz val="10"/>
        <rFont val="WenQuanYi Zen Hei"/>
        <family val="2"/>
      </rPr>
      <t xml:space="preserve">상대역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의 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직급 미정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</si>
  <si>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실명 조직</t>
    </r>
    <r>
      <rPr>
        <sz val="10"/>
        <rFont val="Noto Sans CJK SC"/>
        <family val="2"/>
        <charset val="1"/>
      </rPr>
      <t xml:space="preserve">(EU </t>
    </r>
    <r>
      <rPr>
        <sz val="10"/>
        <rFont val="WenQuanYi Zen Hei"/>
        <family val="2"/>
      </rPr>
      <t xml:space="preserve">집행위원회</t>
    </r>
    <r>
      <rPr>
        <sz val="10"/>
        <rFont val="Noto Sans CJK SC"/>
        <family val="2"/>
        <charset val="1"/>
      </rPr>
      <t xml:space="preserve">, Mercosul)</t>
    </r>
    <r>
      <rPr>
        <sz val="10"/>
        <rFont val="WenQuanYi Zen Hei"/>
        <family val="2"/>
      </rPr>
      <t xml:space="preserve">은 실제 기구명을 쓰되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개인 인사는 전부 가상으로 이름을 지어야 함</t>
    </r>
  </si>
  <si>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9~10</t>
    </r>
    <r>
      <rPr>
        <sz val="10"/>
        <rFont val="WenQuanYi Zen Hei"/>
        <family val="2"/>
      </rPr>
      <t xml:space="preserve">화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</si>
</sst>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%"/>
    <numFmt numFmtId="167" formatCode="0%"/>
    <numFmt numFmtId="168" formatCode="#,##0"/>
    <numFmt numFmtId="169" formatCode="0.0"/>
    <numFmt numFmtId="170" formatCode="0.00"/>
    <numFmt numFmtId="171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WenQuanYi Zen Hei"/>
      <family val="2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WenQuanYi Zen Hei"/>
      <family val="2"/>
    </font>
    <font>
      <b val="true"/>
      <sz val="10"/>
      <name val="WenQuanYi Zen Hei"/>
      <family val="2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u val="single"/>
      <sz val="10"/>
      <color rgb="FF0563C1"/>
      <name val="WenQuanYi Zen Hei"/>
      <family val="2"/>
    </font>
    <font>
      <u val="single"/>
      <sz val="10"/>
      <color rgb="FF0563C1"/>
      <name val="Arial"/>
      <family val="0"/>
      <charset val="1"/>
    </font>
    <font>
      <sz val="10"/>
      <color rgb="FF0000FF"/>
      <name val="WenQuanYi Zen Hei"/>
      <family val="2"/>
    </font>
    <font>
      <i val="true"/>
      <sz val="9"/>
      <color rgb="FF595959"/>
      <name val="Noto Sans CJK SC"/>
      <family val="2"/>
      <charset val="1"/>
    </font>
    <font>
      <b val="true"/>
      <sz val="14"/>
      <color rgb="FF1F3864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9DC3E6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2F2F2"/>
      <rgbColor rgb="FFDDEBF7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78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B4" s="4" t="s">
        <v>2</v>
      </c>
      <c r="C4" s="5"/>
      <c r="D4" s="5"/>
    </row>
    <row r="5" customFormat="false" ht="42" hidden="false" customHeight="true" outlineLevel="0" collapsed="false">
      <c r="B5" s="6" t="s">
        <v>3</v>
      </c>
      <c r="C5" s="7" t="n">
        <v>13</v>
      </c>
      <c r="D5" s="8" t="s">
        <v>4</v>
      </c>
    </row>
    <row r="6" customFormat="false" ht="16.5" hidden="false" customHeight="true" outlineLevel="0" collapsed="false">
      <c r="B6" s="6" t="s">
        <v>5</v>
      </c>
      <c r="C6" s="7" t="n">
        <v>12</v>
      </c>
      <c r="D6" s="9" t="s">
        <v>6</v>
      </c>
    </row>
    <row r="7" customFormat="false" ht="16.5" hidden="false" customHeight="true" outlineLevel="0" collapsed="false">
      <c r="B7" s="6" t="s">
        <v>7</v>
      </c>
      <c r="C7" s="10" t="n">
        <f aca="false">C5*C6</f>
        <v>156</v>
      </c>
      <c r="D7" s="9" t="s">
        <v>8</v>
      </c>
    </row>
    <row r="8" customFormat="false" ht="16.5" hidden="false" customHeight="true" outlineLevel="0" collapsed="false">
      <c r="B8" s="6" t="s">
        <v>9</v>
      </c>
      <c r="C8" s="10" t="n">
        <f aca="false">COUNTA(캐릭터!$D$5:$D$18)</f>
        <v>14</v>
      </c>
      <c r="D8" s="9" t="s">
        <v>10</v>
      </c>
    </row>
    <row r="9" customFormat="false" ht="16.5" hidden="false" customHeight="true" outlineLevel="0" collapsed="false">
      <c r="B9" s="6" t="s">
        <v>11</v>
      </c>
      <c r="C9" s="10" t="n">
        <f aca="false">COUNTIF(캐릭터!$G$5:$G$18,"남")</f>
        <v>9</v>
      </c>
      <c r="D9" s="9" t="s">
        <v>12</v>
      </c>
    </row>
    <row r="10" customFormat="false" ht="16.5" hidden="false" customHeight="true" outlineLevel="0" collapsed="false">
      <c r="B10" s="6" t="s">
        <v>13</v>
      </c>
      <c r="C10" s="10" t="n">
        <f aca="false">COUNTIF(캐릭터!$G$5:$G$18,"여")</f>
        <v>5</v>
      </c>
      <c r="D10" s="8"/>
    </row>
    <row r="11" customFormat="false" ht="29.25" hidden="false" customHeight="true" outlineLevel="0" collapsed="false">
      <c r="B11" s="11" t="s">
        <v>14</v>
      </c>
      <c r="C11" s="12" t="n">
        <v>6</v>
      </c>
      <c r="D11" s="9" t="s">
        <v>15</v>
      </c>
    </row>
    <row r="12" customFormat="false" ht="16.5" hidden="false" customHeight="true" outlineLevel="0" collapsed="false">
      <c r="B12" s="6" t="s">
        <v>16</v>
      </c>
      <c r="C12" s="9" t="s">
        <v>17</v>
      </c>
      <c r="D12" s="9" t="s">
        <v>18</v>
      </c>
    </row>
    <row r="13" customFormat="false" ht="29.25" hidden="false" customHeight="true" outlineLevel="0" collapsed="false">
      <c r="B13" s="6" t="s">
        <v>19</v>
      </c>
      <c r="C13" s="9" t="s">
        <v>20</v>
      </c>
      <c r="D13" s="8" t="str">
        <f aca="false">"지문(narração) 없음. 화당 "&amp;턴_설계!$B$5&amp;"턴 × "&amp;C7&amp;"화 = "&amp;TEXT(C7*턴_설계!$B$5,"#,##0")&amp;"턴. 상세는 '대화문규칙'·'턴_설계' 시트."</f>
        <v>지문(narração) 없음. 화당 120턴 × 156화 = 18,720턴. 상세는 '대화문규칙'·'턴_설계' 시트.</v>
      </c>
    </row>
    <row r="15" customFormat="false" ht="15" hidden="false" customHeight="true" outlineLevel="0" collapsed="false">
      <c r="B15" s="4" t="s">
        <v>21</v>
      </c>
      <c r="C15" s="5"/>
      <c r="D15" s="5"/>
    </row>
    <row r="16" customFormat="false" ht="16.5" hidden="false" customHeight="true" outlineLevel="0" collapsed="false">
      <c r="B16" s="13" t="s">
        <v>22</v>
      </c>
      <c r="C16" s="10" t="n">
        <f aca="false">COUNTIF(캐릭터!$B$5:$B$18,B16)</f>
        <v>4</v>
      </c>
      <c r="D16" s="8" t="s">
        <v>23</v>
      </c>
    </row>
    <row r="17" customFormat="false" ht="29.25" hidden="false" customHeight="true" outlineLevel="0" collapsed="false">
      <c r="B17" s="13" t="s">
        <v>24</v>
      </c>
      <c r="C17" s="10" t="n">
        <f aca="false">COUNTIF(캐릭터!$B$5:$B$18,B17)</f>
        <v>6</v>
      </c>
      <c r="D17" s="8" t="s">
        <v>25</v>
      </c>
    </row>
    <row r="18" customFormat="false" ht="16.5" hidden="false" customHeight="true" outlineLevel="0" collapsed="false">
      <c r="B18" s="13" t="s">
        <v>26</v>
      </c>
      <c r="C18" s="10" t="n">
        <f aca="false">COUNTIF(캐릭터!$B$5:$B$18,B18)</f>
        <v>3</v>
      </c>
      <c r="D18" s="8" t="s">
        <v>27</v>
      </c>
    </row>
    <row r="19" customFormat="false" ht="16.5" hidden="false" customHeight="true" outlineLevel="0" collapsed="false">
      <c r="B19" s="13" t="s">
        <v>28</v>
      </c>
      <c r="C19" s="10" t="n">
        <f aca="false">COUNTIF(캐릭터!$B$5:$B$18,B19)</f>
        <v>1</v>
      </c>
      <c r="D19" s="8" t="s">
        <v>29</v>
      </c>
    </row>
    <row r="22" customFormat="false" ht="15" hidden="false" customHeight="true" outlineLevel="0" collapsed="false">
      <c r="B22" s="4" t="s">
        <v>30</v>
      </c>
      <c r="C22" s="5"/>
      <c r="D22" s="5"/>
    </row>
    <row r="23" customFormat="false" ht="15" hidden="false" customHeight="true" outlineLevel="0" collapsed="false">
      <c r="B23" s="14" t="s">
        <v>31</v>
      </c>
      <c r="C23" s="15" t="s">
        <v>32</v>
      </c>
      <c r="D23" s="8" t="s">
        <v>33</v>
      </c>
    </row>
    <row r="24" customFormat="false" ht="15" hidden="false" customHeight="true" outlineLevel="0" collapsed="false">
      <c r="B24" s="14" t="s">
        <v>34</v>
      </c>
      <c r="C24" s="15" t="s">
        <v>32</v>
      </c>
      <c r="D24" s="8" t="s">
        <v>35</v>
      </c>
    </row>
    <row r="25" customFormat="false" ht="29.25" hidden="false" customHeight="true" outlineLevel="0" collapsed="false">
      <c r="B25" s="14" t="s">
        <v>36</v>
      </c>
      <c r="C25" s="15" t="s">
        <v>32</v>
      </c>
      <c r="D25" s="9" t="s">
        <v>37</v>
      </c>
    </row>
    <row r="26" customFormat="false" ht="15" hidden="false" customHeight="true" outlineLevel="0" collapsed="false">
      <c r="B26" s="16" t="s">
        <v>38</v>
      </c>
      <c r="C26" s="15" t="s">
        <v>39</v>
      </c>
      <c r="D26" s="8" t="s">
        <v>40</v>
      </c>
    </row>
    <row r="27" customFormat="false" ht="15" hidden="false" customHeight="true" outlineLevel="0" collapsed="false">
      <c r="B27" s="14" t="s">
        <v>41</v>
      </c>
      <c r="C27" s="15" t="s">
        <v>42</v>
      </c>
      <c r="D27" s="8" t="s">
        <v>43</v>
      </c>
    </row>
    <row r="28" customFormat="false" ht="15" hidden="false" customHeight="true" outlineLevel="0" collapsed="false">
      <c r="B28" s="14" t="s">
        <v>44</v>
      </c>
      <c r="C28" s="15" t="s">
        <v>45</v>
      </c>
      <c r="D28" s="8" t="s">
        <v>46</v>
      </c>
    </row>
    <row r="29" customFormat="false" ht="15" hidden="false" customHeight="true" outlineLevel="0" collapsed="false">
      <c r="B29" s="14" t="s">
        <v>47</v>
      </c>
      <c r="C29" s="15" t="s">
        <v>42</v>
      </c>
      <c r="D29" s="9" t="s">
        <v>48</v>
      </c>
    </row>
    <row r="30" customFormat="false" ht="15" hidden="false" customHeight="true" outlineLevel="0" collapsed="false">
      <c r="B30" s="14" t="s">
        <v>49</v>
      </c>
      <c r="C30" s="15" t="s">
        <v>50</v>
      </c>
      <c r="D30" s="9" t="s">
        <v>51</v>
      </c>
    </row>
    <row r="31" customFormat="false" ht="15" hidden="false" customHeight="true" outlineLevel="0" collapsed="false">
      <c r="B31" s="14" t="s">
        <v>52</v>
      </c>
      <c r="C31" s="15" t="s">
        <v>50</v>
      </c>
      <c r="D31" s="9" t="s">
        <v>53</v>
      </c>
    </row>
    <row r="32" customFormat="false" ht="15" hidden="false" customHeight="true" outlineLevel="0" collapsed="false">
      <c r="B32" s="14" t="s">
        <v>54</v>
      </c>
      <c r="C32" s="15" t="s">
        <v>55</v>
      </c>
      <c r="D32" s="9" t="s">
        <v>56</v>
      </c>
    </row>
    <row r="33" customFormat="false" ht="15" hidden="false" customHeight="true" outlineLevel="0" collapsed="false">
      <c r="B33" s="14" t="s">
        <v>57</v>
      </c>
      <c r="C33" s="15" t="s">
        <v>55</v>
      </c>
      <c r="D33" s="9" t="s">
        <v>58</v>
      </c>
    </row>
    <row r="34" customFormat="false" ht="15" hidden="false" customHeight="true" outlineLevel="0" collapsed="false">
      <c r="B34" s="14" t="s">
        <v>59</v>
      </c>
      <c r="C34" s="15" t="s">
        <v>60</v>
      </c>
      <c r="D34" s="8" t="s">
        <v>61</v>
      </c>
    </row>
    <row r="35" customFormat="false" ht="15" hidden="false" customHeight="true" outlineLevel="0" collapsed="false">
      <c r="B35" s="16" t="s">
        <v>62</v>
      </c>
      <c r="C35" s="15" t="s">
        <v>60</v>
      </c>
      <c r="D35" s="17" t="s">
        <v>63</v>
      </c>
    </row>
    <row r="36" customFormat="false" ht="15" hidden="false" customHeight="true" outlineLevel="0" collapsed="false">
      <c r="B36" s="16" t="s">
        <v>64</v>
      </c>
      <c r="C36" s="15" t="s">
        <v>65</v>
      </c>
      <c r="D36" s="9" t="s">
        <v>66</v>
      </c>
    </row>
    <row r="37" customFormat="false" ht="15" hidden="false" customHeight="true" outlineLevel="0" collapsed="false">
      <c r="B37" s="16" t="s">
        <v>67</v>
      </c>
      <c r="C37" s="15" t="s">
        <v>65</v>
      </c>
      <c r="D37" s="9" t="s">
        <v>68</v>
      </c>
    </row>
    <row r="38" customFormat="false" ht="15" hidden="false" customHeight="true" outlineLevel="0" collapsed="false">
      <c r="B38" s="14" t="s">
        <v>69</v>
      </c>
      <c r="C38" s="15" t="s">
        <v>60</v>
      </c>
      <c r="D38" s="9" t="s">
        <v>70</v>
      </c>
    </row>
    <row r="39" customFormat="false" ht="15" hidden="false" customHeight="true" outlineLevel="0" collapsed="false">
      <c r="B39" s="16" t="s">
        <v>71</v>
      </c>
      <c r="C39" s="15" t="s">
        <v>72</v>
      </c>
      <c r="D39" s="8" t="s">
        <v>73</v>
      </c>
    </row>
    <row r="40" customFormat="false" ht="15" hidden="false" customHeight="true" outlineLevel="0" collapsed="false">
      <c r="B40" s="14" t="s">
        <v>74</v>
      </c>
      <c r="C40" s="15" t="s">
        <v>75</v>
      </c>
      <c r="D40" s="9" t="s">
        <v>76</v>
      </c>
    </row>
    <row r="42" customFormat="false" ht="15" hidden="false" customHeight="true" outlineLevel="0" collapsed="false">
      <c r="B42" s="4" t="s">
        <v>77</v>
      </c>
      <c r="C42" s="5"/>
      <c r="D42" s="5"/>
    </row>
    <row r="43" customFormat="false" ht="15" hidden="false" customHeight="true" outlineLevel="0" collapsed="false">
      <c r="B43" s="18" t="s">
        <v>78</v>
      </c>
      <c r="C43" s="15" t="s">
        <v>79</v>
      </c>
      <c r="D43" s="19"/>
    </row>
    <row r="44" customFormat="false" ht="15" hidden="false" customHeight="true" outlineLevel="0" collapsed="false">
      <c r="B44" s="20" t="s">
        <v>80</v>
      </c>
      <c r="C44" s="15" t="s">
        <v>81</v>
      </c>
      <c r="D44" s="19"/>
    </row>
    <row r="45" customFormat="false" ht="15" hidden="false" customHeight="true" outlineLevel="0" collapsed="false">
      <c r="B45" s="15" t="s">
        <v>82</v>
      </c>
      <c r="C45" s="15" t="s">
        <v>83</v>
      </c>
      <c r="D45" s="19"/>
    </row>
    <row r="47" customFormat="false" ht="15" hidden="false" customHeight="true" outlineLevel="0" collapsed="false">
      <c r="B47" s="21" t="s">
        <v>84</v>
      </c>
    </row>
  </sheetData>
  <hyperlinks>
    <hyperlink ref="B23" location="'캐릭터'!A1" display="캐릭터"/>
    <hyperlink ref="B24" location="'등장비중'!A1" display="등장비중"/>
    <hyperlink ref="B25" location="'턴_설계'!A1" display="턴_설계"/>
    <hyperlink ref="B26" location="'12부_구성'!A1" display="12부_구성"/>
    <hyperlink ref="B27" location="'아크_구성계획'!A1" display="아크_구성계획"/>
    <hyperlink ref="B28" location="'화별목차_전체'!A1" display="화별목차_전체"/>
    <hyperlink ref="B29" location="'복선_회수'!A1" display="복선_회수"/>
    <hyperlink ref="B30" location="'현안_배치'!A1" display="현안_배치"/>
    <hyperlink ref="B31" location="'현안_분포'!A1" display="현안_분포"/>
    <hyperlink ref="B32" location="'정치제도'!A1" display="정치제도"/>
    <hyperlink ref="B33" location="'정치경로_의석'!A1" display="정치경로_의석"/>
    <hyperlink ref="B34" location="'호칭규칙'!A1" display="호칭규칙"/>
    <hyperlink ref="B35" location="'Larissa_폭발과욕'!A1" display="Larissa_폭발과욕"/>
    <hyperlink ref="B36" location="'DomPedro_죽음'!A1" display="DomPedro_죽음"/>
    <hyperlink ref="B37" location="'Freire_출처'!A1" display="Freire_출처"/>
    <hyperlink ref="B38" location="'대화문규칙'!A1" display="대화문규칙"/>
    <hyperlink ref="B39" location="'1부_시범대사'!A1" display="1부_시범대사"/>
    <hyperlink ref="B40" location="'변경이력_미결'!A1" display="변경이력_미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S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6"/>
    <col collapsed="false" customWidth="true" hidden="false" outlineLevel="0" max="8" min="8" style="1" width="22"/>
    <col collapsed="false" customWidth="true" hidden="false" outlineLevel="0" max="9" min="9" style="1" width="26"/>
    <col collapsed="false" customWidth="true" hidden="false" outlineLevel="0" max="10" min="10" style="1" width="30"/>
    <col collapsed="false" customWidth="true" hidden="false" outlineLevel="0" max="11" min="11" style="1" width="34"/>
    <col collapsed="false" customWidth="true" hidden="false" outlineLevel="0" max="12" min="12" style="1" width="44"/>
    <col collapsed="false" customWidth="true" hidden="false" outlineLevel="0" max="13" min="13" style="1" width="30"/>
    <col collapsed="false" customWidth="true" hidden="false" outlineLevel="0" max="14" min="14" style="1" width="36"/>
    <col collapsed="false" customWidth="true" hidden="false" outlineLevel="0" max="15" min="15" style="1" width="24"/>
    <col collapsed="false" customWidth="true" hidden="false" outlineLevel="0" max="16" min="16" style="1" width="20"/>
    <col collapsed="false" customWidth="true" hidden="false" outlineLevel="0" max="17" min="17" style="1" width="9"/>
    <col collapsed="false" customWidth="true" hidden="false" outlineLevel="0" max="18" min="18" style="1" width="11"/>
    <col collapsed="false" customWidth="true" hidden="false" outlineLevel="0" max="19" min="19" style="1" width="16"/>
  </cols>
  <sheetData>
    <row r="1" customFormat="false" ht="24" hidden="false" customHeight="true" outlineLevel="0" collapsed="false">
      <c r="A1" s="22" t="s">
        <v>85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23" t="s">
        <v>86</v>
      </c>
      <c r="B4" s="24" t="s">
        <v>87</v>
      </c>
      <c r="C4" s="24" t="s">
        <v>88</v>
      </c>
      <c r="D4" s="24" t="s">
        <v>89</v>
      </c>
      <c r="E4" s="24" t="s">
        <v>90</v>
      </c>
      <c r="F4" s="24" t="s">
        <v>91</v>
      </c>
      <c r="G4" s="24" t="s">
        <v>92</v>
      </c>
      <c r="H4" s="24" t="s">
        <v>93</v>
      </c>
      <c r="I4" s="24" t="s">
        <v>94</v>
      </c>
      <c r="J4" s="24" t="s">
        <v>95</v>
      </c>
      <c r="K4" s="24" t="s">
        <v>96</v>
      </c>
      <c r="L4" s="24" t="s">
        <v>97</v>
      </c>
      <c r="M4" s="24" t="s">
        <v>98</v>
      </c>
      <c r="N4" s="24" t="s">
        <v>99</v>
      </c>
      <c r="O4" s="24" t="s">
        <v>100</v>
      </c>
      <c r="P4" s="23" t="s">
        <v>101</v>
      </c>
      <c r="Q4" s="24" t="s">
        <v>102</v>
      </c>
      <c r="R4" s="24" t="s">
        <v>103</v>
      </c>
      <c r="S4" s="24" t="s">
        <v>104</v>
      </c>
    </row>
    <row r="5" customFormat="false" ht="93" hidden="false" customHeight="true" outlineLevel="0" collapsed="false">
      <c r="A5" s="25" t="n">
        <v>1</v>
      </c>
      <c r="B5" s="9" t="s">
        <v>105</v>
      </c>
      <c r="C5" s="11" t="s">
        <v>106</v>
      </c>
      <c r="D5" s="11" t="s">
        <v>107</v>
      </c>
      <c r="E5" s="26" t="n">
        <v>39</v>
      </c>
      <c r="F5" s="25" t="n">
        <f aca="false">E5+개요!$C$11</f>
        <v>45</v>
      </c>
      <c r="G5" s="27" t="s">
        <v>108</v>
      </c>
      <c r="H5" s="9" t="s">
        <v>109</v>
      </c>
      <c r="I5" s="8" t="s">
        <v>110</v>
      </c>
      <c r="J5" s="9" t="s">
        <v>111</v>
      </c>
      <c r="K5" s="9" t="s">
        <v>112</v>
      </c>
      <c r="L5" s="8" t="s">
        <v>113</v>
      </c>
      <c r="M5" s="9" t="s">
        <v>114</v>
      </c>
      <c r="N5" s="9" t="s">
        <v>115</v>
      </c>
      <c r="O5" s="9" t="s">
        <v>116</v>
      </c>
      <c r="P5" s="9" t="s">
        <v>117</v>
      </c>
      <c r="Q5" s="25" t="n">
        <f aca="false">INDEX(등장비중!$O$5:$O$18,MATCH($D5,등장비중!$A$5:$A$18,0))</f>
        <v>108</v>
      </c>
      <c r="R5" s="25" t="str">
        <f aca="false">INDEX(등장비중!$Q$5:$Q$18,MATCH($D5,등장비중!$A$5:$A$18,0))</f>
        <v>주연</v>
      </c>
      <c r="S5" s="25" t="s">
        <v>118</v>
      </c>
    </row>
    <row r="6" customFormat="false" ht="54.75" hidden="false" customHeight="true" outlineLevel="0" collapsed="false">
      <c r="A6" s="25" t="n">
        <v>2</v>
      </c>
      <c r="B6" s="9" t="s">
        <v>105</v>
      </c>
      <c r="C6" s="11" t="s">
        <v>119</v>
      </c>
      <c r="D6" s="11" t="s">
        <v>120</v>
      </c>
      <c r="E6" s="26" t="n">
        <v>41</v>
      </c>
      <c r="F6" s="25" t="n">
        <f aca="false">E6+개요!$C$11</f>
        <v>47</v>
      </c>
      <c r="G6" s="27" t="s">
        <v>121</v>
      </c>
      <c r="H6" s="9" t="s">
        <v>122</v>
      </c>
      <c r="I6" s="8" t="s">
        <v>123</v>
      </c>
      <c r="J6" s="9" t="s">
        <v>124</v>
      </c>
      <c r="K6" s="9" t="s">
        <v>125</v>
      </c>
      <c r="L6" s="8" t="s">
        <v>126</v>
      </c>
      <c r="M6" s="9" t="s">
        <v>127</v>
      </c>
      <c r="N6" s="9" t="s">
        <v>128</v>
      </c>
      <c r="O6" s="9" t="s">
        <v>129</v>
      </c>
      <c r="P6" s="9" t="s">
        <v>117</v>
      </c>
      <c r="Q6" s="25" t="n">
        <f aca="false">INDEX(등장비중!$O$5:$O$18,MATCH($D6,등장비중!$A$5:$A$18,0))</f>
        <v>98</v>
      </c>
      <c r="R6" s="25" t="str">
        <f aca="false">INDEX(등장비중!$Q$5:$Q$18,MATCH($D6,등장비중!$A$5:$A$18,0))</f>
        <v>준주연</v>
      </c>
      <c r="S6" s="25" t="s">
        <v>130</v>
      </c>
    </row>
    <row r="7" customFormat="false" ht="42" hidden="false" customHeight="true" outlineLevel="0" collapsed="false">
      <c r="A7" s="25" t="n">
        <v>3</v>
      </c>
      <c r="B7" s="9" t="s">
        <v>105</v>
      </c>
      <c r="C7" s="11" t="s">
        <v>131</v>
      </c>
      <c r="D7" s="11" t="s">
        <v>132</v>
      </c>
      <c r="E7" s="26" t="n">
        <v>37</v>
      </c>
      <c r="F7" s="25" t="n">
        <f aca="false">E7+개요!$C$11</f>
        <v>43</v>
      </c>
      <c r="G7" s="27" t="s">
        <v>108</v>
      </c>
      <c r="H7" s="9" t="s">
        <v>133</v>
      </c>
      <c r="I7" s="8" t="s">
        <v>134</v>
      </c>
      <c r="J7" s="9" t="s">
        <v>135</v>
      </c>
      <c r="K7" s="9" t="s">
        <v>136</v>
      </c>
      <c r="L7" s="8" t="s">
        <v>137</v>
      </c>
      <c r="M7" s="9" t="s">
        <v>138</v>
      </c>
      <c r="N7" s="9" t="s">
        <v>139</v>
      </c>
      <c r="O7" s="9" t="s">
        <v>140</v>
      </c>
      <c r="P7" s="9" t="s">
        <v>117</v>
      </c>
      <c r="Q7" s="25" t="n">
        <f aca="false">INDEX(등장비중!$O$5:$O$18,MATCH($D7,등장비중!$A$5:$A$18,0))</f>
        <v>109</v>
      </c>
      <c r="R7" s="25" t="str">
        <f aca="false">INDEX(등장비중!$Q$5:$Q$18,MATCH($D7,등장비중!$A$5:$A$18,0))</f>
        <v>주연</v>
      </c>
      <c r="S7" s="25" t="s">
        <v>141</v>
      </c>
    </row>
    <row r="8" customFormat="false" ht="67.5" hidden="false" customHeight="true" outlineLevel="0" collapsed="false">
      <c r="A8" s="25" t="n">
        <v>4</v>
      </c>
      <c r="B8" s="9" t="s">
        <v>105</v>
      </c>
      <c r="C8" s="11" t="s">
        <v>142</v>
      </c>
      <c r="D8" s="11" t="s">
        <v>143</v>
      </c>
      <c r="E8" s="26" t="n">
        <v>36</v>
      </c>
      <c r="F8" s="25" t="n">
        <f aca="false">E8+개요!$C$11</f>
        <v>42</v>
      </c>
      <c r="G8" s="27" t="s">
        <v>121</v>
      </c>
      <c r="H8" s="9" t="s">
        <v>144</v>
      </c>
      <c r="I8" s="8" t="s">
        <v>145</v>
      </c>
      <c r="J8" s="9" t="s">
        <v>146</v>
      </c>
      <c r="K8" s="9" t="s">
        <v>147</v>
      </c>
      <c r="L8" s="8" t="s">
        <v>148</v>
      </c>
      <c r="M8" s="9" t="s">
        <v>149</v>
      </c>
      <c r="N8" s="9" t="s">
        <v>150</v>
      </c>
      <c r="O8" s="9" t="s">
        <v>151</v>
      </c>
      <c r="P8" s="9" t="s">
        <v>117</v>
      </c>
      <c r="Q8" s="25" t="n">
        <f aca="false">INDEX(등장비중!$O$5:$O$18,MATCH($D8,등장비중!$A$5:$A$18,0))</f>
        <v>101</v>
      </c>
      <c r="R8" s="25" t="str">
        <f aca="false">INDEX(등장비중!$Q$5:$Q$18,MATCH($D8,등장비중!$A$5:$A$18,0))</f>
        <v>준주연</v>
      </c>
      <c r="S8" s="25" t="s">
        <v>152</v>
      </c>
    </row>
    <row r="9" customFormat="false" ht="170.25" hidden="false" customHeight="true" outlineLevel="0" collapsed="false">
      <c r="A9" s="25" t="n">
        <v>5</v>
      </c>
      <c r="B9" s="9" t="s">
        <v>153</v>
      </c>
      <c r="C9" s="11" t="s">
        <v>154</v>
      </c>
      <c r="D9" s="11" t="s">
        <v>155</v>
      </c>
      <c r="E9" s="26" t="n">
        <v>65</v>
      </c>
      <c r="F9" s="25" t="n">
        <f aca="false">E9+개요!$C$11</f>
        <v>71</v>
      </c>
      <c r="G9" s="27" t="s">
        <v>108</v>
      </c>
      <c r="H9" s="9" t="s">
        <v>156</v>
      </c>
      <c r="I9" s="9" t="s">
        <v>157</v>
      </c>
      <c r="J9" s="9" t="s">
        <v>158</v>
      </c>
      <c r="K9" s="9" t="s">
        <v>159</v>
      </c>
      <c r="L9" s="8" t="s">
        <v>160</v>
      </c>
      <c r="M9" s="9" t="s">
        <v>161</v>
      </c>
      <c r="N9" s="8" t="s">
        <v>162</v>
      </c>
      <c r="O9" s="9" t="s">
        <v>163</v>
      </c>
      <c r="P9" s="9" t="s">
        <v>164</v>
      </c>
      <c r="Q9" s="25" t="n">
        <f aca="false">INDEX(등장비중!$O$5:$O$18,MATCH($D9,등장비중!$A$5:$A$18,0))</f>
        <v>65</v>
      </c>
      <c r="R9" s="25" t="str">
        <f aca="false">INDEX(등장비중!$Q$5:$Q$18,MATCH($D9,등장비중!$A$5:$A$18,0))</f>
        <v>핵심 조연</v>
      </c>
      <c r="S9" s="25" t="s">
        <v>165</v>
      </c>
    </row>
    <row r="10" customFormat="false" ht="54.75" hidden="false" customHeight="true" outlineLevel="0" collapsed="false">
      <c r="A10" s="25" t="n">
        <v>6</v>
      </c>
      <c r="B10" s="9" t="s">
        <v>153</v>
      </c>
      <c r="C10" s="11" t="s">
        <v>166</v>
      </c>
      <c r="D10" s="11" t="s">
        <v>167</v>
      </c>
      <c r="E10" s="26" t="n">
        <v>69</v>
      </c>
      <c r="F10" s="25" t="n">
        <f aca="false">E10+개요!$C$11</f>
        <v>75</v>
      </c>
      <c r="G10" s="27" t="s">
        <v>108</v>
      </c>
      <c r="H10" s="9" t="s">
        <v>168</v>
      </c>
      <c r="I10" s="9" t="s">
        <v>169</v>
      </c>
      <c r="J10" s="9" t="s">
        <v>170</v>
      </c>
      <c r="K10" s="9" t="s">
        <v>171</v>
      </c>
      <c r="L10" s="8" t="s">
        <v>172</v>
      </c>
      <c r="M10" s="9" t="s">
        <v>173</v>
      </c>
      <c r="N10" s="9" t="s">
        <v>174</v>
      </c>
      <c r="O10" s="9" t="s">
        <v>175</v>
      </c>
      <c r="P10" s="9" t="s">
        <v>176</v>
      </c>
      <c r="Q10" s="25" t="n">
        <f aca="false">INDEX(등장비중!$O$5:$O$18,MATCH($D10,등장비중!$A$5:$A$18,0))</f>
        <v>64</v>
      </c>
      <c r="R10" s="25" t="str">
        <f aca="false">INDEX(등장비중!$Q$5:$Q$18,MATCH($D10,등장비중!$A$5:$A$18,0))</f>
        <v>핵심 조연</v>
      </c>
      <c r="S10" s="25" t="s">
        <v>177</v>
      </c>
    </row>
    <row r="11" customFormat="false" ht="132" hidden="false" customHeight="true" outlineLevel="0" collapsed="false">
      <c r="A11" s="25" t="n">
        <v>7</v>
      </c>
      <c r="B11" s="9" t="s">
        <v>153</v>
      </c>
      <c r="C11" s="11" t="s">
        <v>178</v>
      </c>
      <c r="D11" s="11" t="s">
        <v>179</v>
      </c>
      <c r="E11" s="26" t="n">
        <v>40</v>
      </c>
      <c r="F11" s="25" t="n">
        <f aca="false">E11+개요!$C$11</f>
        <v>46</v>
      </c>
      <c r="G11" s="27" t="s">
        <v>108</v>
      </c>
      <c r="H11" s="9" t="s">
        <v>180</v>
      </c>
      <c r="I11" s="9" t="s">
        <v>181</v>
      </c>
      <c r="J11" s="9" t="s">
        <v>182</v>
      </c>
      <c r="K11" s="9" t="s">
        <v>183</v>
      </c>
      <c r="L11" s="8" t="s">
        <v>184</v>
      </c>
      <c r="M11" s="9" t="s">
        <v>185</v>
      </c>
      <c r="N11" s="9" t="s">
        <v>186</v>
      </c>
      <c r="O11" s="9" t="s">
        <v>187</v>
      </c>
      <c r="P11" s="9" t="s">
        <v>176</v>
      </c>
      <c r="Q11" s="25" t="n">
        <f aca="false">INDEX(등장비중!$O$5:$O$18,MATCH($D11,등장비중!$A$5:$A$18,0))</f>
        <v>63</v>
      </c>
      <c r="R11" s="25" t="str">
        <f aca="false">INDEX(등장비중!$Q$5:$Q$18,MATCH($D11,등장비중!$A$5:$A$18,0))</f>
        <v>핵심 조연</v>
      </c>
      <c r="S11" s="25" t="s">
        <v>188</v>
      </c>
    </row>
    <row r="12" customFormat="false" ht="42" hidden="false" customHeight="true" outlineLevel="0" collapsed="false">
      <c r="A12" s="25" t="n">
        <v>8</v>
      </c>
      <c r="B12" s="9" t="s">
        <v>153</v>
      </c>
      <c r="C12" s="11" t="s">
        <v>189</v>
      </c>
      <c r="D12" s="11" t="s">
        <v>190</v>
      </c>
      <c r="E12" s="26" t="n">
        <v>59</v>
      </c>
      <c r="F12" s="25" t="n">
        <f aca="false">E12+개요!$C$11</f>
        <v>65</v>
      </c>
      <c r="G12" s="27" t="s">
        <v>108</v>
      </c>
      <c r="H12" s="9" t="s">
        <v>191</v>
      </c>
      <c r="I12" s="9" t="s">
        <v>192</v>
      </c>
      <c r="J12" s="9" t="s">
        <v>193</v>
      </c>
      <c r="K12" s="9" t="s">
        <v>194</v>
      </c>
      <c r="L12" s="8" t="s">
        <v>195</v>
      </c>
      <c r="M12" s="9" t="s">
        <v>196</v>
      </c>
      <c r="N12" s="9" t="s">
        <v>197</v>
      </c>
      <c r="O12" s="9" t="s">
        <v>198</v>
      </c>
      <c r="P12" s="9" t="s">
        <v>176</v>
      </c>
      <c r="Q12" s="25" t="n">
        <f aca="false">INDEX(등장비중!$O$5:$O$18,MATCH($D12,등장비중!$A$5:$A$18,0))</f>
        <v>54</v>
      </c>
      <c r="R12" s="25" t="str">
        <f aca="false">INDEX(등장비중!$Q$5:$Q$18,MATCH($D12,등장비중!$A$5:$A$18,0))</f>
        <v>조연</v>
      </c>
      <c r="S12" s="25" t="s">
        <v>199</v>
      </c>
    </row>
    <row r="13" customFormat="false" ht="42" hidden="false" customHeight="true" outlineLevel="0" collapsed="false">
      <c r="A13" s="25" t="n">
        <v>9</v>
      </c>
      <c r="B13" s="9" t="s">
        <v>153</v>
      </c>
      <c r="C13" s="11" t="s">
        <v>200</v>
      </c>
      <c r="D13" s="11" t="s">
        <v>201</v>
      </c>
      <c r="E13" s="26" t="n">
        <v>75</v>
      </c>
      <c r="F13" s="25" t="n">
        <f aca="false">E13+개요!$C$11</f>
        <v>81</v>
      </c>
      <c r="G13" s="27" t="s">
        <v>108</v>
      </c>
      <c r="H13" s="9" t="s">
        <v>202</v>
      </c>
      <c r="I13" s="9" t="s">
        <v>203</v>
      </c>
      <c r="J13" s="9" t="s">
        <v>204</v>
      </c>
      <c r="K13" s="9" t="s">
        <v>205</v>
      </c>
      <c r="L13" s="8" t="s">
        <v>206</v>
      </c>
      <c r="M13" s="9" t="s">
        <v>207</v>
      </c>
      <c r="N13" s="9" t="s">
        <v>208</v>
      </c>
      <c r="O13" s="9" t="s">
        <v>209</v>
      </c>
      <c r="P13" s="9" t="s">
        <v>176</v>
      </c>
      <c r="Q13" s="25" t="n">
        <f aca="false">INDEX(등장비중!$O$5:$O$18,MATCH($D13,등장비중!$A$5:$A$18,0))</f>
        <v>56</v>
      </c>
      <c r="R13" s="25" t="str">
        <f aca="false">INDEX(등장비중!$Q$5:$Q$18,MATCH($D13,등장비중!$A$5:$A$18,0))</f>
        <v>조연</v>
      </c>
      <c r="S13" s="25" t="s">
        <v>210</v>
      </c>
    </row>
    <row r="14" customFormat="false" ht="93" hidden="false" customHeight="true" outlineLevel="0" collapsed="false">
      <c r="A14" s="25" t="n">
        <v>10</v>
      </c>
      <c r="B14" s="9" t="s">
        <v>211</v>
      </c>
      <c r="C14" s="11" t="s">
        <v>212</v>
      </c>
      <c r="D14" s="11" t="s">
        <v>213</v>
      </c>
      <c r="E14" s="26" t="n">
        <v>63</v>
      </c>
      <c r="F14" s="25" t="n">
        <f aca="false">E14+개요!$C$11</f>
        <v>69</v>
      </c>
      <c r="G14" s="27" t="s">
        <v>121</v>
      </c>
      <c r="H14" s="9" t="s">
        <v>214</v>
      </c>
      <c r="I14" s="8" t="s">
        <v>215</v>
      </c>
      <c r="J14" s="9" t="s">
        <v>216</v>
      </c>
      <c r="K14" s="17" t="s">
        <v>217</v>
      </c>
      <c r="L14" s="8" t="s">
        <v>218</v>
      </c>
      <c r="M14" s="9" t="s">
        <v>219</v>
      </c>
      <c r="N14" s="9" t="s">
        <v>220</v>
      </c>
      <c r="O14" s="9" t="s">
        <v>221</v>
      </c>
      <c r="P14" s="9" t="s">
        <v>117</v>
      </c>
      <c r="Q14" s="25" t="n">
        <f aca="false">INDEX(등장비중!$O$5:$O$18,MATCH($D14,등장비중!$A$5:$A$18,0))</f>
        <v>69</v>
      </c>
      <c r="R14" s="25" t="str">
        <f aca="false">INDEX(등장비중!$Q$5:$Q$18,MATCH($D14,등장비중!$A$5:$A$18,0))</f>
        <v>핵심 조연</v>
      </c>
      <c r="S14" s="25" t="s">
        <v>222</v>
      </c>
    </row>
    <row r="15" customFormat="false" ht="42" hidden="false" customHeight="true" outlineLevel="0" collapsed="false">
      <c r="A15" s="25" t="n">
        <v>11</v>
      </c>
      <c r="B15" s="9" t="s">
        <v>211</v>
      </c>
      <c r="C15" s="11" t="s">
        <v>223</v>
      </c>
      <c r="D15" s="11" t="s">
        <v>224</v>
      </c>
      <c r="E15" s="26" t="n">
        <v>55</v>
      </c>
      <c r="F15" s="25" t="n">
        <f aca="false">E15+개요!$C$11</f>
        <v>61</v>
      </c>
      <c r="G15" s="27" t="s">
        <v>108</v>
      </c>
      <c r="H15" s="9" t="s">
        <v>225</v>
      </c>
      <c r="I15" s="9" t="s">
        <v>226</v>
      </c>
      <c r="J15" s="9" t="s">
        <v>227</v>
      </c>
      <c r="K15" s="9" t="s">
        <v>228</v>
      </c>
      <c r="L15" s="8" t="s">
        <v>229</v>
      </c>
      <c r="M15" s="9" t="s">
        <v>230</v>
      </c>
      <c r="N15" s="9" t="s">
        <v>231</v>
      </c>
      <c r="O15" s="9" t="s">
        <v>232</v>
      </c>
      <c r="P15" s="9" t="s">
        <v>176</v>
      </c>
      <c r="Q15" s="25" t="n">
        <f aca="false">INDEX(등장비중!$O$5:$O$18,MATCH($D15,등장비중!$A$5:$A$18,0))</f>
        <v>58</v>
      </c>
      <c r="R15" s="25" t="str">
        <f aca="false">INDEX(등장비중!$Q$5:$Q$18,MATCH($D15,등장비중!$A$5:$A$18,0))</f>
        <v>조연</v>
      </c>
      <c r="S15" s="25" t="s">
        <v>233</v>
      </c>
    </row>
    <row r="16" customFormat="false" ht="67.5" hidden="false" customHeight="true" outlineLevel="0" collapsed="false">
      <c r="A16" s="25" t="n">
        <v>12</v>
      </c>
      <c r="B16" s="9" t="s">
        <v>211</v>
      </c>
      <c r="C16" s="11" t="s">
        <v>234</v>
      </c>
      <c r="D16" s="11" t="s">
        <v>235</v>
      </c>
      <c r="E16" s="26" t="n">
        <v>23</v>
      </c>
      <c r="F16" s="25" t="n">
        <f aca="false">E16+개요!$C$11</f>
        <v>29</v>
      </c>
      <c r="G16" s="27" t="s">
        <v>121</v>
      </c>
      <c r="H16" s="9" t="s">
        <v>236</v>
      </c>
      <c r="I16" s="9" t="s">
        <v>237</v>
      </c>
      <c r="J16" s="9" t="s">
        <v>238</v>
      </c>
      <c r="K16" s="17" t="s">
        <v>239</v>
      </c>
      <c r="L16" s="8" t="s">
        <v>240</v>
      </c>
      <c r="M16" s="9" t="s">
        <v>241</v>
      </c>
      <c r="N16" s="9" t="s">
        <v>242</v>
      </c>
      <c r="O16" s="9" t="s">
        <v>243</v>
      </c>
      <c r="P16" s="9" t="s">
        <v>117</v>
      </c>
      <c r="Q16" s="25" t="n">
        <f aca="false">INDEX(등장비중!$O$5:$O$18,MATCH($D16,등장비중!$A$5:$A$18,0))</f>
        <v>99</v>
      </c>
      <c r="R16" s="25" t="str">
        <f aca="false">INDEX(등장비중!$Q$5:$Q$18,MATCH($D16,등장비중!$A$5:$A$18,0))</f>
        <v>준주연</v>
      </c>
      <c r="S16" s="25" t="s">
        <v>244</v>
      </c>
    </row>
    <row r="17" customFormat="false" ht="67.5" hidden="false" customHeight="true" outlineLevel="0" collapsed="false">
      <c r="A17" s="25" t="n">
        <v>13</v>
      </c>
      <c r="B17" s="9" t="s">
        <v>28</v>
      </c>
      <c r="C17" s="11" t="s">
        <v>245</v>
      </c>
      <c r="D17" s="11" t="s">
        <v>246</v>
      </c>
      <c r="E17" s="26" t="n">
        <v>58</v>
      </c>
      <c r="F17" s="25" t="n">
        <f aca="false">E17+개요!$C$11</f>
        <v>64</v>
      </c>
      <c r="G17" s="27" t="s">
        <v>108</v>
      </c>
      <c r="H17" s="9" t="s">
        <v>247</v>
      </c>
      <c r="I17" s="17" t="s">
        <v>248</v>
      </c>
      <c r="J17" s="9" t="s">
        <v>249</v>
      </c>
      <c r="K17" s="9" t="s">
        <v>250</v>
      </c>
      <c r="L17" s="8" t="s">
        <v>251</v>
      </c>
      <c r="M17" s="9" t="s">
        <v>252</v>
      </c>
      <c r="N17" s="9" t="s">
        <v>253</v>
      </c>
      <c r="O17" s="9" t="s">
        <v>254</v>
      </c>
      <c r="P17" s="9" t="s">
        <v>255</v>
      </c>
      <c r="Q17" s="25" t="n">
        <f aca="false">INDEX(등장비중!$O$5:$O$18,MATCH($D17,등장비중!$A$5:$A$18,0))</f>
        <v>56</v>
      </c>
      <c r="R17" s="25" t="str">
        <f aca="false">INDEX(등장비중!$Q$5:$Q$18,MATCH($D17,등장비중!$A$5:$A$18,0))</f>
        <v>조연</v>
      </c>
      <c r="S17" s="25" t="s">
        <v>256</v>
      </c>
    </row>
    <row r="18" customFormat="false" ht="42" hidden="false" customHeight="true" outlineLevel="0" collapsed="false">
      <c r="A18" s="25" t="n">
        <v>14</v>
      </c>
      <c r="B18" s="9" t="s">
        <v>153</v>
      </c>
      <c r="C18" s="11" t="s">
        <v>257</v>
      </c>
      <c r="D18" s="11" t="s">
        <v>258</v>
      </c>
      <c r="E18" s="26" t="n">
        <v>75</v>
      </c>
      <c r="F18" s="25" t="n">
        <f aca="false">E18+개요!$C$11</f>
        <v>81</v>
      </c>
      <c r="G18" s="27" t="s">
        <v>121</v>
      </c>
      <c r="H18" s="9" t="s">
        <v>259</v>
      </c>
      <c r="I18" s="9" t="s">
        <v>260</v>
      </c>
      <c r="J18" s="9" t="s">
        <v>261</v>
      </c>
      <c r="K18" s="9" t="s">
        <v>262</v>
      </c>
      <c r="L18" s="8" t="s">
        <v>263</v>
      </c>
      <c r="M18" s="9" t="s">
        <v>264</v>
      </c>
      <c r="N18" s="9" t="s">
        <v>265</v>
      </c>
      <c r="O18" s="9" t="s">
        <v>266</v>
      </c>
      <c r="P18" s="9" t="s">
        <v>176</v>
      </c>
      <c r="Q18" s="25" t="n">
        <f aca="false">INDEX(등장비중!$O$5:$O$18,MATCH($D18,등장비중!$A$5:$A$18,0))</f>
        <v>54</v>
      </c>
      <c r="R18" s="25" t="str">
        <f aca="false">INDEX(등장비중!$Q$5:$Q$18,MATCH($D18,등장비중!$A$5:$A$18,0))</f>
        <v>조연</v>
      </c>
      <c r="S18" s="25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S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4" min="2" style="1" width="9"/>
    <col collapsed="false" customWidth="true" hidden="false" outlineLevel="0" max="16" min="15" style="1" width="8"/>
    <col collapsed="false" customWidth="true" hidden="false" outlineLevel="0" max="17" min="17" style="1" width="11"/>
    <col collapsed="false" customWidth="true" hidden="false" outlineLevel="0" max="18" min="18" style="1" width="9"/>
    <col collapsed="false" customWidth="true" hidden="false" outlineLevel="0" max="19" min="19" style="1" width="12"/>
  </cols>
  <sheetData>
    <row r="1" customFormat="false" ht="24" hidden="false" customHeight="true" outlineLevel="0" collapsed="false">
      <c r="A1" s="22" t="s">
        <v>268</v>
      </c>
    </row>
    <row r="2" customFormat="false" ht="15" hidden="false" customHeight="true" outlineLevel="0" collapsed="false">
      <c r="A2" s="21" t="s">
        <v>269</v>
      </c>
    </row>
    <row r="4" customFormat="false" ht="43.5" hidden="false" customHeight="true" outlineLevel="0" collapsed="false">
      <c r="A4" s="24" t="s">
        <v>270</v>
      </c>
      <c r="B4" s="23" t="s">
        <v>271</v>
      </c>
      <c r="C4" s="23" t="s">
        <v>272</v>
      </c>
      <c r="D4" s="23" t="s">
        <v>273</v>
      </c>
      <c r="E4" s="23" t="s">
        <v>274</v>
      </c>
      <c r="F4" s="23" t="s">
        <v>275</v>
      </c>
      <c r="G4" s="23" t="s">
        <v>276</v>
      </c>
      <c r="H4" s="23" t="s">
        <v>277</v>
      </c>
      <c r="I4" s="23" t="s">
        <v>278</v>
      </c>
      <c r="J4" s="23" t="s">
        <v>279</v>
      </c>
      <c r="K4" s="23" t="s">
        <v>280</v>
      </c>
      <c r="L4" s="23" t="s">
        <v>281</v>
      </c>
      <c r="M4" s="23" t="s">
        <v>282</v>
      </c>
      <c r="N4" s="23" t="s">
        <v>283</v>
      </c>
      <c r="O4" s="24" t="s">
        <v>284</v>
      </c>
      <c r="P4" s="24" t="s">
        <v>285</v>
      </c>
      <c r="Q4" s="24" t="s">
        <v>103</v>
      </c>
      <c r="R4" s="24" t="s">
        <v>286</v>
      </c>
      <c r="S4" s="24" t="s">
        <v>287</v>
      </c>
    </row>
    <row r="5" customFormat="false" ht="15" hidden="false" customHeight="true" outlineLevel="0" collapsed="false">
      <c r="A5" s="28" t="s">
        <v>107</v>
      </c>
      <c r="B5" s="29" t="n">
        <v>7</v>
      </c>
      <c r="C5" s="29" t="n">
        <v>12</v>
      </c>
      <c r="D5" s="29" t="n">
        <v>3</v>
      </c>
      <c r="E5" s="29" t="n">
        <v>3</v>
      </c>
      <c r="F5" s="29" t="n">
        <v>3</v>
      </c>
      <c r="G5" s="29" t="n">
        <v>12</v>
      </c>
      <c r="H5" s="29" t="n">
        <v>11</v>
      </c>
      <c r="I5" s="29" t="n">
        <v>12</v>
      </c>
      <c r="J5" s="29" t="n">
        <v>11</v>
      </c>
      <c r="K5" s="29" t="n">
        <v>11</v>
      </c>
      <c r="L5" s="29" t="n">
        <v>10</v>
      </c>
      <c r="M5" s="29" t="n">
        <v>3</v>
      </c>
      <c r="N5" s="29" t="n">
        <v>10</v>
      </c>
      <c r="O5" s="30" t="n">
        <f aca="false">SUM(B5:N5)</f>
        <v>108</v>
      </c>
      <c r="P5" s="31" t="n">
        <f aca="false">O5/개요!$C$7</f>
        <v>0.692307692307692</v>
      </c>
      <c r="Q5" s="30" t="str">
        <f aca="false">IF(P5&gt;=$B$23,"주연",IF(P5&gt;=$B$24,"준주연",IF(P5&gt;=$B$25,"핵심 조연","조연")))</f>
        <v>주연</v>
      </c>
      <c r="R5" s="30" t="str">
        <f aca="false">IF(MAX(B5:N5)&lt;=개요!$C$6,"OK","확인")</f>
        <v>OK</v>
      </c>
      <c r="S5" s="30" t="s">
        <v>288</v>
      </c>
    </row>
    <row r="6" customFormat="false" ht="15" hidden="false" customHeight="true" outlineLevel="0" collapsed="false">
      <c r="A6" s="28" t="s">
        <v>120</v>
      </c>
      <c r="B6" s="29" t="n">
        <v>6</v>
      </c>
      <c r="C6" s="29" t="n">
        <v>3</v>
      </c>
      <c r="D6" s="29" t="n">
        <v>12</v>
      </c>
      <c r="E6" s="29" t="n">
        <v>3</v>
      </c>
      <c r="F6" s="29" t="n">
        <v>3</v>
      </c>
      <c r="G6" s="29" t="n">
        <v>12</v>
      </c>
      <c r="H6" s="29" t="n">
        <v>10</v>
      </c>
      <c r="I6" s="29" t="n">
        <v>10</v>
      </c>
      <c r="J6" s="29" t="n">
        <v>8</v>
      </c>
      <c r="K6" s="29" t="n">
        <v>10</v>
      </c>
      <c r="L6" s="29" t="n">
        <v>10</v>
      </c>
      <c r="M6" s="29" t="n">
        <v>2</v>
      </c>
      <c r="N6" s="29" t="n">
        <v>9</v>
      </c>
      <c r="O6" s="30" t="n">
        <f aca="false">SUM(B6:N6)</f>
        <v>98</v>
      </c>
      <c r="P6" s="31" t="n">
        <f aca="false">O6/개요!$C$7</f>
        <v>0.628205128205128</v>
      </c>
      <c r="Q6" s="30" t="str">
        <f aca="false">IF(P6&gt;=$B$23,"주연",IF(P6&gt;=$B$24,"준주연",IF(P6&gt;=$B$25,"핵심 조연","조연")))</f>
        <v>준주연</v>
      </c>
      <c r="R6" s="30" t="str">
        <f aca="false">IF(MAX(B6:N6)&lt;=개요!$C$6,"OK","확인")</f>
        <v>OK</v>
      </c>
      <c r="S6" s="30" t="s">
        <v>288</v>
      </c>
    </row>
    <row r="7" customFormat="false" ht="15" hidden="false" customHeight="true" outlineLevel="0" collapsed="false">
      <c r="A7" s="28" t="s">
        <v>132</v>
      </c>
      <c r="B7" s="29" t="n">
        <v>7</v>
      </c>
      <c r="C7" s="29" t="n">
        <v>3</v>
      </c>
      <c r="D7" s="29" t="n">
        <v>3</v>
      </c>
      <c r="E7" s="29" t="n">
        <v>12</v>
      </c>
      <c r="F7" s="29" t="n">
        <v>3</v>
      </c>
      <c r="G7" s="29" t="n">
        <v>12</v>
      </c>
      <c r="H7" s="29" t="n">
        <v>11</v>
      </c>
      <c r="I7" s="29" t="n">
        <v>10</v>
      </c>
      <c r="J7" s="29" t="n">
        <v>10</v>
      </c>
      <c r="K7" s="29" t="n">
        <v>11</v>
      </c>
      <c r="L7" s="29" t="n">
        <v>10</v>
      </c>
      <c r="M7" s="29" t="n">
        <v>8</v>
      </c>
      <c r="N7" s="29" t="n">
        <v>9</v>
      </c>
      <c r="O7" s="30" t="n">
        <f aca="false">SUM(B7:N7)</f>
        <v>109</v>
      </c>
      <c r="P7" s="31" t="n">
        <f aca="false">O7/개요!$C$7</f>
        <v>0.698717948717949</v>
      </c>
      <c r="Q7" s="30" t="str">
        <f aca="false">IF(P7&gt;=$B$23,"주연",IF(P7&gt;=$B$24,"준주연",IF(P7&gt;=$B$25,"핵심 조연","조연")))</f>
        <v>주연</v>
      </c>
      <c r="R7" s="30" t="str">
        <f aca="false">IF(MAX(B7:N7)&lt;=개요!$C$6,"OK","확인")</f>
        <v>OK</v>
      </c>
      <c r="S7" s="30" t="s">
        <v>288</v>
      </c>
    </row>
    <row r="8" customFormat="false" ht="15" hidden="false" customHeight="true" outlineLevel="0" collapsed="false">
      <c r="A8" s="28" t="s">
        <v>143</v>
      </c>
      <c r="B8" s="29" t="n">
        <v>6</v>
      </c>
      <c r="C8" s="29" t="n">
        <v>3</v>
      </c>
      <c r="D8" s="29" t="n">
        <v>3</v>
      </c>
      <c r="E8" s="29" t="n">
        <v>3</v>
      </c>
      <c r="F8" s="29" t="n">
        <v>12</v>
      </c>
      <c r="G8" s="29" t="n">
        <v>12</v>
      </c>
      <c r="H8" s="29" t="n">
        <v>10</v>
      </c>
      <c r="I8" s="29" t="n">
        <v>11</v>
      </c>
      <c r="J8" s="29" t="n">
        <v>10</v>
      </c>
      <c r="K8" s="29" t="n">
        <v>10</v>
      </c>
      <c r="L8" s="29" t="n">
        <v>9</v>
      </c>
      <c r="M8" s="29" t="n">
        <v>3</v>
      </c>
      <c r="N8" s="29" t="n">
        <v>9</v>
      </c>
      <c r="O8" s="30" t="n">
        <f aca="false">SUM(B8:N8)</f>
        <v>101</v>
      </c>
      <c r="P8" s="31" t="n">
        <f aca="false">O8/개요!$C$7</f>
        <v>0.647435897435898</v>
      </c>
      <c r="Q8" s="30" t="str">
        <f aca="false">IF(P8&gt;=$B$23,"주연",IF(P8&gt;=$B$24,"준주연",IF(P8&gt;=$B$25,"핵심 조연","조연")))</f>
        <v>준주연</v>
      </c>
      <c r="R8" s="30" t="str">
        <f aca="false">IF(MAX(B8:N8)&lt;=개요!$C$6,"OK","확인")</f>
        <v>OK</v>
      </c>
      <c r="S8" s="30" t="s">
        <v>288</v>
      </c>
    </row>
    <row r="9" customFormat="false" ht="15" hidden="false" customHeight="true" outlineLevel="0" collapsed="false">
      <c r="A9" s="28" t="s">
        <v>155</v>
      </c>
      <c r="B9" s="29" t="n">
        <v>4</v>
      </c>
      <c r="C9" s="29" t="n">
        <v>2</v>
      </c>
      <c r="D9" s="29" t="n">
        <v>2</v>
      </c>
      <c r="E9" s="29" t="n">
        <v>2</v>
      </c>
      <c r="F9" s="29" t="n">
        <v>2</v>
      </c>
      <c r="G9" s="29" t="n">
        <v>7</v>
      </c>
      <c r="H9" s="29" t="n">
        <v>9</v>
      </c>
      <c r="I9" s="29" t="n">
        <v>7</v>
      </c>
      <c r="J9" s="29" t="n">
        <v>9</v>
      </c>
      <c r="K9" s="29" t="n">
        <v>9</v>
      </c>
      <c r="L9" s="29" t="n">
        <v>9</v>
      </c>
      <c r="M9" s="29" t="n">
        <v>0</v>
      </c>
      <c r="N9" s="29" t="n">
        <v>3</v>
      </c>
      <c r="O9" s="30" t="n">
        <f aca="false">SUM(B9:N9)</f>
        <v>65</v>
      </c>
      <c r="P9" s="31" t="n">
        <f aca="false">O9/개요!$C$7</f>
        <v>0.416666666666667</v>
      </c>
      <c r="Q9" s="30" t="str">
        <f aca="false">IF(P9&gt;=$B$23,"주연",IF(P9&gt;=$B$24,"준주연",IF(P9&gt;=$B$25,"핵심 조연","조연")))</f>
        <v>핵심 조연</v>
      </c>
      <c r="R9" s="30" t="str">
        <f aca="false">IF(MAX(B9:N9)&lt;=개요!$C$6,"OK","확인")</f>
        <v>OK</v>
      </c>
      <c r="S9" s="29" t="s">
        <v>288</v>
      </c>
    </row>
    <row r="10" customFormat="false" ht="15" hidden="false" customHeight="true" outlineLevel="0" collapsed="false">
      <c r="A10" s="28" t="s">
        <v>167</v>
      </c>
      <c r="B10" s="29" t="n">
        <v>3</v>
      </c>
      <c r="C10" s="29" t="n">
        <v>1</v>
      </c>
      <c r="D10" s="29" t="n">
        <v>1</v>
      </c>
      <c r="E10" s="29" t="n">
        <v>1</v>
      </c>
      <c r="F10" s="29" t="n">
        <v>1</v>
      </c>
      <c r="G10" s="29" t="n">
        <v>6</v>
      </c>
      <c r="H10" s="29" t="n">
        <v>8</v>
      </c>
      <c r="I10" s="29" t="n">
        <v>9</v>
      </c>
      <c r="J10" s="29" t="n">
        <v>8</v>
      </c>
      <c r="K10" s="29" t="n">
        <v>8</v>
      </c>
      <c r="L10" s="29" t="n">
        <v>7</v>
      </c>
      <c r="M10" s="29" t="n">
        <v>4</v>
      </c>
      <c r="N10" s="29" t="n">
        <v>7</v>
      </c>
      <c r="O10" s="30" t="n">
        <f aca="false">SUM(B10:N10)</f>
        <v>64</v>
      </c>
      <c r="P10" s="31" t="n">
        <f aca="false">O10/개요!$C$7</f>
        <v>0.41025641025641</v>
      </c>
      <c r="Q10" s="30" t="str">
        <f aca="false">IF(P10&gt;=$B$23,"주연",IF(P10&gt;=$B$24,"준주연",IF(P10&gt;=$B$25,"핵심 조연","조연")))</f>
        <v>핵심 조연</v>
      </c>
      <c r="R10" s="30" t="str">
        <f aca="false">IF(MAX(B10:N10)&lt;=개요!$C$6,"OK","확인")</f>
        <v>OK</v>
      </c>
      <c r="S10" s="29" t="s">
        <v>288</v>
      </c>
    </row>
    <row r="11" customFormat="false" ht="15" hidden="false" customHeight="true" outlineLevel="0" collapsed="false">
      <c r="A11" s="28" t="s">
        <v>179</v>
      </c>
      <c r="B11" s="29" t="n">
        <v>2</v>
      </c>
      <c r="C11" s="29" t="n">
        <v>1</v>
      </c>
      <c r="D11" s="29" t="n">
        <v>1</v>
      </c>
      <c r="E11" s="29" t="n">
        <v>3</v>
      </c>
      <c r="F11" s="29" t="n">
        <v>1</v>
      </c>
      <c r="G11" s="29" t="n">
        <v>5</v>
      </c>
      <c r="H11" s="29" t="n">
        <v>10</v>
      </c>
      <c r="I11" s="29" t="n">
        <v>7</v>
      </c>
      <c r="J11" s="29" t="n">
        <v>8</v>
      </c>
      <c r="K11" s="29" t="n">
        <v>8</v>
      </c>
      <c r="L11" s="29" t="n">
        <v>7</v>
      </c>
      <c r="M11" s="29" t="n">
        <v>3</v>
      </c>
      <c r="N11" s="29" t="n">
        <v>7</v>
      </c>
      <c r="O11" s="30" t="n">
        <f aca="false">SUM(B11:N11)</f>
        <v>63</v>
      </c>
      <c r="P11" s="31" t="n">
        <f aca="false">O11/개요!$C$7</f>
        <v>0.403846153846154</v>
      </c>
      <c r="Q11" s="30" t="str">
        <f aca="false">IF(P11&gt;=$B$23,"주연",IF(P11&gt;=$B$24,"준주연",IF(P11&gt;=$B$25,"핵심 조연","조연")))</f>
        <v>핵심 조연</v>
      </c>
      <c r="R11" s="30" t="str">
        <f aca="false">IF(MAX(B11:N11)&lt;=개요!$C$6,"OK","확인")</f>
        <v>OK</v>
      </c>
      <c r="S11" s="29" t="s">
        <v>288</v>
      </c>
    </row>
    <row r="12" customFormat="false" ht="15" hidden="false" customHeight="true" outlineLevel="0" collapsed="false">
      <c r="A12" s="28" t="s">
        <v>190</v>
      </c>
      <c r="B12" s="29" t="n">
        <v>1</v>
      </c>
      <c r="C12" s="29" t="n">
        <v>1</v>
      </c>
      <c r="D12" s="29" t="n">
        <v>2</v>
      </c>
      <c r="E12" s="29" t="n">
        <v>1</v>
      </c>
      <c r="F12" s="29" t="n">
        <v>2</v>
      </c>
      <c r="G12" s="29" t="n">
        <v>4</v>
      </c>
      <c r="H12" s="29" t="n">
        <v>7</v>
      </c>
      <c r="I12" s="29" t="n">
        <v>8</v>
      </c>
      <c r="J12" s="29" t="n">
        <v>6</v>
      </c>
      <c r="K12" s="29" t="n">
        <v>7</v>
      </c>
      <c r="L12" s="29" t="n">
        <v>6</v>
      </c>
      <c r="M12" s="29" t="n">
        <v>2</v>
      </c>
      <c r="N12" s="29" t="n">
        <v>7</v>
      </c>
      <c r="O12" s="30" t="n">
        <f aca="false">SUM(B12:N12)</f>
        <v>54</v>
      </c>
      <c r="P12" s="31" t="n">
        <f aca="false">O12/개요!$C$7</f>
        <v>0.346153846153846</v>
      </c>
      <c r="Q12" s="30" t="str">
        <f aca="false">IF(P12&gt;=$B$23,"주연",IF(P12&gt;=$B$24,"준주연",IF(P12&gt;=$B$25,"핵심 조연","조연")))</f>
        <v>조연</v>
      </c>
      <c r="R12" s="30" t="str">
        <f aca="false">IF(MAX(B12:N12)&lt;=개요!$C$6,"OK","확인")</f>
        <v>OK</v>
      </c>
      <c r="S12" s="29" t="s">
        <v>288</v>
      </c>
    </row>
    <row r="13" customFormat="false" ht="15" hidden="false" customHeight="true" outlineLevel="0" collapsed="false">
      <c r="A13" s="28" t="s">
        <v>201</v>
      </c>
      <c r="B13" s="29" t="n">
        <v>2</v>
      </c>
      <c r="C13" s="29" t="n">
        <v>1</v>
      </c>
      <c r="D13" s="29" t="n">
        <v>1</v>
      </c>
      <c r="E13" s="29" t="n">
        <v>3</v>
      </c>
      <c r="F13" s="29" t="n">
        <v>1</v>
      </c>
      <c r="G13" s="29" t="n">
        <v>5</v>
      </c>
      <c r="H13" s="29" t="n">
        <v>8</v>
      </c>
      <c r="I13" s="29" t="n">
        <v>5</v>
      </c>
      <c r="J13" s="29" t="n">
        <v>7</v>
      </c>
      <c r="K13" s="29" t="n">
        <v>7</v>
      </c>
      <c r="L13" s="29" t="n">
        <v>9</v>
      </c>
      <c r="M13" s="29" t="n">
        <v>1</v>
      </c>
      <c r="N13" s="29" t="n">
        <v>6</v>
      </c>
      <c r="O13" s="30" t="n">
        <f aca="false">SUM(B13:N13)</f>
        <v>56</v>
      </c>
      <c r="P13" s="31" t="n">
        <f aca="false">O13/개요!$C$7</f>
        <v>0.358974358974359</v>
      </c>
      <c r="Q13" s="30" t="str">
        <f aca="false">IF(P13&gt;=$B$23,"주연",IF(P13&gt;=$B$24,"준주연",IF(P13&gt;=$B$25,"핵심 조연","조연")))</f>
        <v>조연</v>
      </c>
      <c r="R13" s="30" t="str">
        <f aca="false">IF(MAX(B13:N13)&lt;=개요!$C$6,"OK","확인")</f>
        <v>OK</v>
      </c>
      <c r="S13" s="29" t="s">
        <v>288</v>
      </c>
    </row>
    <row r="14" customFormat="false" ht="15" hidden="false" customHeight="true" outlineLevel="0" collapsed="false">
      <c r="A14" s="28" t="s">
        <v>213</v>
      </c>
      <c r="B14" s="29" t="n">
        <v>12</v>
      </c>
      <c r="C14" s="29" t="n">
        <v>2</v>
      </c>
      <c r="D14" s="29" t="n">
        <v>2</v>
      </c>
      <c r="E14" s="29" t="n">
        <v>2</v>
      </c>
      <c r="F14" s="29" t="n">
        <v>2</v>
      </c>
      <c r="G14" s="29" t="n">
        <v>5</v>
      </c>
      <c r="H14" s="29" t="n">
        <v>8</v>
      </c>
      <c r="I14" s="29" t="n">
        <v>6</v>
      </c>
      <c r="J14" s="29" t="n">
        <v>4</v>
      </c>
      <c r="K14" s="29" t="n">
        <v>5</v>
      </c>
      <c r="L14" s="29" t="n">
        <v>8</v>
      </c>
      <c r="M14" s="29" t="n">
        <v>3</v>
      </c>
      <c r="N14" s="29" t="n">
        <v>10</v>
      </c>
      <c r="O14" s="30" t="n">
        <f aca="false">SUM(B14:N14)</f>
        <v>69</v>
      </c>
      <c r="P14" s="31" t="n">
        <f aca="false">O14/개요!$C$7</f>
        <v>0.442307692307692</v>
      </c>
      <c r="Q14" s="30" t="str">
        <f aca="false">IF(P14&gt;=$B$23,"주연",IF(P14&gt;=$B$24,"준주연",IF(P14&gt;=$B$25,"핵심 조연","조연")))</f>
        <v>핵심 조연</v>
      </c>
      <c r="R14" s="30" t="str">
        <f aca="false">IF(MAX(B14:N14)&lt;=개요!$C$6,"OK","확인")</f>
        <v>OK</v>
      </c>
      <c r="S14" s="29" t="s">
        <v>288</v>
      </c>
    </row>
    <row r="15" customFormat="false" ht="15" hidden="false" customHeight="true" outlineLevel="0" collapsed="false">
      <c r="A15" s="28" t="s">
        <v>224</v>
      </c>
      <c r="B15" s="29" t="n">
        <v>2</v>
      </c>
      <c r="C15" s="29" t="n">
        <v>1</v>
      </c>
      <c r="D15" s="29" t="n">
        <v>2</v>
      </c>
      <c r="E15" s="29" t="n">
        <v>1</v>
      </c>
      <c r="F15" s="29" t="n">
        <v>3</v>
      </c>
      <c r="G15" s="29" t="n">
        <v>5</v>
      </c>
      <c r="H15" s="29" t="n">
        <v>9</v>
      </c>
      <c r="I15" s="29" t="n">
        <v>8</v>
      </c>
      <c r="J15" s="29" t="n">
        <v>6</v>
      </c>
      <c r="K15" s="29" t="n">
        <v>6</v>
      </c>
      <c r="L15" s="29" t="n">
        <v>7</v>
      </c>
      <c r="M15" s="29" t="n">
        <v>2</v>
      </c>
      <c r="N15" s="29" t="n">
        <v>6</v>
      </c>
      <c r="O15" s="30" t="n">
        <f aca="false">SUM(B15:N15)</f>
        <v>58</v>
      </c>
      <c r="P15" s="31" t="n">
        <f aca="false">O15/개요!$C$7</f>
        <v>0.371794871794872</v>
      </c>
      <c r="Q15" s="30" t="str">
        <f aca="false">IF(P15&gt;=$B$23,"주연",IF(P15&gt;=$B$24,"준주연",IF(P15&gt;=$B$25,"핵심 조연","조연")))</f>
        <v>조연</v>
      </c>
      <c r="R15" s="30" t="str">
        <f aca="false">IF(MAX(B15:N15)&lt;=개요!$C$6,"OK","확인")</f>
        <v>OK</v>
      </c>
      <c r="S15" s="29" t="s">
        <v>288</v>
      </c>
    </row>
    <row r="16" customFormat="false" ht="15" hidden="false" customHeight="true" outlineLevel="0" collapsed="false">
      <c r="A16" s="28" t="s">
        <v>235</v>
      </c>
      <c r="B16" s="29" t="n">
        <v>12</v>
      </c>
      <c r="C16" s="29" t="n">
        <v>4</v>
      </c>
      <c r="D16" s="29" t="n">
        <v>4</v>
      </c>
      <c r="E16" s="29" t="n">
        <v>4</v>
      </c>
      <c r="F16" s="29" t="n">
        <v>4</v>
      </c>
      <c r="G16" s="29" t="n">
        <v>8</v>
      </c>
      <c r="H16" s="29" t="n">
        <v>10</v>
      </c>
      <c r="I16" s="29" t="n">
        <v>10</v>
      </c>
      <c r="J16" s="29" t="n">
        <v>9</v>
      </c>
      <c r="K16" s="29" t="n">
        <v>9</v>
      </c>
      <c r="L16" s="29" t="n">
        <v>10</v>
      </c>
      <c r="M16" s="29" t="n">
        <v>3</v>
      </c>
      <c r="N16" s="29" t="n">
        <v>12</v>
      </c>
      <c r="O16" s="30" t="n">
        <f aca="false">SUM(B16:N16)</f>
        <v>99</v>
      </c>
      <c r="P16" s="31" t="n">
        <f aca="false">O16/개요!$C$7</f>
        <v>0.634615384615385</v>
      </c>
      <c r="Q16" s="30" t="str">
        <f aca="false">IF(P16&gt;=$B$23,"주연",IF(P16&gt;=$B$24,"준주연",IF(P16&gt;=$B$25,"핵심 조연","조연")))</f>
        <v>준주연</v>
      </c>
      <c r="R16" s="30" t="str">
        <f aca="false">IF(MAX(B16:N16)&lt;=개요!$C$6,"OK","확인")</f>
        <v>OK</v>
      </c>
      <c r="S16" s="29" t="s">
        <v>288</v>
      </c>
    </row>
    <row r="17" customFormat="false" ht="15" hidden="false" customHeight="true" outlineLevel="0" collapsed="false">
      <c r="A17" s="28" t="s">
        <v>246</v>
      </c>
      <c r="B17" s="29" t="n">
        <v>2</v>
      </c>
      <c r="C17" s="29" t="n">
        <v>1</v>
      </c>
      <c r="D17" s="29" t="n">
        <v>1</v>
      </c>
      <c r="E17" s="29" t="n">
        <v>3</v>
      </c>
      <c r="F17" s="29" t="n">
        <v>1</v>
      </c>
      <c r="G17" s="29" t="n">
        <v>5</v>
      </c>
      <c r="H17" s="29" t="n">
        <v>8</v>
      </c>
      <c r="I17" s="29" t="n">
        <v>5</v>
      </c>
      <c r="J17" s="29" t="n">
        <v>7</v>
      </c>
      <c r="K17" s="29" t="n">
        <v>7</v>
      </c>
      <c r="L17" s="29" t="n">
        <v>9</v>
      </c>
      <c r="M17" s="29" t="n">
        <v>1</v>
      </c>
      <c r="N17" s="29" t="n">
        <v>6</v>
      </c>
      <c r="O17" s="30" t="n">
        <f aca="false">SUM(B17:N17)</f>
        <v>56</v>
      </c>
      <c r="P17" s="31" t="n">
        <f aca="false">O17/개요!$C$7</f>
        <v>0.358974358974359</v>
      </c>
      <c r="Q17" s="30" t="str">
        <f aca="false">IF(P17&gt;=$B$23,"주연",IF(P17&gt;=$B$24,"준주연",IF(P17&gt;=$B$25,"핵심 조연","조연")))</f>
        <v>조연</v>
      </c>
      <c r="R17" s="30" t="str">
        <f aca="false">IF(MAX(B17:N17)&lt;=개요!$C$6,"OK","확인")</f>
        <v>OK</v>
      </c>
      <c r="S17" s="30" t="s">
        <v>288</v>
      </c>
    </row>
    <row r="18" customFormat="false" ht="15" hidden="false" customHeight="true" outlineLevel="0" collapsed="false">
      <c r="A18" s="28" t="s">
        <v>258</v>
      </c>
      <c r="B18" s="29" t="n">
        <v>1</v>
      </c>
      <c r="C18" s="29" t="n">
        <v>1</v>
      </c>
      <c r="D18" s="29" t="n">
        <v>2</v>
      </c>
      <c r="E18" s="29" t="n">
        <v>1</v>
      </c>
      <c r="F18" s="29" t="n">
        <v>2</v>
      </c>
      <c r="G18" s="29" t="n">
        <v>4</v>
      </c>
      <c r="H18" s="29" t="n">
        <v>7</v>
      </c>
      <c r="I18" s="29" t="n">
        <v>8</v>
      </c>
      <c r="J18" s="29" t="n">
        <v>6</v>
      </c>
      <c r="K18" s="29" t="n">
        <v>7</v>
      </c>
      <c r="L18" s="29" t="n">
        <v>6</v>
      </c>
      <c r="M18" s="29" t="n">
        <v>2</v>
      </c>
      <c r="N18" s="29" t="n">
        <v>7</v>
      </c>
      <c r="O18" s="30" t="n">
        <f aca="false">SUM(B18:N18)</f>
        <v>54</v>
      </c>
      <c r="P18" s="31" t="n">
        <f aca="false">O18/개요!$C$7</f>
        <v>0.346153846153846</v>
      </c>
      <c r="Q18" s="30" t="str">
        <f aca="false">IF(P18&gt;=$B$23,"주연",IF(P18&gt;=$B$24,"준주연",IF(P18&gt;=$B$25,"핵심 조연","조연")))</f>
        <v>조연</v>
      </c>
      <c r="R18" s="30" t="str">
        <f aca="false">IF(MAX(B18:N18)&lt;=개요!$C$6,"OK","확인")</f>
        <v>OK</v>
      </c>
      <c r="S18" s="29" t="s">
        <v>288</v>
      </c>
    </row>
    <row r="19" customFormat="false" ht="15" hidden="false" customHeight="true" outlineLevel="0" collapsed="false">
      <c r="A19" s="32" t="s">
        <v>289</v>
      </c>
      <c r="B19" s="33" t="n">
        <f aca="false">SUM(B5:B18)</f>
        <v>67</v>
      </c>
      <c r="C19" s="33" t="n">
        <f aca="false">SUM(C5:C18)</f>
        <v>36</v>
      </c>
      <c r="D19" s="33" t="n">
        <f aca="false">SUM(D5:D18)</f>
        <v>39</v>
      </c>
      <c r="E19" s="33" t="n">
        <f aca="false">SUM(E5:E18)</f>
        <v>42</v>
      </c>
      <c r="F19" s="33" t="n">
        <f aca="false">SUM(F5:F18)</f>
        <v>40</v>
      </c>
      <c r="G19" s="33" t="n">
        <f aca="false">SUM(G5:G18)</f>
        <v>102</v>
      </c>
      <c r="H19" s="33" t="n">
        <f aca="false">SUM(H5:H18)</f>
        <v>126</v>
      </c>
      <c r="I19" s="33" t="n">
        <f aca="false">SUM(I5:I18)</f>
        <v>116</v>
      </c>
      <c r="J19" s="33" t="n">
        <f aca="false">SUM(J5:J18)</f>
        <v>109</v>
      </c>
      <c r="K19" s="33" t="n">
        <f aca="false">SUM(K5:K18)</f>
        <v>115</v>
      </c>
      <c r="L19" s="33" t="n">
        <f aca="false">SUM(L5:L18)</f>
        <v>117</v>
      </c>
      <c r="M19" s="33" t="n">
        <f aca="false">SUM(M5:M18)</f>
        <v>37</v>
      </c>
      <c r="N19" s="33" t="n">
        <f aca="false">SUM(N5:N18)</f>
        <v>108</v>
      </c>
      <c r="O19" s="33" t="n">
        <f aca="false">SUM(O5:O18)</f>
        <v>1054</v>
      </c>
      <c r="P19" s="34"/>
      <c r="Q19" s="34"/>
      <c r="R19" s="34"/>
      <c r="S19" s="33" t="n">
        <f aca="false">SUM(S5:S18)</f>
        <v>0</v>
      </c>
    </row>
    <row r="22" customFormat="false" ht="15" hidden="false" customHeight="true" outlineLevel="0" collapsed="false">
      <c r="A22" s="4"/>
      <c r="B22" s="5"/>
      <c r="C22" s="5"/>
    </row>
    <row r="23" customFormat="false" ht="15" hidden="false" customHeight="true" outlineLevel="0" collapsed="false">
      <c r="A23" s="13" t="s">
        <v>290</v>
      </c>
      <c r="B23" s="35" t="n">
        <v>0.69</v>
      </c>
      <c r="C23" s="21" t="s">
        <v>291</v>
      </c>
    </row>
    <row r="24" customFormat="false" ht="15" hidden="false" customHeight="true" outlineLevel="0" collapsed="false">
      <c r="A24" s="13" t="s">
        <v>292</v>
      </c>
      <c r="B24" s="35" t="n">
        <v>0.6</v>
      </c>
    </row>
    <row r="25" customFormat="false" ht="15" hidden="false" customHeight="true" outlineLevel="0" collapsed="false">
      <c r="A25" s="13" t="s">
        <v>293</v>
      </c>
      <c r="B25" s="35" t="n">
        <v>0.4</v>
      </c>
    </row>
    <row r="26" customFormat="false" ht="15" hidden="false" customHeight="true" outlineLevel="0" collapsed="false">
      <c r="A26" s="13" t="s">
        <v>294</v>
      </c>
      <c r="B26" s="15" t="s">
        <v>295</v>
      </c>
    </row>
    <row r="28" customFormat="false" ht="18" hidden="false" customHeight="true" outlineLevel="0" collapsed="false">
      <c r="A28" s="4" t="s">
        <v>296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customFormat="false" ht="29.25" hidden="false" customHeight="true" outlineLevel="0" collapsed="false">
      <c r="A29" s="36" t="s">
        <v>297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</row>
    <row r="30" customFormat="false" ht="16.5" hidden="false" customHeight="true" outlineLevel="0" collapsed="false">
      <c r="A30" s="36" t="s">
        <v>298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</row>
    <row r="31" customFormat="false" ht="16.5" hidden="false" customHeight="true" outlineLevel="0" collapsed="false">
      <c r="A31" s="36" t="s">
        <v>299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</row>
    <row r="32" customFormat="false" ht="16.5" hidden="false" customHeight="true" outlineLevel="0" collapsed="false">
      <c r="A32" s="36" t="s">
        <v>300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</row>
    <row r="33" customFormat="false" ht="16.5" hidden="false" customHeight="true" outlineLevel="0" collapsed="false">
      <c r="A33" s="36" t="s">
        <v>301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</row>
    <row r="34" customFormat="false" ht="16.5" hidden="false" customHeight="true" outlineLevel="0" collapsed="false">
      <c r="A34" s="36" t="s">
        <v>302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  <row r="35" customFormat="false" ht="16.5" hidden="false" customHeight="true" outlineLevel="0" collapsed="false">
      <c r="A35" s="36" t="s">
        <v>303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</row>
    <row r="36" customFormat="false" ht="16.5" hidden="false" customHeight="true" outlineLevel="0" collapsed="false">
      <c r="A36" s="36" t="s">
        <v>304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</row>
    <row r="37" customFormat="false" ht="16.5" hidden="false" customHeight="true" outlineLevel="0" collapsed="false">
      <c r="A37" s="36" t="s">
        <v>305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</row>
    <row r="38" customFormat="false" ht="16.5" hidden="false" customHeight="true" outlineLevel="0" collapsed="false">
      <c r="A38" s="36" t="s">
        <v>306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</row>
    <row r="39" customFormat="false" ht="16.5" hidden="false" customHeight="true" outlineLevel="0" collapsed="false">
      <c r="A39" s="36" t="s">
        <v>307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</sheetData>
  <mergeCells count="11">
    <mergeCell ref="A29:R29"/>
    <mergeCell ref="A30:R30"/>
    <mergeCell ref="A31:R31"/>
    <mergeCell ref="A32:R32"/>
    <mergeCell ref="A33:R33"/>
    <mergeCell ref="A34:R34"/>
    <mergeCell ref="A35:R35"/>
    <mergeCell ref="A36:R36"/>
    <mergeCell ref="A37:R37"/>
    <mergeCell ref="A38:R38"/>
    <mergeCell ref="A39:R39"/>
  </mergeCells>
  <conditionalFormatting sqref="B5:N18">
    <cfRule type="colorScale" priority="2">
      <colorScale>
        <cfvo type="num" val="0"/>
        <cfvo type="num" val="12"/>
        <color rgb="FFFFFFFF"/>
        <color rgb="FF9DC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N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14" min="3" style="1" width="9"/>
  </cols>
  <sheetData>
    <row r="1" customFormat="false" ht="24" hidden="false" customHeight="true" outlineLevel="0" collapsed="false">
      <c r="A1" s="22" t="s">
        <v>308</v>
      </c>
    </row>
    <row r="2" customFormat="false" ht="15" hidden="false" customHeight="true" outlineLevel="0" collapsed="false">
      <c r="A2" s="21" t="s">
        <v>309</v>
      </c>
    </row>
    <row r="4" customFormat="false" ht="18" hidden="false" customHeight="true" outlineLevel="0" collapsed="false">
      <c r="A4" s="37" t="s">
        <v>310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13" t="s">
        <v>311</v>
      </c>
      <c r="B5" s="29" t="n">
        <v>120</v>
      </c>
    </row>
    <row r="6" customFormat="false" ht="15" hidden="false" customHeight="true" outlineLevel="0" collapsed="false">
      <c r="A6" s="13" t="s">
        <v>312</v>
      </c>
      <c r="B6" s="38" t="n">
        <v>130</v>
      </c>
    </row>
    <row r="7" customFormat="false" ht="15" hidden="false" customHeight="true" outlineLevel="0" collapsed="false">
      <c r="A7" s="13" t="s">
        <v>7</v>
      </c>
      <c r="B7" s="30" t="n">
        <f aca="false">개요!$C$7</f>
        <v>156</v>
      </c>
    </row>
    <row r="8" customFormat="false" ht="15" hidden="false" customHeight="true" outlineLevel="0" collapsed="false">
      <c r="A8" s="13" t="s">
        <v>313</v>
      </c>
      <c r="B8" s="39" t="n">
        <f aca="false">B5*B7</f>
        <v>18720</v>
      </c>
    </row>
    <row r="9" customFormat="false" ht="15" hidden="false" customHeight="true" outlineLevel="0" collapsed="false">
      <c r="A9" s="13" t="s">
        <v>314</v>
      </c>
      <c r="B9" s="40" t="s">
        <v>315</v>
      </c>
    </row>
    <row r="11" customFormat="false" ht="18" hidden="false" customHeight="true" outlineLevel="0" collapsed="false">
      <c r="A11" s="37" t="s">
        <v>316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31.5" hidden="false" customHeight="true" outlineLevel="0" collapsed="false">
      <c r="A12" s="24" t="s">
        <v>317</v>
      </c>
      <c r="B12" s="24" t="s">
        <v>318</v>
      </c>
      <c r="C12" s="23" t="s">
        <v>319</v>
      </c>
      <c r="D12" s="23" t="s">
        <v>320</v>
      </c>
      <c r="E12" s="23" t="s">
        <v>321</v>
      </c>
      <c r="F12" s="23" t="s">
        <v>322</v>
      </c>
      <c r="G12" s="23" t="s">
        <v>323</v>
      </c>
      <c r="H12" s="23" t="s">
        <v>324</v>
      </c>
      <c r="I12" s="23" t="s">
        <v>325</v>
      </c>
      <c r="J12" s="23" t="s">
        <v>326</v>
      </c>
      <c r="K12" s="23" t="s">
        <v>327</v>
      </c>
      <c r="L12" s="23" t="s">
        <v>328</v>
      </c>
      <c r="M12" s="23" t="s">
        <v>329</v>
      </c>
      <c r="N12" s="23" t="s">
        <v>330</v>
      </c>
    </row>
    <row r="13" customFormat="false" ht="15" hidden="false" customHeight="true" outlineLevel="0" collapsed="false">
      <c r="A13" s="41" t="s">
        <v>107</v>
      </c>
      <c r="B13" s="29" t="n">
        <v>13</v>
      </c>
      <c r="C13" s="42" t="n">
        <v>0.13</v>
      </c>
      <c r="D13" s="42" t="n">
        <v>0.48</v>
      </c>
      <c r="E13" s="42" t="n">
        <v>0.03</v>
      </c>
      <c r="F13" s="42" t="n">
        <v>0.02</v>
      </c>
      <c r="G13" s="42" t="n">
        <v>0.02</v>
      </c>
      <c r="H13" s="42" t="n">
        <v>0.13</v>
      </c>
      <c r="I13" s="42" t="n">
        <v>0.14</v>
      </c>
      <c r="J13" s="42" t="n">
        <v>0.15</v>
      </c>
      <c r="K13" s="42" t="n">
        <v>0.08</v>
      </c>
      <c r="L13" s="42" t="n">
        <v>0.18</v>
      </c>
      <c r="M13" s="42" t="n">
        <v>0.15</v>
      </c>
      <c r="N13" s="42" t="n">
        <v>0.07</v>
      </c>
    </row>
    <row r="14" customFormat="false" ht="15" hidden="false" customHeight="true" outlineLevel="0" collapsed="false">
      <c r="A14" s="41" t="s">
        <v>120</v>
      </c>
      <c r="B14" s="29" t="n">
        <v>8</v>
      </c>
      <c r="C14" s="42" t="n">
        <v>0.12</v>
      </c>
      <c r="D14" s="42" t="n">
        <v>0.03</v>
      </c>
      <c r="E14" s="42" t="n">
        <v>0.46</v>
      </c>
      <c r="F14" s="42" t="n">
        <v>0.04</v>
      </c>
      <c r="G14" s="42" t="n">
        <v>0.03</v>
      </c>
      <c r="H14" s="42" t="n">
        <v>0.12</v>
      </c>
      <c r="I14" s="42" t="n">
        <v>0.07</v>
      </c>
      <c r="J14" s="42" t="n">
        <v>0.08</v>
      </c>
      <c r="K14" s="42" t="n">
        <v>0.11</v>
      </c>
      <c r="L14" s="42" t="n">
        <v>0.06</v>
      </c>
      <c r="M14" s="42" t="n">
        <v>0.09</v>
      </c>
      <c r="N14" s="42" t="n">
        <v>0.06</v>
      </c>
    </row>
    <row r="15" customFormat="false" ht="15" hidden="false" customHeight="true" outlineLevel="0" collapsed="false">
      <c r="A15" s="41" t="s">
        <v>132</v>
      </c>
      <c r="B15" s="29" t="n">
        <v>11</v>
      </c>
      <c r="C15" s="42" t="n">
        <v>0.12</v>
      </c>
      <c r="D15" s="42" t="n">
        <v>0.04</v>
      </c>
      <c r="E15" s="42" t="n">
        <v>0.04</v>
      </c>
      <c r="F15" s="42" t="n">
        <v>0.46</v>
      </c>
      <c r="G15" s="42" t="n">
        <v>0.04</v>
      </c>
      <c r="H15" s="42" t="n">
        <v>0.12</v>
      </c>
      <c r="I15" s="42" t="n">
        <v>0.1</v>
      </c>
      <c r="J15" s="42" t="n">
        <v>0.09</v>
      </c>
      <c r="K15" s="42" t="n">
        <v>0.15</v>
      </c>
      <c r="L15" s="42" t="n">
        <v>0.08</v>
      </c>
      <c r="M15" s="42" t="n">
        <v>0.11</v>
      </c>
      <c r="N15" s="42" t="n">
        <v>0.07</v>
      </c>
    </row>
    <row r="16" customFormat="false" ht="15" hidden="false" customHeight="true" outlineLevel="0" collapsed="false">
      <c r="A16" s="41" t="s">
        <v>143</v>
      </c>
      <c r="B16" s="29" t="n">
        <v>12</v>
      </c>
      <c r="C16" s="42" t="n">
        <v>0.12</v>
      </c>
      <c r="D16" s="42" t="n">
        <v>0.05</v>
      </c>
      <c r="E16" s="42" t="n">
        <v>0.03</v>
      </c>
      <c r="F16" s="42" t="n">
        <v>0.03</v>
      </c>
      <c r="G16" s="42" t="n">
        <v>0.46</v>
      </c>
      <c r="H16" s="42" t="n">
        <v>0.12</v>
      </c>
      <c r="I16" s="42" t="n">
        <v>0.06</v>
      </c>
      <c r="J16" s="42" t="n">
        <v>0.09</v>
      </c>
      <c r="K16" s="42" t="n">
        <v>0.08</v>
      </c>
      <c r="L16" s="42" t="n">
        <v>0.11</v>
      </c>
      <c r="M16" s="42" t="n">
        <v>0.08</v>
      </c>
      <c r="N16" s="42" t="n">
        <v>0.07</v>
      </c>
    </row>
    <row r="17" customFormat="false" ht="15" hidden="false" customHeight="true" outlineLevel="0" collapsed="false">
      <c r="A17" s="41" t="s">
        <v>155</v>
      </c>
      <c r="B17" s="29" t="n">
        <v>14</v>
      </c>
      <c r="C17" s="42" t="n">
        <v>0.08</v>
      </c>
      <c r="D17" s="42" t="n">
        <v>0.04</v>
      </c>
      <c r="E17" s="42" t="n">
        <v>0.04</v>
      </c>
      <c r="F17" s="42" t="n">
        <v>0.04</v>
      </c>
      <c r="G17" s="42" t="n">
        <v>0.04</v>
      </c>
      <c r="H17" s="42" t="n">
        <v>0.04</v>
      </c>
      <c r="I17" s="42" t="n">
        <v>0.06</v>
      </c>
      <c r="J17" s="42" t="n">
        <v>0.05</v>
      </c>
      <c r="K17" s="42" t="n">
        <v>0.04</v>
      </c>
      <c r="L17" s="42" t="n">
        <v>0.06</v>
      </c>
      <c r="M17" s="42" t="n">
        <v>0.04</v>
      </c>
      <c r="N17" s="42" t="n">
        <v>0.02</v>
      </c>
    </row>
    <row r="18" customFormat="false" ht="15" hidden="false" customHeight="true" outlineLevel="0" collapsed="false">
      <c r="A18" s="41" t="s">
        <v>179</v>
      </c>
      <c r="B18" s="29" t="n">
        <v>7</v>
      </c>
      <c r="C18" s="42" t="n">
        <v>0.02</v>
      </c>
      <c r="D18" s="42" t="n">
        <v>0.01</v>
      </c>
      <c r="E18" s="42" t="n">
        <v>0.01</v>
      </c>
      <c r="F18" s="42" t="n">
        <v>0.01</v>
      </c>
      <c r="G18" s="42" t="n">
        <v>0.01</v>
      </c>
      <c r="H18" s="42" t="n">
        <v>0.05</v>
      </c>
      <c r="I18" s="42" t="n">
        <v>0.06</v>
      </c>
      <c r="J18" s="42" t="n">
        <v>0.06</v>
      </c>
      <c r="K18" s="42" t="n">
        <v>0.04</v>
      </c>
      <c r="L18" s="42" t="n">
        <v>0.08</v>
      </c>
      <c r="M18" s="42" t="n">
        <v>0.07</v>
      </c>
      <c r="N18" s="42" t="n">
        <v>0.06</v>
      </c>
    </row>
    <row r="19" customFormat="false" ht="15" hidden="false" customHeight="true" outlineLevel="0" collapsed="false">
      <c r="A19" s="41" t="s">
        <v>201</v>
      </c>
      <c r="B19" s="29" t="n">
        <v>9</v>
      </c>
      <c r="C19" s="42" t="n">
        <v>0.02</v>
      </c>
      <c r="D19" s="42" t="n">
        <v>0.01</v>
      </c>
      <c r="E19" s="42" t="n">
        <v>0.01</v>
      </c>
      <c r="F19" s="42" t="n">
        <v>0.01</v>
      </c>
      <c r="G19" s="42" t="n">
        <v>0.01</v>
      </c>
      <c r="H19" s="42" t="n">
        <v>0.03</v>
      </c>
      <c r="I19" s="42" t="n">
        <v>0.06</v>
      </c>
      <c r="J19" s="42" t="n">
        <v>0.03</v>
      </c>
      <c r="K19" s="42" t="n">
        <v>0.04</v>
      </c>
      <c r="L19" s="42" t="n">
        <v>0.03</v>
      </c>
      <c r="M19" s="42" t="n">
        <v>0.05</v>
      </c>
      <c r="N19" s="42" t="n">
        <v>0.08</v>
      </c>
    </row>
    <row r="20" customFormat="false" ht="15" hidden="false" customHeight="true" outlineLevel="0" collapsed="false">
      <c r="A20" s="41" t="s">
        <v>190</v>
      </c>
      <c r="B20" s="29" t="n">
        <v>10</v>
      </c>
      <c r="C20" s="42" t="n">
        <v>0.02</v>
      </c>
      <c r="D20" s="42" t="n">
        <v>0.01</v>
      </c>
      <c r="E20" s="42" t="n">
        <v>0.03</v>
      </c>
      <c r="F20" s="42" t="n">
        <v>0.04</v>
      </c>
      <c r="G20" s="42" t="n">
        <v>0.01</v>
      </c>
      <c r="H20" s="42" t="n">
        <v>0.03</v>
      </c>
      <c r="I20" s="42" t="n">
        <v>0.08</v>
      </c>
      <c r="J20" s="42" t="n">
        <v>0.06</v>
      </c>
      <c r="K20" s="42" t="n">
        <v>0.07</v>
      </c>
      <c r="L20" s="42" t="n">
        <v>0.05</v>
      </c>
      <c r="M20" s="42" t="n">
        <v>0.06</v>
      </c>
      <c r="N20" s="42" t="n">
        <v>0.05</v>
      </c>
    </row>
    <row r="21" customFormat="false" ht="15" hidden="false" customHeight="true" outlineLevel="0" collapsed="false">
      <c r="A21" s="41" t="s">
        <v>258</v>
      </c>
      <c r="B21" s="29" t="n">
        <v>9</v>
      </c>
      <c r="C21" s="42" t="n">
        <v>0.01</v>
      </c>
      <c r="D21" s="42" t="n">
        <v>0.01</v>
      </c>
      <c r="E21" s="42" t="n">
        <v>0.04</v>
      </c>
      <c r="F21" s="42" t="n">
        <v>0.01</v>
      </c>
      <c r="G21" s="42" t="n">
        <v>0.04</v>
      </c>
      <c r="H21" s="42" t="n">
        <v>0.03</v>
      </c>
      <c r="I21" s="42" t="n">
        <v>0.05</v>
      </c>
      <c r="J21" s="42" t="n">
        <v>0.06</v>
      </c>
      <c r="K21" s="42" t="n">
        <v>0.04</v>
      </c>
      <c r="L21" s="42" t="n">
        <v>0.05</v>
      </c>
      <c r="M21" s="42" t="n">
        <v>0.04</v>
      </c>
      <c r="N21" s="42" t="n">
        <v>0.05</v>
      </c>
    </row>
    <row r="22" customFormat="false" ht="15" hidden="false" customHeight="true" outlineLevel="0" collapsed="false">
      <c r="A22" s="41" t="s">
        <v>213</v>
      </c>
      <c r="B22" s="29" t="n">
        <v>9</v>
      </c>
      <c r="C22" s="42" t="n">
        <v>0.12</v>
      </c>
      <c r="D22" s="42" t="n">
        <v>0.04</v>
      </c>
      <c r="E22" s="42" t="n">
        <v>0.03</v>
      </c>
      <c r="F22" s="42" t="n">
        <v>0.03</v>
      </c>
      <c r="G22" s="42" t="n">
        <v>0.03</v>
      </c>
      <c r="H22" s="42" t="n">
        <v>0.05</v>
      </c>
      <c r="I22" s="42" t="n">
        <v>0.04</v>
      </c>
      <c r="J22" s="42" t="n">
        <v>0.05</v>
      </c>
      <c r="K22" s="42" t="n">
        <v>0.03</v>
      </c>
      <c r="L22" s="42" t="n">
        <v>0.04</v>
      </c>
      <c r="M22" s="42" t="n">
        <v>0.04</v>
      </c>
      <c r="N22" s="42" t="n">
        <v>0.13</v>
      </c>
    </row>
    <row r="23" customFormat="false" ht="15" hidden="false" customHeight="true" outlineLevel="0" collapsed="false">
      <c r="A23" s="41" t="s">
        <v>224</v>
      </c>
      <c r="B23" s="29" t="n">
        <v>10</v>
      </c>
      <c r="C23" s="42" t="n">
        <v>0.01</v>
      </c>
      <c r="D23" s="42" t="n">
        <v>0.02</v>
      </c>
      <c r="E23" s="42" t="n">
        <v>0.01</v>
      </c>
      <c r="F23" s="42" t="n">
        <v>0.01</v>
      </c>
      <c r="G23" s="42" t="n">
        <v>0.09</v>
      </c>
      <c r="H23" s="42" t="n">
        <v>0.05</v>
      </c>
      <c r="I23" s="42" t="n">
        <v>0.06</v>
      </c>
      <c r="J23" s="42" t="n">
        <v>0.08</v>
      </c>
      <c r="K23" s="42" t="n">
        <v>0.08</v>
      </c>
      <c r="L23" s="42" t="n">
        <v>0.06</v>
      </c>
      <c r="M23" s="42" t="n">
        <v>0.05</v>
      </c>
      <c r="N23" s="42" t="n">
        <v>0.05</v>
      </c>
    </row>
    <row r="24" customFormat="false" ht="15" hidden="false" customHeight="true" outlineLevel="0" collapsed="false">
      <c r="A24" s="41" t="s">
        <v>167</v>
      </c>
      <c r="B24" s="29" t="n">
        <v>12</v>
      </c>
      <c r="C24" s="42" t="n">
        <v>0.02</v>
      </c>
      <c r="D24" s="42" t="n">
        <v>0.01</v>
      </c>
      <c r="E24" s="42" t="n">
        <v>0.01</v>
      </c>
      <c r="F24" s="42" t="n">
        <v>0.01</v>
      </c>
      <c r="G24" s="42" t="n">
        <v>0.01</v>
      </c>
      <c r="H24" s="42" t="n">
        <v>0.03</v>
      </c>
      <c r="I24" s="42" t="n">
        <v>0.03</v>
      </c>
      <c r="J24" s="42" t="n">
        <v>0.08</v>
      </c>
      <c r="K24" s="42" t="n">
        <v>0.05</v>
      </c>
      <c r="L24" s="42" t="n">
        <v>0.07</v>
      </c>
      <c r="M24" s="42" t="n">
        <v>0.05</v>
      </c>
      <c r="N24" s="42" t="n">
        <v>0.05</v>
      </c>
    </row>
    <row r="25" customFormat="false" ht="15" hidden="false" customHeight="true" outlineLevel="0" collapsed="false">
      <c r="A25" s="41" t="s">
        <v>235</v>
      </c>
      <c r="B25" s="29" t="n">
        <v>7</v>
      </c>
      <c r="C25" s="42" t="n">
        <v>0.17</v>
      </c>
      <c r="D25" s="42" t="n">
        <v>0.08</v>
      </c>
      <c r="E25" s="42" t="n">
        <v>0.08</v>
      </c>
      <c r="F25" s="42" t="n">
        <v>0.08</v>
      </c>
      <c r="G25" s="42" t="n">
        <v>0.08</v>
      </c>
      <c r="H25" s="42" t="n">
        <v>0.11</v>
      </c>
      <c r="I25" s="42" t="n">
        <v>0.06</v>
      </c>
      <c r="J25" s="42" t="n">
        <v>0.06</v>
      </c>
      <c r="K25" s="42" t="n">
        <v>0.09</v>
      </c>
      <c r="L25" s="42" t="n">
        <v>0.05</v>
      </c>
      <c r="M25" s="42" t="n">
        <v>0.08</v>
      </c>
      <c r="N25" s="42" t="n">
        <v>0.18</v>
      </c>
    </row>
    <row r="26" customFormat="false" ht="15" hidden="false" customHeight="true" outlineLevel="0" collapsed="false">
      <c r="A26" s="41" t="s">
        <v>246</v>
      </c>
      <c r="B26" s="29" t="n">
        <v>11</v>
      </c>
      <c r="C26" s="42" t="n">
        <v>0.01</v>
      </c>
      <c r="D26" s="42" t="n">
        <v>0.02</v>
      </c>
      <c r="E26" s="42" t="n">
        <v>0.01</v>
      </c>
      <c r="F26" s="42" t="n">
        <v>0.08</v>
      </c>
      <c r="G26" s="42" t="n">
        <v>0.01</v>
      </c>
      <c r="H26" s="42" t="n">
        <v>0.02</v>
      </c>
      <c r="I26" s="42" t="n">
        <v>0.06</v>
      </c>
      <c r="J26" s="42" t="n">
        <v>0.03</v>
      </c>
      <c r="K26" s="42" t="n">
        <v>0.05</v>
      </c>
      <c r="L26" s="42" t="n">
        <v>0.03</v>
      </c>
      <c r="M26" s="42" t="n">
        <v>0.05</v>
      </c>
      <c r="N26" s="42" t="n">
        <v>0.02</v>
      </c>
    </row>
    <row r="27" customFormat="false" ht="15" hidden="false" customHeight="true" outlineLevel="0" collapsed="false">
      <c r="A27" s="43" t="s">
        <v>331</v>
      </c>
      <c r="B27" s="29" t="n">
        <v>10</v>
      </c>
      <c r="C27" s="42" t="n">
        <v>0.03</v>
      </c>
      <c r="D27" s="42" t="n">
        <v>0.15</v>
      </c>
      <c r="E27" s="42" t="n">
        <v>0.17</v>
      </c>
      <c r="F27" s="42" t="n">
        <v>0.13</v>
      </c>
      <c r="G27" s="42" t="n">
        <v>0.12</v>
      </c>
      <c r="H27" s="42" t="n">
        <v>0.07</v>
      </c>
      <c r="I27" s="42" t="n">
        <v>0.07</v>
      </c>
      <c r="J27" s="42" t="n">
        <v>0.03</v>
      </c>
      <c r="K27" s="42" t="n">
        <v>0.05</v>
      </c>
      <c r="L27" s="42" t="n">
        <v>0.05</v>
      </c>
      <c r="M27" s="42" t="n">
        <v>0.04</v>
      </c>
      <c r="N27" s="42" t="n">
        <v>0.04</v>
      </c>
    </row>
    <row r="28" customFormat="false" ht="15" hidden="false" customHeight="true" outlineLevel="0" collapsed="false">
      <c r="A28" s="44" t="s">
        <v>284</v>
      </c>
      <c r="B28" s="45"/>
      <c r="C28" s="46" t="n">
        <f aca="false">SUM(C13:C27)</f>
        <v>1</v>
      </c>
      <c r="D28" s="46" t="n">
        <f aca="false">SUM(D13:D27)</f>
        <v>1</v>
      </c>
      <c r="E28" s="46" t="n">
        <f aca="false">SUM(E13:E27)</f>
        <v>1</v>
      </c>
      <c r="F28" s="46" t="n">
        <f aca="false">SUM(F13:F27)</f>
        <v>1</v>
      </c>
      <c r="G28" s="46" t="n">
        <f aca="false">SUM(G13:G27)</f>
        <v>1</v>
      </c>
      <c r="H28" s="46" t="n">
        <f aca="false">SUM(H13:H27)</f>
        <v>1</v>
      </c>
      <c r="I28" s="46" t="n">
        <f aca="false">SUM(I13:I27)</f>
        <v>1</v>
      </c>
      <c r="J28" s="46" t="n">
        <f aca="false">SUM(J13:J27)</f>
        <v>1</v>
      </c>
      <c r="K28" s="46" t="n">
        <f aca="false">SUM(K13:K27)</f>
        <v>1</v>
      </c>
      <c r="L28" s="46" t="n">
        <f aca="false">SUM(L13:L27)</f>
        <v>1</v>
      </c>
      <c r="M28" s="46" t="n">
        <f aca="false">SUM(M13:M27)</f>
        <v>1</v>
      </c>
      <c r="N28" s="46" t="n">
        <f aca="false">SUM(N13:N27)</f>
        <v>1</v>
      </c>
    </row>
    <row r="29" customFormat="false" ht="15" hidden="false" customHeight="true" outlineLevel="0" collapsed="false">
      <c r="A29" s="44" t="s">
        <v>332</v>
      </c>
      <c r="B29" s="45"/>
      <c r="C29" s="45" t="str">
        <f aca="false">IF(ROUND(C28,4)=1,"OK","확인")</f>
        <v>OK</v>
      </c>
      <c r="D29" s="45" t="str">
        <f aca="false">IF(ROUND(D28,4)=1,"OK","확인")</f>
        <v>OK</v>
      </c>
      <c r="E29" s="45" t="str">
        <f aca="false">IF(ROUND(E28,4)=1,"OK","확인")</f>
        <v>OK</v>
      </c>
      <c r="F29" s="45" t="str">
        <f aca="false">IF(ROUND(F28,4)=1,"OK","확인")</f>
        <v>OK</v>
      </c>
      <c r="G29" s="45" t="str">
        <f aca="false">IF(ROUND(G28,4)=1,"OK","확인")</f>
        <v>OK</v>
      </c>
      <c r="H29" s="45" t="str">
        <f aca="false">IF(ROUND(H28,4)=1,"OK","확인")</f>
        <v>OK</v>
      </c>
      <c r="I29" s="45" t="str">
        <f aca="false">IF(ROUND(I28,4)=1,"OK","확인")</f>
        <v>OK</v>
      </c>
      <c r="J29" s="45" t="str">
        <f aca="false">IF(ROUND(J28,4)=1,"OK","확인")</f>
        <v>OK</v>
      </c>
      <c r="K29" s="45" t="str">
        <f aca="false">IF(ROUND(K28,4)=1,"OK","확인")</f>
        <v>OK</v>
      </c>
      <c r="L29" s="45" t="str">
        <f aca="false">IF(ROUND(L28,4)=1,"OK","확인")</f>
        <v>OK</v>
      </c>
      <c r="M29" s="45" t="str">
        <f aca="false">IF(ROUND(M28,4)=1,"OK","확인")</f>
        <v>OK</v>
      </c>
      <c r="N29" s="45" t="str">
        <f aca="false">IF(ROUND(N28,4)=1,"OK","확인")</f>
        <v>OK</v>
      </c>
    </row>
    <row r="31" customFormat="false" ht="18" hidden="false" customHeight="true" outlineLevel="0" collapsed="false">
      <c r="A31" s="37" t="s">
        <v>333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31.5" hidden="false" customHeight="true" outlineLevel="0" collapsed="false">
      <c r="A32" s="24" t="s">
        <v>334</v>
      </c>
      <c r="B32" s="24" t="s">
        <v>335</v>
      </c>
      <c r="C32" s="24" t="s">
        <v>336</v>
      </c>
      <c r="D32" s="24" t="s">
        <v>337</v>
      </c>
      <c r="E32" s="24" t="s">
        <v>318</v>
      </c>
      <c r="F32" s="24" t="s">
        <v>338</v>
      </c>
      <c r="G32" s="24" t="s">
        <v>339</v>
      </c>
      <c r="H32" s="24" t="s">
        <v>340</v>
      </c>
      <c r="I32" s="24" t="s">
        <v>341</v>
      </c>
    </row>
    <row r="33" customFormat="false" ht="15" hidden="false" customHeight="true" outlineLevel="0" collapsed="false">
      <c r="A33" s="47" t="s">
        <v>342</v>
      </c>
      <c r="B33" s="48" t="n">
        <v>0.8</v>
      </c>
      <c r="C33" s="30" t="n">
        <f aca="false">$B$5</f>
        <v>120</v>
      </c>
      <c r="D33" s="39" t="n">
        <f aca="false">C33*개요!$C$6</f>
        <v>1440</v>
      </c>
      <c r="E33" s="49" t="n">
        <f aca="false">SUMPRODUCT(C$13:C$27,$B$13:$B$27)*B33</f>
        <v>8.128</v>
      </c>
      <c r="F33" s="39" t="n">
        <f aca="false">C33*E33</f>
        <v>975.36</v>
      </c>
      <c r="G33" s="39" t="n">
        <f aca="false">F33*개요!$C$6</f>
        <v>11704.32</v>
      </c>
      <c r="H33" s="49" t="n">
        <f aca="false">F33/$B$6</f>
        <v>7.50276923076923</v>
      </c>
      <c r="I33" s="49" t="n">
        <f aca="false">H33*개요!$C$6/60</f>
        <v>1.50055384615385</v>
      </c>
    </row>
    <row r="34" customFormat="false" ht="15" hidden="false" customHeight="true" outlineLevel="0" collapsed="false">
      <c r="A34" s="47" t="s">
        <v>343</v>
      </c>
      <c r="B34" s="48" t="n">
        <v>1</v>
      </c>
      <c r="C34" s="30" t="n">
        <f aca="false">$B$5</f>
        <v>120</v>
      </c>
      <c r="D34" s="39" t="n">
        <f aca="false">C34*개요!$C$6</f>
        <v>1440</v>
      </c>
      <c r="E34" s="49" t="n">
        <f aca="false">SUMPRODUCT(D$13:D$27,$B$13:$B$27)*B34</f>
        <v>11.39</v>
      </c>
      <c r="F34" s="39" t="n">
        <f aca="false">C34*E34</f>
        <v>1366.8</v>
      </c>
      <c r="G34" s="39" t="n">
        <f aca="false">F34*개요!$C$6</f>
        <v>16401.6</v>
      </c>
      <c r="H34" s="49" t="n">
        <f aca="false">F34/$B$6</f>
        <v>10.5138461538462</v>
      </c>
      <c r="I34" s="49" t="n">
        <f aca="false">H34*개요!$C$6/60</f>
        <v>2.10276923076923</v>
      </c>
    </row>
    <row r="35" customFormat="false" ht="15" hidden="false" customHeight="true" outlineLevel="0" collapsed="false">
      <c r="A35" s="47" t="s">
        <v>344</v>
      </c>
      <c r="B35" s="48" t="n">
        <v>1</v>
      </c>
      <c r="C35" s="30" t="n">
        <f aca="false">$B$5</f>
        <v>120</v>
      </c>
      <c r="D35" s="39" t="n">
        <f aca="false">C35*개요!$C$6</f>
        <v>1440</v>
      </c>
      <c r="E35" s="49" t="n">
        <f aca="false">SUMPRODUCT(E$13:E$27,$B$13:$B$27)*B35</f>
        <v>9.11</v>
      </c>
      <c r="F35" s="39" t="n">
        <f aca="false">C35*E35</f>
        <v>1093.2</v>
      </c>
      <c r="G35" s="39" t="n">
        <f aca="false">F35*개요!$C$6</f>
        <v>13118.4</v>
      </c>
      <c r="H35" s="49" t="n">
        <f aca="false">F35/$B$6</f>
        <v>8.40923076923077</v>
      </c>
      <c r="I35" s="49" t="n">
        <f aca="false">H35*개요!$C$6/60</f>
        <v>1.68184615384615</v>
      </c>
    </row>
    <row r="36" customFormat="false" ht="15" hidden="false" customHeight="true" outlineLevel="0" collapsed="false">
      <c r="A36" s="47" t="s">
        <v>345</v>
      </c>
      <c r="B36" s="48" t="n">
        <v>1</v>
      </c>
      <c r="C36" s="30" t="n">
        <f aca="false">$B$5</f>
        <v>120</v>
      </c>
      <c r="D36" s="39" t="n">
        <f aca="false">C36*개요!$C$6</f>
        <v>1440</v>
      </c>
      <c r="E36" s="49" t="n">
        <f aca="false">SUMPRODUCT(F$13:F$27,$B$13:$B$27)*B36</f>
        <v>10.44</v>
      </c>
      <c r="F36" s="39" t="n">
        <f aca="false">C36*E36</f>
        <v>1252.8</v>
      </c>
      <c r="G36" s="39" t="n">
        <f aca="false">F36*개요!$C$6</f>
        <v>15033.6</v>
      </c>
      <c r="H36" s="49" t="n">
        <f aca="false">F36/$B$6</f>
        <v>9.63692307692308</v>
      </c>
      <c r="I36" s="49" t="n">
        <f aca="false">H36*개요!$C$6/60</f>
        <v>1.92738461538462</v>
      </c>
    </row>
    <row r="37" customFormat="false" ht="15" hidden="false" customHeight="true" outlineLevel="0" collapsed="false">
      <c r="A37" s="47" t="s">
        <v>346</v>
      </c>
      <c r="B37" s="48" t="n">
        <v>1</v>
      </c>
      <c r="C37" s="30" t="n">
        <f aca="false">$B$5</f>
        <v>120</v>
      </c>
      <c r="D37" s="39" t="n">
        <f aca="false">C37*개요!$C$6</f>
        <v>1440</v>
      </c>
      <c r="E37" s="49" t="n">
        <f aca="false">SUMPRODUCT(G$13:G$27,$B$13:$B$27)*B37</f>
        <v>10.8</v>
      </c>
      <c r="F37" s="39" t="n">
        <f aca="false">C37*E37</f>
        <v>1296</v>
      </c>
      <c r="G37" s="39" t="n">
        <f aca="false">F37*개요!$C$6</f>
        <v>15552</v>
      </c>
      <c r="H37" s="49" t="n">
        <f aca="false">F37/$B$6</f>
        <v>9.96923076923077</v>
      </c>
      <c r="I37" s="49" t="n">
        <f aca="false">H37*개요!$C$6/60</f>
        <v>1.99384615384615</v>
      </c>
    </row>
    <row r="38" customFormat="false" ht="15" hidden="false" customHeight="true" outlineLevel="0" collapsed="false">
      <c r="A38" s="47" t="s">
        <v>347</v>
      </c>
      <c r="B38" s="48" t="n">
        <v>1</v>
      </c>
      <c r="C38" s="30" t="n">
        <f aca="false">$B$5</f>
        <v>120</v>
      </c>
      <c r="D38" s="39" t="n">
        <f aca="false">C38*개요!$C$6</f>
        <v>1440</v>
      </c>
      <c r="E38" s="49" t="n">
        <f aca="false">SUMPRODUCT(H$13:H$27,$B$13:$B$27)*B38</f>
        <v>10.16</v>
      </c>
      <c r="F38" s="39" t="n">
        <f aca="false">C38*E38</f>
        <v>1219.2</v>
      </c>
      <c r="G38" s="39" t="n">
        <f aca="false">F38*개요!$C$6</f>
        <v>14630.4</v>
      </c>
      <c r="H38" s="49" t="n">
        <f aca="false">F38/$B$6</f>
        <v>9.37846153846154</v>
      </c>
      <c r="I38" s="49" t="n">
        <f aca="false">H38*개요!$C$6/60</f>
        <v>1.87569230769231</v>
      </c>
    </row>
    <row r="39" customFormat="false" ht="15" hidden="false" customHeight="true" outlineLevel="0" collapsed="false">
      <c r="A39" s="47" t="s">
        <v>348</v>
      </c>
      <c r="B39" s="48" t="n">
        <v>1</v>
      </c>
      <c r="C39" s="30" t="n">
        <f aca="false">$B$5</f>
        <v>120</v>
      </c>
      <c r="D39" s="39" t="n">
        <f aca="false">C39*개요!$C$6</f>
        <v>1440</v>
      </c>
      <c r="E39" s="49" t="n">
        <f aca="false">SUMPRODUCT(I$13:I$27,$B$13:$B$27)*B39</f>
        <v>10.35</v>
      </c>
      <c r="F39" s="39" t="n">
        <f aca="false">C39*E39</f>
        <v>1242</v>
      </c>
      <c r="G39" s="39" t="n">
        <f aca="false">F39*개요!$C$6</f>
        <v>14904</v>
      </c>
      <c r="H39" s="49" t="n">
        <f aca="false">F39/$B$6</f>
        <v>9.55384615384615</v>
      </c>
      <c r="I39" s="49" t="n">
        <f aca="false">H39*개요!$C$6/60</f>
        <v>1.91076923076923</v>
      </c>
    </row>
    <row r="40" customFormat="false" ht="15" hidden="false" customHeight="true" outlineLevel="0" collapsed="false">
      <c r="A40" s="47" t="s">
        <v>349</v>
      </c>
      <c r="B40" s="48" t="n">
        <v>1.1</v>
      </c>
      <c r="C40" s="30" t="n">
        <f aca="false">$B$5</f>
        <v>120</v>
      </c>
      <c r="D40" s="39" t="n">
        <f aca="false">C40*개요!$C$6</f>
        <v>1440</v>
      </c>
      <c r="E40" s="49" t="n">
        <f aca="false">SUMPRODUCT(J$13:J$27,$B$13:$B$27)*B40</f>
        <v>11.495</v>
      </c>
      <c r="F40" s="39" t="n">
        <f aca="false">C40*E40</f>
        <v>1379.4</v>
      </c>
      <c r="G40" s="39" t="n">
        <f aca="false">F40*개요!$C$6</f>
        <v>16552.8</v>
      </c>
      <c r="H40" s="49" t="n">
        <f aca="false">F40/$B$6</f>
        <v>10.6107692307692</v>
      </c>
      <c r="I40" s="49" t="n">
        <f aca="false">H40*개요!$C$6/60</f>
        <v>2.12215384615385</v>
      </c>
    </row>
    <row r="41" customFormat="false" ht="15" hidden="false" customHeight="true" outlineLevel="0" collapsed="false">
      <c r="A41" s="47" t="s">
        <v>350</v>
      </c>
      <c r="B41" s="48" t="n">
        <v>1.1</v>
      </c>
      <c r="C41" s="30" t="n">
        <f aca="false">$B$5</f>
        <v>120</v>
      </c>
      <c r="D41" s="39" t="n">
        <f aca="false">C41*개요!$C$6</f>
        <v>1440</v>
      </c>
      <c r="E41" s="49" t="n">
        <f aca="false">SUMPRODUCT(K$13:K$27,$B$13:$B$27)*B41</f>
        <v>11.154</v>
      </c>
      <c r="F41" s="39" t="n">
        <f aca="false">C41*E41</f>
        <v>1338.48</v>
      </c>
      <c r="G41" s="39" t="n">
        <f aca="false">F41*개요!$C$6</f>
        <v>16061.76</v>
      </c>
      <c r="H41" s="49" t="n">
        <f aca="false">F41/$B$6</f>
        <v>10.296</v>
      </c>
      <c r="I41" s="49" t="n">
        <f aca="false">H41*개요!$C$6/60</f>
        <v>2.0592</v>
      </c>
    </row>
    <row r="42" customFormat="false" ht="15" hidden="false" customHeight="true" outlineLevel="0" collapsed="false">
      <c r="A42" s="47" t="s">
        <v>351</v>
      </c>
      <c r="B42" s="48" t="n">
        <v>1.2</v>
      </c>
      <c r="C42" s="30" t="n">
        <f aca="false">$B$5</f>
        <v>120</v>
      </c>
      <c r="D42" s="39" t="n">
        <f aca="false">C42*개요!$C$6</f>
        <v>1440</v>
      </c>
      <c r="E42" s="49" t="n">
        <f aca="false">SUMPRODUCT(L$13:L$27,$B$13:$B$27)*B42</f>
        <v>12.744</v>
      </c>
      <c r="F42" s="39" t="n">
        <f aca="false">C42*E42</f>
        <v>1529.28</v>
      </c>
      <c r="G42" s="39" t="n">
        <f aca="false">F42*개요!$C$6</f>
        <v>18351.36</v>
      </c>
      <c r="H42" s="49" t="n">
        <f aca="false">F42/$B$6</f>
        <v>11.7636923076923</v>
      </c>
      <c r="I42" s="49" t="n">
        <f aca="false">H42*개요!$C$6/60</f>
        <v>2.35273846153846</v>
      </c>
    </row>
    <row r="43" customFormat="false" ht="15" hidden="false" customHeight="true" outlineLevel="0" collapsed="false">
      <c r="A43" s="47" t="s">
        <v>352</v>
      </c>
      <c r="B43" s="48" t="n">
        <v>1.2</v>
      </c>
      <c r="C43" s="30" t="n">
        <f aca="false">$B$5</f>
        <v>120</v>
      </c>
      <c r="D43" s="39" t="n">
        <f aca="false">C43*개요!$C$6</f>
        <v>1440</v>
      </c>
      <c r="E43" s="49" t="n">
        <f aca="false">SUMPRODUCT(M$13:M$27,$B$13:$B$27)*B43</f>
        <v>12.324</v>
      </c>
      <c r="F43" s="39" t="n">
        <f aca="false">C43*E43</f>
        <v>1478.88</v>
      </c>
      <c r="G43" s="39" t="n">
        <f aca="false">F43*개요!$C$6</f>
        <v>17746.56</v>
      </c>
      <c r="H43" s="49" t="n">
        <f aca="false">F43/$B$6</f>
        <v>11.376</v>
      </c>
      <c r="I43" s="49" t="n">
        <f aca="false">H43*개요!$C$6/60</f>
        <v>2.2752</v>
      </c>
    </row>
    <row r="44" customFormat="false" ht="15" hidden="false" customHeight="true" outlineLevel="0" collapsed="false">
      <c r="A44" s="47" t="s">
        <v>353</v>
      </c>
      <c r="B44" s="48" t="n">
        <v>0.8</v>
      </c>
      <c r="C44" s="30" t="n">
        <f aca="false">$B$5</f>
        <v>120</v>
      </c>
      <c r="D44" s="39" t="n">
        <f aca="false">C44*개요!$C$6</f>
        <v>1440</v>
      </c>
      <c r="E44" s="49" t="n">
        <f aca="false">SUMPRODUCT(N$13:N$27,$B$13:$B$27)*B44</f>
        <v>7.616</v>
      </c>
      <c r="F44" s="39" t="n">
        <f aca="false">C44*E44</f>
        <v>913.92</v>
      </c>
      <c r="G44" s="39" t="n">
        <f aca="false">F44*개요!$C$6</f>
        <v>10967.04</v>
      </c>
      <c r="H44" s="49" t="n">
        <f aca="false">F44/$B$6</f>
        <v>7.03015384615385</v>
      </c>
      <c r="I44" s="49" t="n">
        <f aca="false">H44*개요!$C$6/60</f>
        <v>1.40603076923077</v>
      </c>
    </row>
    <row r="45" customFormat="false" ht="15" hidden="false" customHeight="true" outlineLevel="0" collapsed="false">
      <c r="A45" s="50" t="s">
        <v>354</v>
      </c>
      <c r="B45" s="50"/>
      <c r="C45" s="50"/>
      <c r="D45" s="51" t="n">
        <f aca="false">SUM(D33:D44)</f>
        <v>17280</v>
      </c>
      <c r="E45" s="52" t="n">
        <f aca="false">G45/D45</f>
        <v>10.4759166666667</v>
      </c>
      <c r="F45" s="51" t="n">
        <f aca="false">AVERAGE(F33:F44)</f>
        <v>1257.11</v>
      </c>
      <c r="G45" s="51" t="n">
        <f aca="false">SUM(G33:G44)</f>
        <v>181023.84</v>
      </c>
      <c r="H45" s="52" t="n">
        <f aca="false">AVERAGE(H33:H44)</f>
        <v>9.67007692307692</v>
      </c>
      <c r="I45" s="52" t="n">
        <f aca="false">SUM(I33:I44)</f>
        <v>23.2081846153846</v>
      </c>
    </row>
    <row r="46" customFormat="false" ht="15" hidden="false" customHeight="true" outlineLevel="0" collapsed="false">
      <c r="A46" s="21" t="s">
        <v>355</v>
      </c>
    </row>
    <row r="48" customFormat="false" ht="18" hidden="false" customHeight="true" outlineLevel="0" collapsed="false">
      <c r="A48" s="37" t="s">
        <v>356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9.5" hidden="false" customHeight="true" outlineLevel="0" collapsed="false">
      <c r="A49" s="24" t="s">
        <v>357</v>
      </c>
      <c r="B49" s="24" t="s">
        <v>358</v>
      </c>
      <c r="C49" s="24" t="s">
        <v>359</v>
      </c>
      <c r="D49" s="24" t="s">
        <v>360</v>
      </c>
      <c r="E49" s="24" t="s">
        <v>361</v>
      </c>
      <c r="F49" s="24" t="s">
        <v>362</v>
      </c>
      <c r="G49" s="24" t="s">
        <v>284</v>
      </c>
      <c r="H49" s="24" t="s">
        <v>332</v>
      </c>
      <c r="I49" s="24" t="s">
        <v>363</v>
      </c>
      <c r="J49" s="24"/>
      <c r="K49" s="24"/>
      <c r="L49" s="24"/>
      <c r="M49" s="24"/>
      <c r="N49" s="24"/>
    </row>
    <row r="50" customFormat="false" ht="18" hidden="false" customHeight="true" outlineLevel="0" collapsed="false">
      <c r="A50" s="53" t="s">
        <v>364</v>
      </c>
      <c r="B50" s="54" t="n">
        <v>15</v>
      </c>
      <c r="C50" s="54" t="n">
        <v>35</v>
      </c>
      <c r="D50" s="54" t="n">
        <v>30</v>
      </c>
      <c r="E50" s="54" t="n">
        <v>25</v>
      </c>
      <c r="F50" s="54" t="n">
        <v>15</v>
      </c>
      <c r="G50" s="55" t="n">
        <f aca="false">SUM(B50:F50)</f>
        <v>120</v>
      </c>
      <c r="H50" s="55" t="str">
        <f aca="false">IF(G50=$B$5,"OK","확인")</f>
        <v>OK</v>
      </c>
      <c r="I50" s="56" t="s">
        <v>365</v>
      </c>
      <c r="J50" s="56"/>
      <c r="K50" s="56"/>
      <c r="L50" s="56"/>
      <c r="M50" s="56"/>
      <c r="N50" s="56"/>
    </row>
    <row r="51" customFormat="false" ht="18" hidden="false" customHeight="true" outlineLevel="0" collapsed="false">
      <c r="A51" s="53" t="s">
        <v>366</v>
      </c>
      <c r="B51" s="54" t="n">
        <v>15</v>
      </c>
      <c r="C51" s="54" t="n">
        <v>30</v>
      </c>
      <c r="D51" s="54" t="n">
        <v>30</v>
      </c>
      <c r="E51" s="54" t="n">
        <v>25</v>
      </c>
      <c r="F51" s="54" t="n">
        <v>20</v>
      </c>
      <c r="G51" s="55" t="n">
        <f aca="false">SUM(B51:F51)</f>
        <v>120</v>
      </c>
      <c r="H51" s="55" t="str">
        <f aca="false">IF(G51=$B$5,"OK","확인")</f>
        <v>OK</v>
      </c>
      <c r="I51" s="57" t="s">
        <v>367</v>
      </c>
      <c r="J51" s="57"/>
      <c r="K51" s="57"/>
      <c r="L51" s="57"/>
      <c r="M51" s="57"/>
      <c r="N51" s="57"/>
    </row>
    <row r="52" customFormat="false" ht="18" hidden="false" customHeight="true" outlineLevel="0" collapsed="false">
      <c r="A52" s="53" t="s">
        <v>368</v>
      </c>
      <c r="B52" s="54" t="n">
        <v>15</v>
      </c>
      <c r="C52" s="54" t="n">
        <v>30</v>
      </c>
      <c r="D52" s="54" t="n">
        <v>25</v>
      </c>
      <c r="E52" s="54" t="n">
        <v>35</v>
      </c>
      <c r="F52" s="54" t="n">
        <v>15</v>
      </c>
      <c r="G52" s="55" t="n">
        <f aca="false">SUM(B52:F52)</f>
        <v>120</v>
      </c>
      <c r="H52" s="55" t="str">
        <f aca="false">IF(G52=$B$5,"OK","확인")</f>
        <v>OK</v>
      </c>
      <c r="I52" s="57" t="s">
        <v>369</v>
      </c>
      <c r="J52" s="57"/>
      <c r="K52" s="57"/>
      <c r="L52" s="57"/>
      <c r="M52" s="57"/>
      <c r="N52" s="57"/>
    </row>
    <row r="53" customFormat="false" ht="30" hidden="false" customHeight="true" outlineLevel="0" collapsed="false">
      <c r="A53" s="53" t="s">
        <v>370</v>
      </c>
      <c r="B53" s="54" t="n">
        <v>15</v>
      </c>
      <c r="C53" s="54" t="n">
        <v>30</v>
      </c>
      <c r="D53" s="54" t="n">
        <v>25</v>
      </c>
      <c r="E53" s="54" t="n">
        <v>35</v>
      </c>
      <c r="F53" s="54" t="n">
        <v>15</v>
      </c>
      <c r="G53" s="55" t="n">
        <f aca="false">SUM(B53:F53)</f>
        <v>120</v>
      </c>
      <c r="H53" s="55" t="str">
        <f aca="false">IF(G53=$B$5,"OK","확인")</f>
        <v>OK</v>
      </c>
      <c r="I53" s="57" t="s">
        <v>371</v>
      </c>
      <c r="J53" s="57"/>
      <c r="K53" s="57"/>
      <c r="L53" s="57"/>
      <c r="M53" s="57"/>
      <c r="N53" s="57"/>
    </row>
    <row r="54" customFormat="false" ht="18" hidden="false" customHeight="true" outlineLevel="0" collapsed="false">
      <c r="A54" s="53" t="s">
        <v>372</v>
      </c>
      <c r="B54" s="54" t="n">
        <v>10</v>
      </c>
      <c r="C54" s="54" t="n">
        <v>30</v>
      </c>
      <c r="D54" s="54" t="n">
        <v>30</v>
      </c>
      <c r="E54" s="54" t="n">
        <v>40</v>
      </c>
      <c r="F54" s="54" t="n">
        <v>10</v>
      </c>
      <c r="G54" s="55" t="n">
        <f aca="false">SUM(B54:F54)</f>
        <v>120</v>
      </c>
      <c r="H54" s="55" t="str">
        <f aca="false">IF(G54=$B$5,"OK","확인")</f>
        <v>OK</v>
      </c>
      <c r="I54" s="57" t="s">
        <v>373</v>
      </c>
      <c r="J54" s="57"/>
      <c r="K54" s="57"/>
      <c r="L54" s="57"/>
      <c r="M54" s="57"/>
      <c r="N54" s="57"/>
    </row>
    <row r="55" customFormat="false" ht="18" hidden="false" customHeight="true" outlineLevel="0" collapsed="false">
      <c r="A55" s="53" t="s">
        <v>374</v>
      </c>
      <c r="B55" s="54" t="n">
        <v>20</v>
      </c>
      <c r="C55" s="54" t="n">
        <v>25</v>
      </c>
      <c r="D55" s="54" t="n">
        <v>25</v>
      </c>
      <c r="E55" s="54" t="n">
        <v>25</v>
      </c>
      <c r="F55" s="54" t="n">
        <v>25</v>
      </c>
      <c r="G55" s="55" t="n">
        <f aca="false">SUM(B55:F55)</f>
        <v>120</v>
      </c>
      <c r="H55" s="55" t="str">
        <f aca="false">IF(G55=$B$5,"OK","확인")</f>
        <v>OK</v>
      </c>
      <c r="I55" s="57" t="s">
        <v>375</v>
      </c>
      <c r="J55" s="57"/>
      <c r="K55" s="57"/>
      <c r="L55" s="57"/>
      <c r="M55" s="57"/>
      <c r="N55" s="57"/>
    </row>
    <row r="57" customFormat="false" ht="18" hidden="false" customHeight="true" outlineLevel="0" collapsed="false">
      <c r="A57" s="37" t="s">
        <v>376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6.5" hidden="false" customHeight="true" outlineLevel="0" collapsed="false">
      <c r="A58" s="36" t="s">
        <v>377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customFormat="false" ht="16.5" hidden="false" customHeight="true" outlineLevel="0" collapsed="false">
      <c r="A59" s="36" t="s">
        <v>378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customFormat="false" ht="16.5" hidden="false" customHeight="true" outlineLevel="0" collapsed="false">
      <c r="A60" s="36" t="s">
        <v>379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customFormat="false" ht="16.5" hidden="false" customHeight="true" outlineLevel="0" collapsed="false">
      <c r="A61" s="36" t="s">
        <v>380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</row>
    <row r="62" customFormat="false" ht="16.5" hidden="false" customHeight="true" outlineLevel="0" collapsed="false">
      <c r="A62" s="36" t="s">
        <v>381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</row>
    <row r="63" customFormat="false" ht="16.5" hidden="false" customHeight="true" outlineLevel="0" collapsed="false">
      <c r="A63" s="36" t="s">
        <v>382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</row>
  </sheetData>
  <mergeCells count="13">
    <mergeCell ref="I49:N49"/>
    <mergeCell ref="I50:N50"/>
    <mergeCell ref="I51:N51"/>
    <mergeCell ref="I52:N52"/>
    <mergeCell ref="I53:N53"/>
    <mergeCell ref="I54:N54"/>
    <mergeCell ref="I55:N55"/>
    <mergeCell ref="A58:N58"/>
    <mergeCell ref="A59:N59"/>
    <mergeCell ref="A60:N60"/>
    <mergeCell ref="A61:N61"/>
    <mergeCell ref="A62:N62"/>
    <mergeCell ref="A63:N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56"/>
    <col collapsed="false" customWidth="true" hidden="false" outlineLevel="0" max="6" min="6" style="1" width="11"/>
    <col collapsed="false" customWidth="true" hidden="false" outlineLevel="0" max="7" min="7" style="1" width="48"/>
    <col collapsed="false" customWidth="true" hidden="false" outlineLevel="0" max="8" min="8" style="1" width="10"/>
  </cols>
  <sheetData>
    <row r="1" customFormat="false" ht="24" hidden="false" customHeight="true" outlineLevel="0" collapsed="false">
      <c r="A1" s="2" t="s">
        <v>383</v>
      </c>
    </row>
    <row r="2" customFormat="false" ht="15" hidden="false" customHeight="true" outlineLevel="0" collapsed="false">
      <c r="A2" s="21" t="s">
        <v>384</v>
      </c>
    </row>
    <row r="4" customFormat="false" ht="29.25" hidden="false" customHeight="true" outlineLevel="0" collapsed="false">
      <c r="A4" s="24" t="s">
        <v>334</v>
      </c>
      <c r="B4" s="24" t="s">
        <v>385</v>
      </c>
      <c r="C4" s="24" t="s">
        <v>386</v>
      </c>
      <c r="D4" s="24" t="s">
        <v>387</v>
      </c>
      <c r="E4" s="24" t="s">
        <v>388</v>
      </c>
      <c r="F4" s="24" t="s">
        <v>389</v>
      </c>
      <c r="G4" s="24" t="s">
        <v>390</v>
      </c>
      <c r="H4" s="24" t="s">
        <v>391</v>
      </c>
    </row>
    <row r="5" customFormat="false" ht="42" hidden="false" customHeight="true" outlineLevel="0" collapsed="false">
      <c r="A5" s="25" t="n">
        <v>1</v>
      </c>
      <c r="B5" s="8" t="s">
        <v>392</v>
      </c>
      <c r="C5" s="9" t="s">
        <v>393</v>
      </c>
      <c r="D5" s="8" t="s">
        <v>394</v>
      </c>
      <c r="E5" s="9" t="s">
        <v>395</v>
      </c>
      <c r="F5" s="25" t="s">
        <v>396</v>
      </c>
      <c r="G5" s="9" t="s">
        <v>397</v>
      </c>
      <c r="H5" s="27" t="s">
        <v>398</v>
      </c>
    </row>
    <row r="6" customFormat="false" ht="29.25" hidden="false" customHeight="true" outlineLevel="0" collapsed="false">
      <c r="A6" s="25" t="n">
        <v>2</v>
      </c>
      <c r="B6" s="8" t="s">
        <v>399</v>
      </c>
      <c r="C6" s="9" t="s">
        <v>400</v>
      </c>
      <c r="D6" s="8" t="s">
        <v>401</v>
      </c>
      <c r="E6" s="9" t="s">
        <v>402</v>
      </c>
      <c r="F6" s="25" t="s">
        <v>403</v>
      </c>
      <c r="G6" s="9" t="s">
        <v>404</v>
      </c>
      <c r="H6" s="27" t="s">
        <v>405</v>
      </c>
    </row>
    <row r="7" customFormat="false" ht="29.25" hidden="false" customHeight="true" outlineLevel="0" collapsed="false">
      <c r="A7" s="25" t="n">
        <v>3</v>
      </c>
      <c r="B7" s="8" t="s">
        <v>406</v>
      </c>
      <c r="C7" s="9" t="s">
        <v>407</v>
      </c>
      <c r="D7" s="8" t="s">
        <v>408</v>
      </c>
      <c r="E7" s="9" t="s">
        <v>409</v>
      </c>
      <c r="F7" s="25" t="s">
        <v>403</v>
      </c>
      <c r="G7" s="9" t="s">
        <v>410</v>
      </c>
      <c r="H7" s="27" t="s">
        <v>405</v>
      </c>
    </row>
    <row r="8" customFormat="false" ht="29.25" hidden="false" customHeight="true" outlineLevel="0" collapsed="false">
      <c r="A8" s="25" t="n">
        <v>4</v>
      </c>
      <c r="B8" s="8" t="s">
        <v>411</v>
      </c>
      <c r="C8" s="9" t="s">
        <v>412</v>
      </c>
      <c r="D8" s="8" t="s">
        <v>413</v>
      </c>
      <c r="E8" s="9" t="s">
        <v>414</v>
      </c>
      <c r="F8" s="25" t="s">
        <v>403</v>
      </c>
      <c r="G8" s="9" t="s">
        <v>415</v>
      </c>
      <c r="H8" s="27" t="s">
        <v>405</v>
      </c>
    </row>
    <row r="9" customFormat="false" ht="29.25" hidden="false" customHeight="true" outlineLevel="0" collapsed="false">
      <c r="A9" s="25" t="n">
        <v>5</v>
      </c>
      <c r="B9" s="8" t="s">
        <v>416</v>
      </c>
      <c r="C9" s="9" t="s">
        <v>417</v>
      </c>
      <c r="D9" s="8" t="s">
        <v>418</v>
      </c>
      <c r="E9" s="9" t="s">
        <v>419</v>
      </c>
      <c r="F9" s="25" t="s">
        <v>403</v>
      </c>
      <c r="G9" s="9" t="s">
        <v>420</v>
      </c>
      <c r="H9" s="27" t="s">
        <v>405</v>
      </c>
    </row>
    <row r="10" customFormat="false" ht="29.25" hidden="false" customHeight="true" outlineLevel="0" collapsed="false">
      <c r="A10" s="25" t="n">
        <v>6</v>
      </c>
      <c r="B10" s="8" t="s">
        <v>421</v>
      </c>
      <c r="C10" s="9" t="s">
        <v>422</v>
      </c>
      <c r="D10" s="8" t="s">
        <v>423</v>
      </c>
      <c r="E10" s="9" t="s">
        <v>424</v>
      </c>
      <c r="F10" s="25" t="s">
        <v>425</v>
      </c>
      <c r="G10" s="9" t="s">
        <v>426</v>
      </c>
      <c r="H10" s="27" t="s">
        <v>427</v>
      </c>
    </row>
    <row r="11" customFormat="false" ht="29.25" hidden="false" customHeight="true" outlineLevel="0" collapsed="false">
      <c r="A11" s="25" t="n">
        <v>7</v>
      </c>
      <c r="B11" s="8" t="s">
        <v>428</v>
      </c>
      <c r="C11" s="9" t="s">
        <v>429</v>
      </c>
      <c r="D11" s="9" t="s">
        <v>430</v>
      </c>
      <c r="E11" s="9" t="s">
        <v>431</v>
      </c>
      <c r="F11" s="25" t="s">
        <v>403</v>
      </c>
      <c r="G11" s="9" t="s">
        <v>432</v>
      </c>
      <c r="H11" s="27" t="s">
        <v>433</v>
      </c>
    </row>
    <row r="12" customFormat="false" ht="29.25" hidden="false" customHeight="true" outlineLevel="0" collapsed="false">
      <c r="A12" s="25" t="n">
        <v>8</v>
      </c>
      <c r="B12" s="8" t="s">
        <v>434</v>
      </c>
      <c r="C12" s="9" t="s">
        <v>435</v>
      </c>
      <c r="D12" s="8" t="s">
        <v>436</v>
      </c>
      <c r="E12" s="9" t="s">
        <v>437</v>
      </c>
      <c r="F12" s="25" t="s">
        <v>403</v>
      </c>
      <c r="G12" s="9" t="s">
        <v>438</v>
      </c>
      <c r="H12" s="27" t="s">
        <v>439</v>
      </c>
    </row>
    <row r="13" customFormat="false" ht="29.25" hidden="false" customHeight="true" outlineLevel="0" collapsed="false">
      <c r="A13" s="25" t="n">
        <v>9</v>
      </c>
      <c r="B13" s="8" t="s">
        <v>440</v>
      </c>
      <c r="C13" s="9" t="s">
        <v>441</v>
      </c>
      <c r="D13" s="8" t="s">
        <v>442</v>
      </c>
      <c r="E13" s="8" t="s">
        <v>443</v>
      </c>
      <c r="F13" s="25" t="s">
        <v>444</v>
      </c>
      <c r="G13" s="9" t="s">
        <v>445</v>
      </c>
      <c r="H13" s="27" t="s">
        <v>439</v>
      </c>
    </row>
    <row r="14" customFormat="false" ht="29.25" hidden="false" customHeight="true" outlineLevel="0" collapsed="false">
      <c r="A14" s="25" t="n">
        <v>10</v>
      </c>
      <c r="B14" s="8" t="s">
        <v>446</v>
      </c>
      <c r="C14" s="9" t="s">
        <v>447</v>
      </c>
      <c r="D14" s="9" t="s">
        <v>448</v>
      </c>
      <c r="E14" s="9" t="s">
        <v>449</v>
      </c>
      <c r="F14" s="25" t="s">
        <v>450</v>
      </c>
      <c r="G14" s="9" t="s">
        <v>451</v>
      </c>
      <c r="H14" s="27" t="s">
        <v>439</v>
      </c>
    </row>
    <row r="15" customFormat="false" ht="42" hidden="false" customHeight="true" outlineLevel="0" collapsed="false">
      <c r="A15" s="25" t="n">
        <v>11</v>
      </c>
      <c r="B15" s="8" t="s">
        <v>452</v>
      </c>
      <c r="C15" s="9" t="s">
        <v>453</v>
      </c>
      <c r="D15" s="9" t="s">
        <v>454</v>
      </c>
      <c r="E15" s="9" t="s">
        <v>455</v>
      </c>
      <c r="F15" s="25" t="s">
        <v>450</v>
      </c>
      <c r="G15" s="9" t="s">
        <v>456</v>
      </c>
      <c r="H15" s="27" t="s">
        <v>439</v>
      </c>
    </row>
    <row r="16" customFormat="false" ht="42" hidden="false" customHeight="true" outlineLevel="0" collapsed="false">
      <c r="A16" s="25" t="n">
        <v>12</v>
      </c>
      <c r="B16" s="8" t="s">
        <v>457</v>
      </c>
      <c r="C16" s="9" t="s">
        <v>458</v>
      </c>
      <c r="D16" s="9" t="s">
        <v>459</v>
      </c>
      <c r="E16" s="9" t="s">
        <v>460</v>
      </c>
      <c r="F16" s="25" t="s">
        <v>450</v>
      </c>
      <c r="G16" s="9" t="s">
        <v>461</v>
      </c>
      <c r="H16" s="27" t="s">
        <v>439</v>
      </c>
    </row>
    <row r="17" customFormat="false" ht="29.25" hidden="false" customHeight="true" outlineLevel="0" collapsed="false">
      <c r="A17" s="25" t="n">
        <v>13</v>
      </c>
      <c r="B17" s="8" t="s">
        <v>462</v>
      </c>
      <c r="C17" s="9" t="s">
        <v>463</v>
      </c>
      <c r="D17" s="8" t="s">
        <v>464</v>
      </c>
      <c r="E17" s="8" t="s">
        <v>465</v>
      </c>
      <c r="F17" s="25" t="s">
        <v>466</v>
      </c>
      <c r="G17" s="9" t="s">
        <v>467</v>
      </c>
      <c r="H17" s="27" t="s">
        <v>463</v>
      </c>
    </row>
    <row r="19" customFormat="false" ht="29.25" hidden="false" customHeight="true" outlineLevel="0" collapsed="false">
      <c r="A19" s="58" t="s">
        <v>468</v>
      </c>
      <c r="B19" s="58"/>
      <c r="C19" s="58"/>
      <c r="D19" s="58"/>
      <c r="E19" s="58"/>
      <c r="F19" s="58"/>
      <c r="G19" s="58"/>
      <c r="H19" s="58"/>
    </row>
  </sheetData>
  <mergeCells count="1"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B2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8"/>
  </cols>
  <sheetData>
    <row r="1" customFormat="false" ht="24" hidden="false" customHeight="true" outlineLevel="0" collapsed="false">
      <c r="A1" s="22" t="s">
        <v>469</v>
      </c>
    </row>
    <row r="2" customFormat="false" ht="15" hidden="false" customHeight="true" outlineLevel="0" collapsed="false">
      <c r="A2" s="21" t="s">
        <v>470</v>
      </c>
    </row>
    <row r="4" customFormat="false" ht="30" hidden="false" customHeight="true" outlineLevel="0" collapsed="false">
      <c r="A4" s="59" t="s">
        <v>319</v>
      </c>
      <c r="B4" s="60" t="s">
        <v>471</v>
      </c>
    </row>
    <row r="5" customFormat="false" ht="29.25" hidden="false" customHeight="true" outlineLevel="0" collapsed="false">
      <c r="A5" s="6" t="s">
        <v>472</v>
      </c>
      <c r="B5" s="9" t="s">
        <v>473</v>
      </c>
    </row>
    <row r="6" customFormat="false" ht="29.25" hidden="false" customHeight="true" outlineLevel="0" collapsed="false">
      <c r="A6" s="6" t="s">
        <v>474</v>
      </c>
      <c r="B6" s="9" t="s">
        <v>475</v>
      </c>
    </row>
    <row r="7" customFormat="false" ht="29.25" hidden="false" customHeight="true" outlineLevel="0" collapsed="false">
      <c r="A7" s="6" t="s">
        <v>476</v>
      </c>
      <c r="B7" s="8" t="s">
        <v>477</v>
      </c>
    </row>
    <row r="8" customFormat="false" ht="16.5" hidden="false" customHeight="true" outlineLevel="0" collapsed="false">
      <c r="A8" s="6" t="s">
        <v>478</v>
      </c>
      <c r="B8" s="9" t="s">
        <v>479</v>
      </c>
    </row>
    <row r="9" customFormat="false" ht="29.25" hidden="false" customHeight="true" outlineLevel="0" collapsed="false">
      <c r="A9" s="6" t="s">
        <v>480</v>
      </c>
      <c r="B9" s="9" t="s">
        <v>481</v>
      </c>
    </row>
    <row r="10" customFormat="false" ht="29.25" hidden="false" customHeight="true" outlineLevel="0" collapsed="false">
      <c r="A10" s="6" t="s">
        <v>482</v>
      </c>
      <c r="B10" s="9" t="s">
        <v>483</v>
      </c>
    </row>
    <row r="11" customFormat="false" ht="29.25" hidden="false" customHeight="true" outlineLevel="0" collapsed="false">
      <c r="A11" s="6" t="s">
        <v>484</v>
      </c>
      <c r="B11" s="9" t="s">
        <v>485</v>
      </c>
    </row>
    <row r="12" customFormat="false" ht="29.25" hidden="false" customHeight="true" outlineLevel="0" collapsed="false">
      <c r="A12" s="6" t="s">
        <v>486</v>
      </c>
      <c r="B12" s="9" t="s">
        <v>487</v>
      </c>
    </row>
    <row r="13" customFormat="false" ht="29.25" hidden="false" customHeight="true" outlineLevel="0" collapsed="false">
      <c r="A13" s="6" t="s">
        <v>488</v>
      </c>
      <c r="B13" s="9" t="s">
        <v>489</v>
      </c>
    </row>
    <row r="14" customFormat="false" ht="29.25" hidden="false" customHeight="true" outlineLevel="0" collapsed="false">
      <c r="A14" s="6" t="s">
        <v>490</v>
      </c>
      <c r="B14" s="9" t="s">
        <v>491</v>
      </c>
    </row>
    <row r="15" customFormat="false" ht="42" hidden="false" customHeight="true" outlineLevel="0" collapsed="false">
      <c r="A15" s="6" t="s">
        <v>492</v>
      </c>
      <c r="B15" s="8" t="s">
        <v>493</v>
      </c>
    </row>
    <row r="16" customFormat="false" ht="42" hidden="false" customHeight="true" outlineLevel="0" collapsed="false">
      <c r="A16" s="6" t="s">
        <v>494</v>
      </c>
      <c r="B16" s="8" t="s">
        <v>495</v>
      </c>
    </row>
    <row r="17" customFormat="false" ht="16.5" hidden="false" customHeight="true" outlineLevel="0" collapsed="false">
      <c r="A17" s="6" t="s">
        <v>496</v>
      </c>
      <c r="B17" s="8" t="s">
        <v>497</v>
      </c>
    </row>
    <row r="18" customFormat="false" ht="29.25" hidden="false" customHeight="true" outlineLevel="0" collapsed="false">
      <c r="A18" s="6" t="s">
        <v>498</v>
      </c>
      <c r="B18" s="9" t="s">
        <v>499</v>
      </c>
    </row>
    <row r="19" customFormat="false" ht="29.25" hidden="false" customHeight="true" outlineLevel="0" collapsed="false">
      <c r="A19" s="6" t="s">
        <v>500</v>
      </c>
      <c r="B19" s="8" t="s">
        <v>501</v>
      </c>
    </row>
    <row r="20" customFormat="false" ht="18" hidden="false" customHeight="true" outlineLevel="0" collapsed="false">
      <c r="A20" s="6" t="s">
        <v>502</v>
      </c>
      <c r="B20" s="8" t="str">
        <f aca="false">"화당 "&amp;턴_설계!$B$5&amp;"턴 · 부 총 "&amp;TEXT(턴_설계!D33,"#,##0")&amp;"턴 · 화당 약 "&amp;TEXT(턴_설계!F33,"#,##0")&amp;"단어 · 낭독 약 "&amp;TEXT(턴_설계!H33,"0.0")&amp;"분 (평균 "&amp;TEXT(턴_설계!E33,"0.0")&amp;"단어/턴)"</f>
        <v>화당 120턴 · 부 총 1,440턴 · 화당 약 975단어 · 낭독 약 7.5분 (평균 8.1단어/턴)</v>
      </c>
    </row>
    <row r="21" customFormat="false" ht="29.25" hidden="false" customHeight="true" outlineLevel="0" collapsed="false">
      <c r="A21" s="11" t="s">
        <v>503</v>
      </c>
      <c r="B21" s="8" t="s">
        <v>504</v>
      </c>
    </row>
    <row r="22" customFormat="false" ht="16.5" hidden="false" customHeight="true" outlineLevel="0" collapsed="false">
      <c r="A22" s="6" t="s">
        <v>505</v>
      </c>
      <c r="B22" s="8" t="s">
        <v>506</v>
      </c>
    </row>
    <row r="24" customFormat="false" ht="30" hidden="false" customHeight="true" outlineLevel="0" collapsed="false">
      <c r="A24" s="59" t="s">
        <v>320</v>
      </c>
      <c r="B24" s="60" t="s">
        <v>507</v>
      </c>
    </row>
    <row r="25" customFormat="false" ht="29.25" hidden="false" customHeight="true" outlineLevel="0" collapsed="false">
      <c r="A25" s="6" t="s">
        <v>472</v>
      </c>
      <c r="B25" s="9" t="s">
        <v>508</v>
      </c>
    </row>
    <row r="26" customFormat="false" ht="29.25" hidden="false" customHeight="true" outlineLevel="0" collapsed="false">
      <c r="A26" s="6" t="s">
        <v>474</v>
      </c>
      <c r="B26" s="9" t="s">
        <v>509</v>
      </c>
    </row>
    <row r="27" customFormat="false" ht="16.5" hidden="false" customHeight="true" outlineLevel="0" collapsed="false">
      <c r="A27" s="6" t="s">
        <v>476</v>
      </c>
      <c r="B27" s="9" t="s">
        <v>510</v>
      </c>
    </row>
    <row r="28" customFormat="false" ht="16.5" hidden="false" customHeight="true" outlineLevel="0" collapsed="false">
      <c r="A28" s="6" t="s">
        <v>478</v>
      </c>
      <c r="B28" s="9" t="s">
        <v>511</v>
      </c>
    </row>
    <row r="29" customFormat="false" ht="16.5" hidden="false" customHeight="true" outlineLevel="0" collapsed="false">
      <c r="A29" s="6" t="s">
        <v>480</v>
      </c>
      <c r="B29" s="9" t="s">
        <v>512</v>
      </c>
    </row>
    <row r="30" customFormat="false" ht="16.5" hidden="false" customHeight="true" outlineLevel="0" collapsed="false">
      <c r="A30" s="6" t="s">
        <v>482</v>
      </c>
      <c r="B30" s="9" t="s">
        <v>513</v>
      </c>
    </row>
    <row r="31" customFormat="false" ht="16.5" hidden="false" customHeight="true" outlineLevel="0" collapsed="false">
      <c r="A31" s="6" t="s">
        <v>484</v>
      </c>
      <c r="B31" s="9" t="s">
        <v>514</v>
      </c>
    </row>
    <row r="32" customFormat="false" ht="16.5" hidden="false" customHeight="true" outlineLevel="0" collapsed="false">
      <c r="A32" s="6" t="s">
        <v>486</v>
      </c>
      <c r="B32" s="9" t="s">
        <v>515</v>
      </c>
    </row>
    <row r="33" customFormat="false" ht="16.5" hidden="false" customHeight="true" outlineLevel="0" collapsed="false">
      <c r="A33" s="6" t="s">
        <v>488</v>
      </c>
      <c r="B33" s="9" t="s">
        <v>516</v>
      </c>
    </row>
    <row r="34" customFormat="false" ht="16.5" hidden="false" customHeight="true" outlineLevel="0" collapsed="false">
      <c r="A34" s="6" t="s">
        <v>490</v>
      </c>
      <c r="B34" s="9" t="s">
        <v>517</v>
      </c>
    </row>
    <row r="35" customFormat="false" ht="29.25" hidden="false" customHeight="true" outlineLevel="0" collapsed="false">
      <c r="A35" s="6" t="s">
        <v>492</v>
      </c>
      <c r="B35" s="8" t="s">
        <v>518</v>
      </c>
    </row>
    <row r="36" customFormat="false" ht="29.25" hidden="false" customHeight="true" outlineLevel="0" collapsed="false">
      <c r="A36" s="6" t="s">
        <v>494</v>
      </c>
      <c r="B36" s="8" t="s">
        <v>519</v>
      </c>
    </row>
    <row r="37" customFormat="false" ht="16.5" hidden="false" customHeight="true" outlineLevel="0" collapsed="false">
      <c r="A37" s="6" t="s">
        <v>496</v>
      </c>
      <c r="B37" s="8" t="s">
        <v>520</v>
      </c>
    </row>
    <row r="38" customFormat="false" ht="16.5" hidden="false" customHeight="true" outlineLevel="0" collapsed="false">
      <c r="A38" s="6" t="s">
        <v>498</v>
      </c>
      <c r="B38" s="9" t="s">
        <v>521</v>
      </c>
    </row>
    <row r="39" customFormat="false" ht="29.25" hidden="false" customHeight="true" outlineLevel="0" collapsed="false">
      <c r="A39" s="6" t="s">
        <v>500</v>
      </c>
      <c r="B39" s="8" t="s">
        <v>522</v>
      </c>
    </row>
    <row r="40" customFormat="false" ht="18" hidden="false" customHeight="true" outlineLevel="0" collapsed="false">
      <c r="A40" s="6" t="s">
        <v>502</v>
      </c>
      <c r="B40" s="8" t="str">
        <f aca="false">"화당 "&amp;턴_설계!$B$5&amp;"턴 · 부 총 "&amp;TEXT(턴_설계!D34,"#,##0")&amp;"턴 · 화당 약 "&amp;TEXT(턴_설계!F34,"#,##0")&amp;"단어 · 낭독 약 "&amp;TEXT(턴_설계!H34,"0.0")&amp;"분 (평균 "&amp;TEXT(턴_설계!E34,"0.0")&amp;"단어/턴)"</f>
        <v>화당 120턴 · 부 총 1,440턴 · 화당 약 1,367단어 · 낭독 약 10.5분 (평균 11.4단어/턴)</v>
      </c>
    </row>
    <row r="41" customFormat="false" ht="16.5" hidden="false" customHeight="true" outlineLevel="0" collapsed="false">
      <c r="A41" s="11" t="s">
        <v>503</v>
      </c>
      <c r="B41" s="8" t="s">
        <v>523</v>
      </c>
    </row>
    <row r="42" customFormat="false" ht="16.5" hidden="false" customHeight="true" outlineLevel="0" collapsed="false">
      <c r="A42" s="6" t="s">
        <v>505</v>
      </c>
      <c r="B42" s="8" t="s">
        <v>524</v>
      </c>
    </row>
    <row r="44" customFormat="false" ht="30" hidden="false" customHeight="true" outlineLevel="0" collapsed="false">
      <c r="A44" s="59" t="s">
        <v>321</v>
      </c>
      <c r="B44" s="60" t="s">
        <v>525</v>
      </c>
    </row>
    <row r="45" customFormat="false" ht="29.25" hidden="false" customHeight="true" outlineLevel="0" collapsed="false">
      <c r="A45" s="6" t="s">
        <v>472</v>
      </c>
      <c r="B45" s="9" t="s">
        <v>526</v>
      </c>
    </row>
    <row r="46" customFormat="false" ht="16.5" hidden="false" customHeight="true" outlineLevel="0" collapsed="false">
      <c r="A46" s="6" t="s">
        <v>474</v>
      </c>
      <c r="B46" s="9" t="s">
        <v>527</v>
      </c>
    </row>
    <row r="47" customFormat="false" ht="16.5" hidden="false" customHeight="true" outlineLevel="0" collapsed="false">
      <c r="A47" s="6" t="s">
        <v>476</v>
      </c>
      <c r="B47" s="9" t="s">
        <v>528</v>
      </c>
    </row>
    <row r="48" customFormat="false" ht="16.5" hidden="false" customHeight="true" outlineLevel="0" collapsed="false">
      <c r="A48" s="6" t="s">
        <v>478</v>
      </c>
      <c r="B48" s="9" t="s">
        <v>529</v>
      </c>
    </row>
    <row r="49" customFormat="false" ht="16.5" hidden="false" customHeight="true" outlineLevel="0" collapsed="false">
      <c r="A49" s="6" t="s">
        <v>480</v>
      </c>
      <c r="B49" s="9" t="s">
        <v>530</v>
      </c>
    </row>
    <row r="50" customFormat="false" ht="16.5" hidden="false" customHeight="true" outlineLevel="0" collapsed="false">
      <c r="A50" s="6" t="s">
        <v>482</v>
      </c>
      <c r="B50" s="9" t="s">
        <v>531</v>
      </c>
    </row>
    <row r="51" customFormat="false" ht="16.5" hidden="false" customHeight="true" outlineLevel="0" collapsed="false">
      <c r="A51" s="6" t="s">
        <v>484</v>
      </c>
      <c r="B51" s="9" t="s">
        <v>532</v>
      </c>
    </row>
    <row r="52" customFormat="false" ht="16.5" hidden="false" customHeight="true" outlineLevel="0" collapsed="false">
      <c r="A52" s="6" t="s">
        <v>486</v>
      </c>
      <c r="B52" s="9" t="s">
        <v>533</v>
      </c>
    </row>
    <row r="53" customFormat="false" ht="16.5" hidden="false" customHeight="true" outlineLevel="0" collapsed="false">
      <c r="A53" s="6" t="s">
        <v>488</v>
      </c>
      <c r="B53" s="9" t="s">
        <v>534</v>
      </c>
    </row>
    <row r="54" customFormat="false" ht="16.5" hidden="false" customHeight="true" outlineLevel="0" collapsed="false">
      <c r="A54" s="6" t="s">
        <v>490</v>
      </c>
      <c r="B54" s="9" t="s">
        <v>535</v>
      </c>
    </row>
    <row r="55" customFormat="false" ht="29.25" hidden="false" customHeight="true" outlineLevel="0" collapsed="false">
      <c r="A55" s="6" t="s">
        <v>492</v>
      </c>
      <c r="B55" s="8" t="s">
        <v>536</v>
      </c>
    </row>
    <row r="56" customFormat="false" ht="16.5" hidden="false" customHeight="true" outlineLevel="0" collapsed="false">
      <c r="A56" s="6" t="s">
        <v>494</v>
      </c>
      <c r="B56" s="8" t="s">
        <v>537</v>
      </c>
    </row>
    <row r="57" customFormat="false" ht="16.5" hidden="false" customHeight="true" outlineLevel="0" collapsed="false">
      <c r="A57" s="6" t="s">
        <v>496</v>
      </c>
      <c r="B57" s="8" t="s">
        <v>538</v>
      </c>
    </row>
    <row r="58" customFormat="false" ht="16.5" hidden="false" customHeight="true" outlineLevel="0" collapsed="false">
      <c r="A58" s="6" t="s">
        <v>498</v>
      </c>
      <c r="B58" s="9" t="s">
        <v>539</v>
      </c>
    </row>
    <row r="59" customFormat="false" ht="16.5" hidden="false" customHeight="true" outlineLevel="0" collapsed="false">
      <c r="A59" s="6" t="s">
        <v>500</v>
      </c>
      <c r="B59" s="8" t="s">
        <v>540</v>
      </c>
    </row>
    <row r="60" customFormat="false" ht="18" hidden="false" customHeight="true" outlineLevel="0" collapsed="false">
      <c r="A60" s="6" t="s">
        <v>502</v>
      </c>
      <c r="B60" s="8" t="str">
        <f aca="false">"화당 "&amp;턴_설계!$B$5&amp;"턴 · 부 총 "&amp;TEXT(턴_설계!D35,"#,##0")&amp;"턴 · 화당 약 "&amp;TEXT(턴_설계!F35,"#,##0")&amp;"단어 · 낭독 약 "&amp;TEXT(턴_설계!H35,"0.0")&amp;"분 (평균 "&amp;TEXT(턴_설계!E35,"0.0")&amp;"단어/턴)"</f>
        <v>화당 120턴 · 부 총 1,440턴 · 화당 약 1,093단어 · 낭독 약 8.4분 (평균 9.1단어/턴)</v>
      </c>
    </row>
    <row r="61" customFormat="false" ht="16.5" hidden="false" customHeight="true" outlineLevel="0" collapsed="false">
      <c r="A61" s="11" t="s">
        <v>503</v>
      </c>
      <c r="B61" s="8" t="s">
        <v>541</v>
      </c>
    </row>
    <row r="62" customFormat="false" ht="16.5" hidden="false" customHeight="true" outlineLevel="0" collapsed="false">
      <c r="A62" s="6" t="s">
        <v>505</v>
      </c>
      <c r="B62" s="8" t="s">
        <v>542</v>
      </c>
    </row>
    <row r="64" customFormat="false" ht="30" hidden="false" customHeight="true" outlineLevel="0" collapsed="false">
      <c r="A64" s="59" t="s">
        <v>322</v>
      </c>
      <c r="B64" s="60" t="s">
        <v>543</v>
      </c>
    </row>
    <row r="65" customFormat="false" ht="16.5" hidden="false" customHeight="true" outlineLevel="0" collapsed="false">
      <c r="A65" s="6" t="s">
        <v>472</v>
      </c>
      <c r="B65" s="9" t="s">
        <v>544</v>
      </c>
    </row>
    <row r="66" customFormat="false" ht="29.25" hidden="false" customHeight="true" outlineLevel="0" collapsed="false">
      <c r="A66" s="6" t="s">
        <v>474</v>
      </c>
      <c r="B66" s="9" t="s">
        <v>545</v>
      </c>
    </row>
    <row r="67" customFormat="false" ht="16.5" hidden="false" customHeight="true" outlineLevel="0" collapsed="false">
      <c r="A67" s="6" t="s">
        <v>476</v>
      </c>
      <c r="B67" s="9" t="s">
        <v>546</v>
      </c>
    </row>
    <row r="68" customFormat="false" ht="16.5" hidden="false" customHeight="true" outlineLevel="0" collapsed="false">
      <c r="A68" s="6" t="s">
        <v>478</v>
      </c>
      <c r="B68" s="9" t="s">
        <v>547</v>
      </c>
    </row>
    <row r="69" customFormat="false" ht="16.5" hidden="false" customHeight="true" outlineLevel="0" collapsed="false">
      <c r="A69" s="6" t="s">
        <v>480</v>
      </c>
      <c r="B69" s="9" t="s">
        <v>548</v>
      </c>
    </row>
    <row r="70" customFormat="false" ht="16.5" hidden="false" customHeight="true" outlineLevel="0" collapsed="false">
      <c r="A70" s="6" t="s">
        <v>482</v>
      </c>
      <c r="B70" s="9" t="s">
        <v>549</v>
      </c>
    </row>
    <row r="71" customFormat="false" ht="16.5" hidden="false" customHeight="true" outlineLevel="0" collapsed="false">
      <c r="A71" s="6" t="s">
        <v>484</v>
      </c>
      <c r="B71" s="9" t="s">
        <v>550</v>
      </c>
    </row>
    <row r="72" customFormat="false" ht="16.5" hidden="false" customHeight="true" outlineLevel="0" collapsed="false">
      <c r="A72" s="6" t="s">
        <v>486</v>
      </c>
      <c r="B72" s="9" t="s">
        <v>551</v>
      </c>
    </row>
    <row r="73" customFormat="false" ht="16.5" hidden="false" customHeight="true" outlineLevel="0" collapsed="false">
      <c r="A73" s="6" t="s">
        <v>488</v>
      </c>
      <c r="B73" s="9" t="s">
        <v>552</v>
      </c>
    </row>
    <row r="74" customFormat="false" ht="16.5" hidden="false" customHeight="true" outlineLevel="0" collapsed="false">
      <c r="A74" s="6" t="s">
        <v>490</v>
      </c>
      <c r="B74" s="9" t="s">
        <v>553</v>
      </c>
    </row>
    <row r="75" customFormat="false" ht="29.25" hidden="false" customHeight="true" outlineLevel="0" collapsed="false">
      <c r="A75" s="6" t="s">
        <v>492</v>
      </c>
      <c r="B75" s="8" t="s">
        <v>554</v>
      </c>
    </row>
    <row r="76" customFormat="false" ht="16.5" hidden="false" customHeight="true" outlineLevel="0" collapsed="false">
      <c r="A76" s="6" t="s">
        <v>494</v>
      </c>
      <c r="B76" s="9" t="s">
        <v>555</v>
      </c>
    </row>
    <row r="77" customFormat="false" ht="16.5" hidden="false" customHeight="true" outlineLevel="0" collapsed="false">
      <c r="A77" s="6" t="s">
        <v>496</v>
      </c>
      <c r="B77" s="8" t="s">
        <v>556</v>
      </c>
    </row>
    <row r="78" customFormat="false" ht="29.25" hidden="false" customHeight="true" outlineLevel="0" collapsed="false">
      <c r="A78" s="6" t="s">
        <v>498</v>
      </c>
      <c r="B78" s="9" t="s">
        <v>557</v>
      </c>
    </row>
    <row r="79" customFormat="false" ht="16.5" hidden="false" customHeight="true" outlineLevel="0" collapsed="false">
      <c r="A79" s="6" t="s">
        <v>500</v>
      </c>
      <c r="B79" s="8" t="s">
        <v>558</v>
      </c>
    </row>
    <row r="80" customFormat="false" ht="18" hidden="false" customHeight="true" outlineLevel="0" collapsed="false">
      <c r="A80" s="6" t="s">
        <v>502</v>
      </c>
      <c r="B80" s="8" t="str">
        <f aca="false">"화당 "&amp;턴_설계!$B$5&amp;"턴 · 부 총 "&amp;TEXT(턴_설계!D36,"#,##0")&amp;"턴 · 화당 약 "&amp;TEXT(턴_설계!F36,"#,##0")&amp;"단어 · 낭독 약 "&amp;TEXT(턴_설계!H36,"0.0")&amp;"분 (평균 "&amp;TEXT(턴_설계!E36,"0.0")&amp;"단어/턴)"</f>
        <v>화당 120턴 · 부 총 1,440턴 · 화당 약 1,253단어 · 낭독 약 9.6분 (평균 10.4단어/턴)</v>
      </c>
    </row>
    <row r="81" customFormat="false" ht="16.5" hidden="false" customHeight="true" outlineLevel="0" collapsed="false">
      <c r="A81" s="11" t="s">
        <v>503</v>
      </c>
      <c r="B81" s="8" t="s">
        <v>559</v>
      </c>
    </row>
    <row r="82" customFormat="false" ht="16.5" hidden="false" customHeight="true" outlineLevel="0" collapsed="false">
      <c r="A82" s="6" t="s">
        <v>505</v>
      </c>
      <c r="B82" s="8" t="s">
        <v>560</v>
      </c>
    </row>
    <row r="84" customFormat="false" ht="30" hidden="false" customHeight="true" outlineLevel="0" collapsed="false">
      <c r="A84" s="59" t="s">
        <v>323</v>
      </c>
      <c r="B84" s="60" t="s">
        <v>561</v>
      </c>
    </row>
    <row r="85" customFormat="false" ht="29.25" hidden="false" customHeight="true" outlineLevel="0" collapsed="false">
      <c r="A85" s="6" t="s">
        <v>472</v>
      </c>
      <c r="B85" s="9" t="s">
        <v>562</v>
      </c>
    </row>
    <row r="86" customFormat="false" ht="16.5" hidden="false" customHeight="true" outlineLevel="0" collapsed="false">
      <c r="A86" s="6" t="s">
        <v>474</v>
      </c>
      <c r="B86" s="9" t="s">
        <v>563</v>
      </c>
    </row>
    <row r="87" customFormat="false" ht="16.5" hidden="false" customHeight="true" outlineLevel="0" collapsed="false">
      <c r="A87" s="6" t="s">
        <v>476</v>
      </c>
      <c r="B87" s="8" t="s">
        <v>564</v>
      </c>
    </row>
    <row r="88" customFormat="false" ht="16.5" hidden="false" customHeight="true" outlineLevel="0" collapsed="false">
      <c r="A88" s="6" t="s">
        <v>478</v>
      </c>
      <c r="B88" s="9" t="s">
        <v>565</v>
      </c>
    </row>
    <row r="89" customFormat="false" ht="16.5" hidden="false" customHeight="true" outlineLevel="0" collapsed="false">
      <c r="A89" s="6" t="s">
        <v>480</v>
      </c>
      <c r="B89" s="9" t="s">
        <v>566</v>
      </c>
    </row>
    <row r="90" customFormat="false" ht="16.5" hidden="false" customHeight="true" outlineLevel="0" collapsed="false">
      <c r="A90" s="6" t="s">
        <v>482</v>
      </c>
      <c r="B90" s="9" t="s">
        <v>567</v>
      </c>
    </row>
    <row r="91" customFormat="false" ht="16.5" hidden="false" customHeight="true" outlineLevel="0" collapsed="false">
      <c r="A91" s="6" t="s">
        <v>484</v>
      </c>
      <c r="B91" s="9" t="s">
        <v>568</v>
      </c>
    </row>
    <row r="92" customFormat="false" ht="16.5" hidden="false" customHeight="true" outlineLevel="0" collapsed="false">
      <c r="A92" s="6" t="s">
        <v>486</v>
      </c>
      <c r="B92" s="9" t="s">
        <v>569</v>
      </c>
    </row>
    <row r="93" customFormat="false" ht="16.5" hidden="false" customHeight="true" outlineLevel="0" collapsed="false">
      <c r="A93" s="6" t="s">
        <v>488</v>
      </c>
      <c r="B93" s="9" t="s">
        <v>570</v>
      </c>
    </row>
    <row r="94" customFormat="false" ht="16.5" hidden="false" customHeight="true" outlineLevel="0" collapsed="false">
      <c r="A94" s="6" t="s">
        <v>490</v>
      </c>
      <c r="B94" s="9" t="s">
        <v>571</v>
      </c>
    </row>
    <row r="95" customFormat="false" ht="29.25" hidden="false" customHeight="true" outlineLevel="0" collapsed="false">
      <c r="A95" s="6" t="s">
        <v>492</v>
      </c>
      <c r="B95" s="8" t="s">
        <v>572</v>
      </c>
    </row>
    <row r="96" customFormat="false" ht="29.25" hidden="false" customHeight="true" outlineLevel="0" collapsed="false">
      <c r="A96" s="6" t="s">
        <v>494</v>
      </c>
      <c r="B96" s="8" t="s">
        <v>573</v>
      </c>
    </row>
    <row r="97" customFormat="false" ht="16.5" hidden="false" customHeight="true" outlineLevel="0" collapsed="false">
      <c r="A97" s="6" t="s">
        <v>496</v>
      </c>
      <c r="B97" s="8" t="s">
        <v>574</v>
      </c>
    </row>
    <row r="98" customFormat="false" ht="16.5" hidden="false" customHeight="true" outlineLevel="0" collapsed="false">
      <c r="A98" s="6" t="s">
        <v>498</v>
      </c>
      <c r="B98" s="9" t="s">
        <v>575</v>
      </c>
    </row>
    <row r="99" customFormat="false" ht="16.5" hidden="false" customHeight="true" outlineLevel="0" collapsed="false">
      <c r="A99" s="6" t="s">
        <v>500</v>
      </c>
      <c r="B99" s="8" t="s">
        <v>576</v>
      </c>
    </row>
    <row r="100" customFormat="false" ht="18" hidden="false" customHeight="true" outlineLevel="0" collapsed="false">
      <c r="A100" s="6" t="s">
        <v>502</v>
      </c>
      <c r="B100" s="8" t="str">
        <f aca="false">"화당 "&amp;턴_설계!$B$5&amp;"턴 · 부 총 "&amp;TEXT(턴_설계!D37,"#,##0")&amp;"턴 · 화당 약 "&amp;TEXT(턴_설계!F37,"#,##0")&amp;"단어 · 낭독 약 "&amp;TEXT(턴_설계!H37,"0.0")&amp;"분 (평균 "&amp;TEXT(턴_설계!E37,"0.0")&amp;"단어/턴)"</f>
        <v>화당 120턴 · 부 총 1,440턴 · 화당 약 1,296단어 · 낭독 약 10.0분 (평균 10.8단어/턴)</v>
      </c>
    </row>
    <row r="101" customFormat="false" ht="16.5" hidden="false" customHeight="true" outlineLevel="0" collapsed="false">
      <c r="A101" s="11" t="s">
        <v>503</v>
      </c>
      <c r="B101" s="8" t="s">
        <v>577</v>
      </c>
    </row>
    <row r="102" customFormat="false" ht="16.5" hidden="false" customHeight="true" outlineLevel="0" collapsed="false">
      <c r="A102" s="6" t="s">
        <v>505</v>
      </c>
      <c r="B102" s="8" t="s">
        <v>578</v>
      </c>
    </row>
    <row r="104" customFormat="false" ht="30" hidden="false" customHeight="true" outlineLevel="0" collapsed="false">
      <c r="A104" s="59" t="s">
        <v>324</v>
      </c>
      <c r="B104" s="60" t="s">
        <v>579</v>
      </c>
    </row>
    <row r="105" customFormat="false" ht="29.25" hidden="false" customHeight="true" outlineLevel="0" collapsed="false">
      <c r="A105" s="6" t="s">
        <v>472</v>
      </c>
      <c r="B105" s="9" t="s">
        <v>580</v>
      </c>
    </row>
    <row r="106" customFormat="false" ht="29.25" hidden="false" customHeight="true" outlineLevel="0" collapsed="false">
      <c r="A106" s="6" t="s">
        <v>474</v>
      </c>
      <c r="B106" s="9" t="s">
        <v>581</v>
      </c>
    </row>
    <row r="107" customFormat="false" ht="16.5" hidden="false" customHeight="true" outlineLevel="0" collapsed="false">
      <c r="A107" s="6" t="s">
        <v>476</v>
      </c>
      <c r="B107" s="9" t="s">
        <v>582</v>
      </c>
    </row>
    <row r="108" customFormat="false" ht="16.5" hidden="false" customHeight="true" outlineLevel="0" collapsed="false">
      <c r="A108" s="6" t="s">
        <v>478</v>
      </c>
      <c r="B108" s="9" t="s">
        <v>583</v>
      </c>
    </row>
    <row r="109" customFormat="false" ht="16.5" hidden="false" customHeight="true" outlineLevel="0" collapsed="false">
      <c r="A109" s="6" t="s">
        <v>480</v>
      </c>
      <c r="B109" s="9" t="s">
        <v>584</v>
      </c>
    </row>
    <row r="110" customFormat="false" ht="16.5" hidden="false" customHeight="true" outlineLevel="0" collapsed="false">
      <c r="A110" s="6" t="s">
        <v>482</v>
      </c>
      <c r="B110" s="9" t="s">
        <v>585</v>
      </c>
    </row>
    <row r="111" customFormat="false" ht="16.5" hidden="false" customHeight="true" outlineLevel="0" collapsed="false">
      <c r="A111" s="6" t="s">
        <v>484</v>
      </c>
      <c r="B111" s="9" t="s">
        <v>586</v>
      </c>
    </row>
    <row r="112" customFormat="false" ht="16.5" hidden="false" customHeight="true" outlineLevel="0" collapsed="false">
      <c r="A112" s="6" t="s">
        <v>486</v>
      </c>
      <c r="B112" s="9" t="s">
        <v>587</v>
      </c>
    </row>
    <row r="113" customFormat="false" ht="16.5" hidden="false" customHeight="true" outlineLevel="0" collapsed="false">
      <c r="A113" s="6" t="s">
        <v>488</v>
      </c>
      <c r="B113" s="9" t="s">
        <v>588</v>
      </c>
    </row>
    <row r="114" customFormat="false" ht="16.5" hidden="false" customHeight="true" outlineLevel="0" collapsed="false">
      <c r="A114" s="6" t="s">
        <v>490</v>
      </c>
      <c r="B114" s="9" t="s">
        <v>589</v>
      </c>
    </row>
    <row r="115" customFormat="false" ht="29.25" hidden="false" customHeight="true" outlineLevel="0" collapsed="false">
      <c r="A115" s="6" t="s">
        <v>492</v>
      </c>
      <c r="B115" s="9" t="s">
        <v>590</v>
      </c>
    </row>
    <row r="116" customFormat="false" ht="16.5" hidden="false" customHeight="true" outlineLevel="0" collapsed="false">
      <c r="A116" s="6" t="s">
        <v>494</v>
      </c>
      <c r="B116" s="9" t="s">
        <v>591</v>
      </c>
    </row>
    <row r="117" customFormat="false" ht="16.5" hidden="false" customHeight="true" outlineLevel="0" collapsed="false">
      <c r="A117" s="6" t="s">
        <v>496</v>
      </c>
      <c r="B117" s="8" t="s">
        <v>592</v>
      </c>
    </row>
    <row r="118" customFormat="false" ht="16.5" hidden="false" customHeight="true" outlineLevel="0" collapsed="false">
      <c r="A118" s="6" t="s">
        <v>498</v>
      </c>
      <c r="B118" s="9" t="s">
        <v>593</v>
      </c>
    </row>
    <row r="119" customFormat="false" ht="16.5" hidden="false" customHeight="true" outlineLevel="0" collapsed="false">
      <c r="A119" s="6" t="s">
        <v>500</v>
      </c>
      <c r="B119" s="8" t="s">
        <v>594</v>
      </c>
    </row>
    <row r="120" customFormat="false" ht="18" hidden="false" customHeight="true" outlineLevel="0" collapsed="false">
      <c r="A120" s="6" t="s">
        <v>502</v>
      </c>
      <c r="B120" s="8" t="str">
        <f aca="false">"화당 "&amp;턴_설계!$B$5&amp;"턴 · 부 총 "&amp;TEXT(턴_설계!D38,"#,##0")&amp;"턴 · 화당 약 "&amp;TEXT(턴_설계!F38,"#,##0")&amp;"단어 · 낭독 약 "&amp;TEXT(턴_설계!H38,"0.0")&amp;"분 (평균 "&amp;TEXT(턴_설계!E38,"0.0")&amp;"단어/턴)"</f>
        <v>화당 120턴 · 부 총 1,440턴 · 화당 약 1,219단어 · 낭독 약 9.4분 (평균 10.2단어/턴)</v>
      </c>
    </row>
    <row r="121" customFormat="false" ht="16.5" hidden="false" customHeight="true" outlineLevel="0" collapsed="false">
      <c r="A121" s="11" t="s">
        <v>503</v>
      </c>
      <c r="B121" s="8" t="s">
        <v>595</v>
      </c>
    </row>
    <row r="122" customFormat="false" ht="16.5" hidden="false" customHeight="true" outlineLevel="0" collapsed="false">
      <c r="A122" s="6" t="s">
        <v>505</v>
      </c>
      <c r="B122" s="8" t="s">
        <v>596</v>
      </c>
    </row>
    <row r="124" customFormat="false" ht="30" hidden="false" customHeight="true" outlineLevel="0" collapsed="false">
      <c r="A124" s="59" t="s">
        <v>325</v>
      </c>
      <c r="B124" s="60" t="s">
        <v>597</v>
      </c>
    </row>
    <row r="125" customFormat="false" ht="16.5" hidden="false" customHeight="true" outlineLevel="0" collapsed="false">
      <c r="A125" s="6" t="s">
        <v>472</v>
      </c>
      <c r="B125" s="9" t="s">
        <v>598</v>
      </c>
    </row>
    <row r="126" customFormat="false" ht="29.25" hidden="false" customHeight="true" outlineLevel="0" collapsed="false">
      <c r="A126" s="6" t="s">
        <v>474</v>
      </c>
      <c r="B126" s="9" t="s">
        <v>599</v>
      </c>
    </row>
    <row r="127" customFormat="false" ht="16.5" hidden="false" customHeight="true" outlineLevel="0" collapsed="false">
      <c r="A127" s="6" t="s">
        <v>476</v>
      </c>
      <c r="B127" s="9" t="s">
        <v>600</v>
      </c>
    </row>
    <row r="128" customFormat="false" ht="16.5" hidden="false" customHeight="true" outlineLevel="0" collapsed="false">
      <c r="A128" s="6" t="s">
        <v>478</v>
      </c>
      <c r="B128" s="9" t="s">
        <v>601</v>
      </c>
    </row>
    <row r="129" customFormat="false" ht="16.5" hidden="false" customHeight="true" outlineLevel="0" collapsed="false">
      <c r="A129" s="6" t="s">
        <v>480</v>
      </c>
      <c r="B129" s="9" t="s">
        <v>602</v>
      </c>
    </row>
    <row r="130" customFormat="false" ht="16.5" hidden="false" customHeight="true" outlineLevel="0" collapsed="false">
      <c r="A130" s="6" t="s">
        <v>482</v>
      </c>
      <c r="B130" s="9" t="s">
        <v>603</v>
      </c>
    </row>
    <row r="131" customFormat="false" ht="16.5" hidden="false" customHeight="true" outlineLevel="0" collapsed="false">
      <c r="A131" s="6" t="s">
        <v>484</v>
      </c>
      <c r="B131" s="9" t="s">
        <v>604</v>
      </c>
    </row>
    <row r="132" customFormat="false" ht="16.5" hidden="false" customHeight="true" outlineLevel="0" collapsed="false">
      <c r="A132" s="6" t="s">
        <v>486</v>
      </c>
      <c r="B132" s="9" t="s">
        <v>605</v>
      </c>
    </row>
    <row r="133" customFormat="false" ht="16.5" hidden="false" customHeight="true" outlineLevel="0" collapsed="false">
      <c r="A133" s="6" t="s">
        <v>488</v>
      </c>
      <c r="B133" s="9" t="s">
        <v>606</v>
      </c>
    </row>
    <row r="134" customFormat="false" ht="16.5" hidden="false" customHeight="true" outlineLevel="0" collapsed="false">
      <c r="A134" s="6" t="s">
        <v>490</v>
      </c>
      <c r="B134" s="9" t="s">
        <v>607</v>
      </c>
    </row>
    <row r="135" customFormat="false" ht="16.5" hidden="false" customHeight="true" outlineLevel="0" collapsed="false">
      <c r="A135" s="6" t="s">
        <v>492</v>
      </c>
      <c r="B135" s="8" t="s">
        <v>608</v>
      </c>
    </row>
    <row r="136" customFormat="false" ht="16.5" hidden="false" customHeight="true" outlineLevel="0" collapsed="false">
      <c r="A136" s="6" t="s">
        <v>494</v>
      </c>
      <c r="B136" s="8" t="s">
        <v>609</v>
      </c>
    </row>
    <row r="137" customFormat="false" ht="16.5" hidden="false" customHeight="true" outlineLevel="0" collapsed="false">
      <c r="A137" s="6" t="s">
        <v>496</v>
      </c>
      <c r="B137" s="8" t="s">
        <v>610</v>
      </c>
    </row>
    <row r="138" customFormat="false" ht="29.25" hidden="false" customHeight="true" outlineLevel="0" collapsed="false">
      <c r="A138" s="6" t="s">
        <v>498</v>
      </c>
      <c r="B138" s="9" t="s">
        <v>611</v>
      </c>
    </row>
    <row r="139" customFormat="false" ht="16.5" hidden="false" customHeight="true" outlineLevel="0" collapsed="false">
      <c r="A139" s="6" t="s">
        <v>500</v>
      </c>
      <c r="B139" s="8" t="s">
        <v>612</v>
      </c>
    </row>
    <row r="140" customFormat="false" ht="18" hidden="false" customHeight="true" outlineLevel="0" collapsed="false">
      <c r="A140" s="6" t="s">
        <v>502</v>
      </c>
      <c r="B140" s="8" t="str">
        <f aca="false">"화당 "&amp;턴_설계!$B$5&amp;"턴 · 부 총 "&amp;TEXT(턴_설계!D39,"#,##0")&amp;"턴 · 화당 약 "&amp;TEXT(턴_설계!F39,"#,##0")&amp;"단어 · 낭독 약 "&amp;TEXT(턴_설계!H39,"0.0")&amp;"분 (평균 "&amp;TEXT(턴_설계!E39,"0.0")&amp;"단어/턴)"</f>
        <v>화당 120턴 · 부 총 1,440턴 · 화당 약 1,242단어 · 낭독 약 9.6분 (평균 10.4단어/턴)</v>
      </c>
    </row>
    <row r="141" customFormat="false" ht="16.5" hidden="false" customHeight="true" outlineLevel="0" collapsed="false">
      <c r="A141" s="11" t="s">
        <v>503</v>
      </c>
      <c r="B141" s="8" t="s">
        <v>613</v>
      </c>
    </row>
    <row r="142" customFormat="false" ht="16.5" hidden="false" customHeight="true" outlineLevel="0" collapsed="false">
      <c r="A142" s="6" t="s">
        <v>505</v>
      </c>
      <c r="B142" s="8" t="s">
        <v>614</v>
      </c>
    </row>
    <row r="144" customFormat="false" ht="30" hidden="false" customHeight="true" outlineLevel="0" collapsed="false">
      <c r="A144" s="59" t="s">
        <v>326</v>
      </c>
      <c r="B144" s="60" t="s">
        <v>615</v>
      </c>
    </row>
    <row r="145" customFormat="false" ht="29.25" hidden="false" customHeight="true" outlineLevel="0" collapsed="false">
      <c r="A145" s="6" t="s">
        <v>472</v>
      </c>
      <c r="B145" s="9" t="s">
        <v>616</v>
      </c>
    </row>
    <row r="146" customFormat="false" ht="29.25" hidden="false" customHeight="true" outlineLevel="0" collapsed="false">
      <c r="A146" s="6" t="s">
        <v>474</v>
      </c>
      <c r="B146" s="9" t="s">
        <v>617</v>
      </c>
    </row>
    <row r="147" customFormat="false" ht="16.5" hidden="false" customHeight="true" outlineLevel="0" collapsed="false">
      <c r="A147" s="6" t="s">
        <v>476</v>
      </c>
      <c r="B147" s="9" t="s">
        <v>618</v>
      </c>
    </row>
    <row r="148" customFormat="false" ht="16.5" hidden="false" customHeight="true" outlineLevel="0" collapsed="false">
      <c r="A148" s="6" t="s">
        <v>478</v>
      </c>
      <c r="B148" s="9" t="s">
        <v>619</v>
      </c>
    </row>
    <row r="149" customFormat="false" ht="16.5" hidden="false" customHeight="true" outlineLevel="0" collapsed="false">
      <c r="A149" s="6" t="s">
        <v>480</v>
      </c>
      <c r="B149" s="9" t="s">
        <v>620</v>
      </c>
    </row>
    <row r="150" customFormat="false" ht="16.5" hidden="false" customHeight="true" outlineLevel="0" collapsed="false">
      <c r="A150" s="6" t="s">
        <v>482</v>
      </c>
      <c r="B150" s="9" t="s">
        <v>621</v>
      </c>
    </row>
    <row r="151" customFormat="false" ht="16.5" hidden="false" customHeight="true" outlineLevel="0" collapsed="false">
      <c r="A151" s="6" t="s">
        <v>484</v>
      </c>
      <c r="B151" s="9" t="s">
        <v>622</v>
      </c>
    </row>
    <row r="152" customFormat="false" ht="16.5" hidden="false" customHeight="true" outlineLevel="0" collapsed="false">
      <c r="A152" s="6" t="s">
        <v>486</v>
      </c>
      <c r="B152" s="9" t="s">
        <v>623</v>
      </c>
    </row>
    <row r="153" customFormat="false" ht="16.5" hidden="false" customHeight="true" outlineLevel="0" collapsed="false">
      <c r="A153" s="6" t="s">
        <v>488</v>
      </c>
      <c r="B153" s="9" t="s">
        <v>624</v>
      </c>
    </row>
    <row r="154" customFormat="false" ht="16.5" hidden="false" customHeight="true" outlineLevel="0" collapsed="false">
      <c r="A154" s="6" t="s">
        <v>490</v>
      </c>
      <c r="B154" s="9" t="s">
        <v>625</v>
      </c>
    </row>
    <row r="155" customFormat="false" ht="29.25" hidden="false" customHeight="true" outlineLevel="0" collapsed="false">
      <c r="A155" s="6" t="s">
        <v>492</v>
      </c>
      <c r="B155" s="8" t="s">
        <v>626</v>
      </c>
    </row>
    <row r="156" customFormat="false" ht="16.5" hidden="false" customHeight="true" outlineLevel="0" collapsed="false">
      <c r="A156" s="6" t="s">
        <v>494</v>
      </c>
      <c r="B156" s="8" t="s">
        <v>627</v>
      </c>
    </row>
    <row r="157" customFormat="false" ht="16.5" hidden="false" customHeight="true" outlineLevel="0" collapsed="false">
      <c r="A157" s="6" t="s">
        <v>496</v>
      </c>
      <c r="B157" s="8" t="s">
        <v>628</v>
      </c>
    </row>
    <row r="158" customFormat="false" ht="16.5" hidden="false" customHeight="true" outlineLevel="0" collapsed="false">
      <c r="A158" s="6" t="s">
        <v>498</v>
      </c>
      <c r="B158" s="9" t="s">
        <v>629</v>
      </c>
    </row>
    <row r="159" customFormat="false" ht="16.5" hidden="false" customHeight="true" outlineLevel="0" collapsed="false">
      <c r="A159" s="6" t="s">
        <v>500</v>
      </c>
      <c r="B159" s="8" t="s">
        <v>630</v>
      </c>
    </row>
    <row r="160" customFormat="false" ht="18" hidden="false" customHeight="true" outlineLevel="0" collapsed="false">
      <c r="A160" s="6" t="s">
        <v>502</v>
      </c>
      <c r="B160" s="8" t="str">
        <f aca="false">"화당 "&amp;턴_설계!$B$5&amp;"턴 · 부 총 "&amp;TEXT(턴_설계!D40,"#,##0")&amp;"턴 · 화당 약 "&amp;TEXT(턴_설계!F40,"#,##0")&amp;"단어 · 낭독 약 "&amp;TEXT(턴_설계!H40,"0.0")&amp;"분 (평균 "&amp;TEXT(턴_설계!E40,"0.0")&amp;"단어/턴)"</f>
        <v>화당 120턴 · 부 총 1,440턴 · 화당 약 1,379단어 · 낭독 약 10.6분 (평균 11.5단어/턴)</v>
      </c>
    </row>
    <row r="161" customFormat="false" ht="16.5" hidden="false" customHeight="true" outlineLevel="0" collapsed="false">
      <c r="A161" s="11" t="s">
        <v>503</v>
      </c>
      <c r="B161" s="8" t="s">
        <v>631</v>
      </c>
    </row>
    <row r="162" customFormat="false" ht="16.5" hidden="false" customHeight="true" outlineLevel="0" collapsed="false">
      <c r="A162" s="6" t="s">
        <v>505</v>
      </c>
      <c r="B162" s="8" t="s">
        <v>632</v>
      </c>
    </row>
    <row r="164" customFormat="false" ht="30" hidden="false" customHeight="true" outlineLevel="0" collapsed="false">
      <c r="A164" s="59" t="s">
        <v>327</v>
      </c>
      <c r="B164" s="60" t="s">
        <v>633</v>
      </c>
    </row>
    <row r="165" customFormat="false" ht="16.5" hidden="false" customHeight="true" outlineLevel="0" collapsed="false">
      <c r="A165" s="6" t="s">
        <v>472</v>
      </c>
      <c r="B165" s="9" t="s">
        <v>634</v>
      </c>
    </row>
    <row r="166" customFormat="false" ht="29.25" hidden="false" customHeight="true" outlineLevel="0" collapsed="false">
      <c r="A166" s="6" t="s">
        <v>474</v>
      </c>
      <c r="B166" s="9" t="s">
        <v>635</v>
      </c>
    </row>
    <row r="167" customFormat="false" ht="16.5" hidden="false" customHeight="true" outlineLevel="0" collapsed="false">
      <c r="A167" s="6" t="s">
        <v>476</v>
      </c>
      <c r="B167" s="9" t="s">
        <v>636</v>
      </c>
    </row>
    <row r="168" customFormat="false" ht="16.5" hidden="false" customHeight="true" outlineLevel="0" collapsed="false">
      <c r="A168" s="6" t="s">
        <v>478</v>
      </c>
      <c r="B168" s="9" t="s">
        <v>637</v>
      </c>
    </row>
    <row r="169" customFormat="false" ht="16.5" hidden="false" customHeight="true" outlineLevel="0" collapsed="false">
      <c r="A169" s="6" t="s">
        <v>480</v>
      </c>
      <c r="B169" s="9" t="s">
        <v>638</v>
      </c>
    </row>
    <row r="170" customFormat="false" ht="16.5" hidden="false" customHeight="true" outlineLevel="0" collapsed="false">
      <c r="A170" s="6" t="s">
        <v>482</v>
      </c>
      <c r="B170" s="9" t="s">
        <v>639</v>
      </c>
    </row>
    <row r="171" customFormat="false" ht="16.5" hidden="false" customHeight="true" outlineLevel="0" collapsed="false">
      <c r="A171" s="6" t="s">
        <v>484</v>
      </c>
      <c r="B171" s="9" t="s">
        <v>640</v>
      </c>
    </row>
    <row r="172" customFormat="false" ht="16.5" hidden="false" customHeight="true" outlineLevel="0" collapsed="false">
      <c r="A172" s="6" t="s">
        <v>486</v>
      </c>
      <c r="B172" s="9" t="s">
        <v>641</v>
      </c>
    </row>
    <row r="173" customFormat="false" ht="16.5" hidden="false" customHeight="true" outlineLevel="0" collapsed="false">
      <c r="A173" s="6" t="s">
        <v>488</v>
      </c>
      <c r="B173" s="9" t="s">
        <v>642</v>
      </c>
    </row>
    <row r="174" customFormat="false" ht="16.5" hidden="false" customHeight="true" outlineLevel="0" collapsed="false">
      <c r="A174" s="6" t="s">
        <v>490</v>
      </c>
      <c r="B174" s="9" t="s">
        <v>643</v>
      </c>
    </row>
    <row r="175" customFormat="false" ht="29.25" hidden="false" customHeight="true" outlineLevel="0" collapsed="false">
      <c r="A175" s="6" t="s">
        <v>492</v>
      </c>
      <c r="B175" s="8" t="s">
        <v>644</v>
      </c>
    </row>
    <row r="176" customFormat="false" ht="16.5" hidden="false" customHeight="true" outlineLevel="0" collapsed="false">
      <c r="A176" s="6" t="s">
        <v>494</v>
      </c>
      <c r="B176" s="8" t="s">
        <v>645</v>
      </c>
    </row>
    <row r="177" customFormat="false" ht="16.5" hidden="false" customHeight="true" outlineLevel="0" collapsed="false">
      <c r="A177" s="6" t="s">
        <v>496</v>
      </c>
      <c r="B177" s="8" t="s">
        <v>646</v>
      </c>
    </row>
    <row r="178" customFormat="false" ht="16.5" hidden="false" customHeight="true" outlineLevel="0" collapsed="false">
      <c r="A178" s="6" t="s">
        <v>498</v>
      </c>
      <c r="B178" s="9" t="s">
        <v>647</v>
      </c>
    </row>
    <row r="179" customFormat="false" ht="16.5" hidden="false" customHeight="true" outlineLevel="0" collapsed="false">
      <c r="A179" s="6" t="s">
        <v>500</v>
      </c>
      <c r="B179" s="8" t="s">
        <v>648</v>
      </c>
    </row>
    <row r="180" customFormat="false" ht="18" hidden="false" customHeight="true" outlineLevel="0" collapsed="false">
      <c r="A180" s="6" t="s">
        <v>502</v>
      </c>
      <c r="B180" s="8" t="str">
        <f aca="false">"화당 "&amp;턴_설계!$B$5&amp;"턴 · 부 총 "&amp;TEXT(턴_설계!D41,"#,##0")&amp;"턴 · 화당 약 "&amp;TEXT(턴_설계!F41,"#,##0")&amp;"단어 · 낭독 약 "&amp;TEXT(턴_설계!H41,"0.0")&amp;"분 (평균 "&amp;TEXT(턴_설계!E41,"0.0")&amp;"단어/턴)"</f>
        <v>화당 120턴 · 부 총 1,440턴 · 화당 약 1,338단어 · 낭독 약 10.3분 (평균 11.2단어/턴)</v>
      </c>
    </row>
    <row r="181" customFormat="false" ht="16.5" hidden="false" customHeight="true" outlineLevel="0" collapsed="false">
      <c r="A181" s="11" t="s">
        <v>503</v>
      </c>
      <c r="B181" s="8" t="s">
        <v>649</v>
      </c>
    </row>
    <row r="182" customFormat="false" ht="16.5" hidden="false" customHeight="true" outlineLevel="0" collapsed="false">
      <c r="A182" s="6" t="s">
        <v>505</v>
      </c>
      <c r="B182" s="8" t="s">
        <v>650</v>
      </c>
    </row>
    <row r="184" customFormat="false" ht="30" hidden="false" customHeight="true" outlineLevel="0" collapsed="false">
      <c r="A184" s="59" t="s">
        <v>328</v>
      </c>
      <c r="B184" s="60" t="s">
        <v>651</v>
      </c>
    </row>
    <row r="185" customFormat="false" ht="16.5" hidden="false" customHeight="true" outlineLevel="0" collapsed="false">
      <c r="A185" s="6" t="s">
        <v>472</v>
      </c>
      <c r="B185" s="9" t="s">
        <v>652</v>
      </c>
    </row>
    <row r="186" customFormat="false" ht="16.5" hidden="false" customHeight="true" outlineLevel="0" collapsed="false">
      <c r="A186" s="6" t="s">
        <v>474</v>
      </c>
      <c r="B186" s="9" t="s">
        <v>653</v>
      </c>
    </row>
    <row r="187" customFormat="false" ht="16.5" hidden="false" customHeight="true" outlineLevel="0" collapsed="false">
      <c r="A187" s="6" t="s">
        <v>476</v>
      </c>
      <c r="B187" s="9" t="s">
        <v>654</v>
      </c>
    </row>
    <row r="188" customFormat="false" ht="16.5" hidden="false" customHeight="true" outlineLevel="0" collapsed="false">
      <c r="A188" s="6" t="s">
        <v>478</v>
      </c>
      <c r="B188" s="9" t="s">
        <v>655</v>
      </c>
    </row>
    <row r="189" customFormat="false" ht="16.5" hidden="false" customHeight="true" outlineLevel="0" collapsed="false">
      <c r="A189" s="6" t="s">
        <v>480</v>
      </c>
      <c r="B189" s="9" t="s">
        <v>656</v>
      </c>
    </row>
    <row r="190" customFormat="false" ht="16.5" hidden="false" customHeight="true" outlineLevel="0" collapsed="false">
      <c r="A190" s="6" t="s">
        <v>482</v>
      </c>
      <c r="B190" s="9" t="s">
        <v>657</v>
      </c>
    </row>
    <row r="191" customFormat="false" ht="16.5" hidden="false" customHeight="true" outlineLevel="0" collapsed="false">
      <c r="A191" s="6" t="s">
        <v>484</v>
      </c>
      <c r="B191" s="9" t="s">
        <v>658</v>
      </c>
    </row>
    <row r="192" customFormat="false" ht="16.5" hidden="false" customHeight="true" outlineLevel="0" collapsed="false">
      <c r="A192" s="6" t="s">
        <v>486</v>
      </c>
      <c r="B192" s="9" t="s">
        <v>659</v>
      </c>
    </row>
    <row r="193" customFormat="false" ht="16.5" hidden="false" customHeight="true" outlineLevel="0" collapsed="false">
      <c r="A193" s="6" t="s">
        <v>488</v>
      </c>
      <c r="B193" s="9" t="s">
        <v>660</v>
      </c>
    </row>
    <row r="194" customFormat="false" ht="16.5" hidden="false" customHeight="true" outlineLevel="0" collapsed="false">
      <c r="A194" s="6" t="s">
        <v>490</v>
      </c>
      <c r="B194" s="9" t="s">
        <v>661</v>
      </c>
    </row>
    <row r="195" customFormat="false" ht="29.25" hidden="false" customHeight="true" outlineLevel="0" collapsed="false">
      <c r="A195" s="6" t="s">
        <v>492</v>
      </c>
      <c r="B195" s="8" t="s">
        <v>662</v>
      </c>
    </row>
    <row r="196" customFormat="false" ht="16.5" hidden="false" customHeight="true" outlineLevel="0" collapsed="false">
      <c r="A196" s="6" t="s">
        <v>494</v>
      </c>
      <c r="B196" s="8" t="s">
        <v>663</v>
      </c>
    </row>
    <row r="197" customFormat="false" ht="16.5" hidden="false" customHeight="true" outlineLevel="0" collapsed="false">
      <c r="A197" s="6" t="s">
        <v>496</v>
      </c>
      <c r="B197" s="8" t="s">
        <v>664</v>
      </c>
    </row>
    <row r="198" customFormat="false" ht="16.5" hidden="false" customHeight="true" outlineLevel="0" collapsed="false">
      <c r="A198" s="6" t="s">
        <v>498</v>
      </c>
      <c r="B198" s="9" t="s">
        <v>665</v>
      </c>
    </row>
    <row r="199" customFormat="false" ht="16.5" hidden="false" customHeight="true" outlineLevel="0" collapsed="false">
      <c r="A199" s="6" t="s">
        <v>500</v>
      </c>
      <c r="B199" s="8" t="s">
        <v>666</v>
      </c>
    </row>
    <row r="200" customFormat="false" ht="18" hidden="false" customHeight="true" outlineLevel="0" collapsed="false">
      <c r="A200" s="6" t="s">
        <v>502</v>
      </c>
      <c r="B200" s="8" t="str">
        <f aca="false">"화당 "&amp;턴_설계!$B$5&amp;"턴 · 부 총 "&amp;TEXT(턴_설계!D42,"#,##0")&amp;"턴 · 화당 약 "&amp;TEXT(턴_설계!F42,"#,##0")&amp;"단어 · 낭독 약 "&amp;TEXT(턴_설계!H42,"0.0")&amp;"분 (평균 "&amp;TEXT(턴_설계!E42,"0.0")&amp;"단어/턴)"</f>
        <v>화당 120턴 · 부 총 1,440턴 · 화당 약 1,529단어 · 낭독 약 11.8분 (평균 12.7단어/턴)</v>
      </c>
    </row>
    <row r="201" customFormat="false" ht="16.5" hidden="false" customHeight="true" outlineLevel="0" collapsed="false">
      <c r="A201" s="11" t="s">
        <v>503</v>
      </c>
      <c r="B201" s="8" t="s">
        <v>667</v>
      </c>
    </row>
    <row r="202" customFormat="false" ht="16.5" hidden="false" customHeight="true" outlineLevel="0" collapsed="false">
      <c r="A202" s="6" t="s">
        <v>505</v>
      </c>
      <c r="B202" s="8" t="s">
        <v>668</v>
      </c>
    </row>
    <row r="204" customFormat="false" ht="30" hidden="false" customHeight="true" outlineLevel="0" collapsed="false">
      <c r="A204" s="59" t="s">
        <v>329</v>
      </c>
      <c r="B204" s="60" t="s">
        <v>669</v>
      </c>
    </row>
    <row r="205" customFormat="false" ht="29.25" hidden="false" customHeight="true" outlineLevel="0" collapsed="false">
      <c r="A205" s="6" t="s">
        <v>472</v>
      </c>
      <c r="B205" s="9" t="s">
        <v>670</v>
      </c>
    </row>
    <row r="206" customFormat="false" ht="29.25" hidden="false" customHeight="true" outlineLevel="0" collapsed="false">
      <c r="A206" s="6" t="s">
        <v>474</v>
      </c>
      <c r="B206" s="9" t="s">
        <v>671</v>
      </c>
    </row>
    <row r="207" customFormat="false" ht="16.5" hidden="false" customHeight="true" outlineLevel="0" collapsed="false">
      <c r="A207" s="6" t="s">
        <v>476</v>
      </c>
      <c r="B207" s="9" t="s">
        <v>672</v>
      </c>
    </row>
    <row r="208" customFormat="false" ht="16.5" hidden="false" customHeight="true" outlineLevel="0" collapsed="false">
      <c r="A208" s="6" t="s">
        <v>478</v>
      </c>
      <c r="B208" s="9" t="s">
        <v>673</v>
      </c>
    </row>
    <row r="209" customFormat="false" ht="16.5" hidden="false" customHeight="true" outlineLevel="0" collapsed="false">
      <c r="A209" s="6" t="s">
        <v>480</v>
      </c>
      <c r="B209" s="9" t="s">
        <v>674</v>
      </c>
    </row>
    <row r="210" customFormat="false" ht="16.5" hidden="false" customHeight="true" outlineLevel="0" collapsed="false">
      <c r="A210" s="6" t="s">
        <v>482</v>
      </c>
      <c r="B210" s="9" t="s">
        <v>675</v>
      </c>
    </row>
    <row r="211" customFormat="false" ht="16.5" hidden="false" customHeight="true" outlineLevel="0" collapsed="false">
      <c r="A211" s="6" t="s">
        <v>484</v>
      </c>
      <c r="B211" s="9" t="s">
        <v>676</v>
      </c>
    </row>
    <row r="212" customFormat="false" ht="16.5" hidden="false" customHeight="true" outlineLevel="0" collapsed="false">
      <c r="A212" s="6" t="s">
        <v>486</v>
      </c>
      <c r="B212" s="9" t="s">
        <v>677</v>
      </c>
    </row>
    <row r="213" customFormat="false" ht="29.25" hidden="false" customHeight="true" outlineLevel="0" collapsed="false">
      <c r="A213" s="6" t="s">
        <v>488</v>
      </c>
      <c r="B213" s="9" t="s">
        <v>678</v>
      </c>
    </row>
    <row r="214" customFormat="false" ht="16.5" hidden="false" customHeight="true" outlineLevel="0" collapsed="false">
      <c r="A214" s="6" t="s">
        <v>490</v>
      </c>
      <c r="B214" s="9" t="s">
        <v>679</v>
      </c>
    </row>
    <row r="215" customFormat="false" ht="16.5" hidden="false" customHeight="true" outlineLevel="0" collapsed="false">
      <c r="A215" s="6" t="s">
        <v>680</v>
      </c>
      <c r="B215" s="9" t="s">
        <v>681</v>
      </c>
    </row>
    <row r="216" customFormat="false" ht="29.25" hidden="false" customHeight="true" outlineLevel="0" collapsed="false">
      <c r="A216" s="6" t="s">
        <v>492</v>
      </c>
      <c r="B216" s="8" t="s">
        <v>682</v>
      </c>
    </row>
    <row r="217" customFormat="false" ht="29.25" hidden="false" customHeight="true" outlineLevel="0" collapsed="false">
      <c r="A217" s="6" t="s">
        <v>494</v>
      </c>
      <c r="B217" s="8" t="s">
        <v>683</v>
      </c>
    </row>
    <row r="218" customFormat="false" ht="16.5" hidden="false" customHeight="true" outlineLevel="0" collapsed="false">
      <c r="A218" s="6" t="s">
        <v>496</v>
      </c>
      <c r="B218" s="8" t="s">
        <v>684</v>
      </c>
    </row>
    <row r="219" customFormat="false" ht="16.5" hidden="false" customHeight="true" outlineLevel="0" collapsed="false">
      <c r="A219" s="6" t="s">
        <v>498</v>
      </c>
      <c r="B219" s="9" t="s">
        <v>685</v>
      </c>
    </row>
    <row r="220" customFormat="false" ht="29.25" hidden="false" customHeight="true" outlineLevel="0" collapsed="false">
      <c r="A220" s="6" t="s">
        <v>500</v>
      </c>
      <c r="B220" s="8" t="s">
        <v>686</v>
      </c>
    </row>
    <row r="221" customFormat="false" ht="18" hidden="false" customHeight="true" outlineLevel="0" collapsed="false">
      <c r="A221" s="6" t="s">
        <v>502</v>
      </c>
      <c r="B221" s="8" t="str">
        <f aca="false">"화당 "&amp;턴_설계!$B$5&amp;"턴 · 부 총 "&amp;TEXT(턴_설계!D43,"#,##0")&amp;"턴 · 화당 약 "&amp;TEXT(턴_설계!F43,"#,##0")&amp;"단어 · 낭독 약 "&amp;TEXT(턴_설계!H43,"0.0")&amp;"분 (평균 "&amp;TEXT(턴_설계!E43,"0.0")&amp;"단어/턴)"</f>
        <v>화당 120턴 · 부 총 1,440턴 · 화당 약 1,479단어 · 낭독 약 11.4분 (평균 12.3단어/턴)</v>
      </c>
    </row>
    <row r="222" customFormat="false" ht="16.5" hidden="false" customHeight="true" outlineLevel="0" collapsed="false">
      <c r="A222" s="11" t="s">
        <v>503</v>
      </c>
      <c r="B222" s="8" t="s">
        <v>687</v>
      </c>
    </row>
    <row r="223" customFormat="false" ht="16.5" hidden="false" customHeight="true" outlineLevel="0" collapsed="false">
      <c r="A223" s="6" t="s">
        <v>505</v>
      </c>
      <c r="B223" s="8" t="s">
        <v>688</v>
      </c>
    </row>
    <row r="225" customFormat="false" ht="30" hidden="false" customHeight="true" outlineLevel="0" collapsed="false">
      <c r="A225" s="59" t="s">
        <v>330</v>
      </c>
      <c r="B225" s="60" t="s">
        <v>689</v>
      </c>
    </row>
    <row r="226" customFormat="false" ht="29.25" hidden="false" customHeight="true" outlineLevel="0" collapsed="false">
      <c r="A226" s="6" t="s">
        <v>472</v>
      </c>
      <c r="B226" s="9" t="s">
        <v>690</v>
      </c>
    </row>
    <row r="227" customFormat="false" ht="29.25" hidden="false" customHeight="true" outlineLevel="0" collapsed="false">
      <c r="A227" s="6" t="s">
        <v>474</v>
      </c>
      <c r="B227" s="9" t="s">
        <v>691</v>
      </c>
    </row>
    <row r="228" customFormat="false" ht="16.5" hidden="false" customHeight="true" outlineLevel="0" collapsed="false">
      <c r="A228" s="6" t="s">
        <v>476</v>
      </c>
      <c r="B228" s="9" t="s">
        <v>692</v>
      </c>
    </row>
    <row r="229" customFormat="false" ht="16.5" hidden="false" customHeight="true" outlineLevel="0" collapsed="false">
      <c r="A229" s="6" t="s">
        <v>478</v>
      </c>
      <c r="B229" s="9" t="s">
        <v>693</v>
      </c>
    </row>
    <row r="230" customFormat="false" ht="16.5" hidden="false" customHeight="true" outlineLevel="0" collapsed="false">
      <c r="A230" s="6" t="s">
        <v>480</v>
      </c>
      <c r="B230" s="9" t="s">
        <v>694</v>
      </c>
    </row>
    <row r="231" customFormat="false" ht="16.5" hidden="false" customHeight="true" outlineLevel="0" collapsed="false">
      <c r="A231" s="6" t="s">
        <v>482</v>
      </c>
      <c r="B231" s="9" t="s">
        <v>695</v>
      </c>
    </row>
    <row r="232" customFormat="false" ht="16.5" hidden="false" customHeight="true" outlineLevel="0" collapsed="false">
      <c r="A232" s="6" t="s">
        <v>484</v>
      </c>
      <c r="B232" s="9" t="s">
        <v>696</v>
      </c>
    </row>
    <row r="233" customFormat="false" ht="16.5" hidden="false" customHeight="true" outlineLevel="0" collapsed="false">
      <c r="A233" s="6" t="s">
        <v>486</v>
      </c>
      <c r="B233" s="9" t="s">
        <v>697</v>
      </c>
    </row>
    <row r="234" customFormat="false" ht="16.5" hidden="false" customHeight="true" outlineLevel="0" collapsed="false">
      <c r="A234" s="6" t="s">
        <v>488</v>
      </c>
      <c r="B234" s="9" t="s">
        <v>698</v>
      </c>
    </row>
    <row r="235" customFormat="false" ht="16.5" hidden="false" customHeight="true" outlineLevel="0" collapsed="false">
      <c r="A235" s="6" t="s">
        <v>490</v>
      </c>
      <c r="B235" s="9" t="s">
        <v>699</v>
      </c>
    </row>
    <row r="236" customFormat="false" ht="29.25" hidden="false" customHeight="true" outlineLevel="0" collapsed="false">
      <c r="A236" s="6" t="s">
        <v>492</v>
      </c>
      <c r="B236" s="8" t="s">
        <v>700</v>
      </c>
    </row>
    <row r="237" customFormat="false" ht="16.5" hidden="false" customHeight="true" outlineLevel="0" collapsed="false">
      <c r="A237" s="6" t="s">
        <v>494</v>
      </c>
      <c r="B237" s="8" t="s">
        <v>701</v>
      </c>
    </row>
    <row r="238" customFormat="false" ht="16.5" hidden="false" customHeight="true" outlineLevel="0" collapsed="false">
      <c r="A238" s="6" t="s">
        <v>496</v>
      </c>
      <c r="B238" s="8" t="s">
        <v>702</v>
      </c>
    </row>
    <row r="239" customFormat="false" ht="29.25" hidden="false" customHeight="true" outlineLevel="0" collapsed="false">
      <c r="A239" s="6" t="s">
        <v>498</v>
      </c>
      <c r="B239" s="9" t="s">
        <v>703</v>
      </c>
    </row>
    <row r="240" customFormat="false" ht="16.5" hidden="false" customHeight="true" outlineLevel="0" collapsed="false">
      <c r="A240" s="6" t="s">
        <v>500</v>
      </c>
      <c r="B240" s="8" t="s">
        <v>704</v>
      </c>
    </row>
    <row r="241" customFormat="false" ht="18" hidden="false" customHeight="true" outlineLevel="0" collapsed="false">
      <c r="A241" s="6" t="s">
        <v>502</v>
      </c>
      <c r="B241" s="8" t="str">
        <f aca="false">"화당 "&amp;턴_설계!$B$5&amp;"턴 · 부 총 "&amp;TEXT(턴_설계!D44,"#,##0")&amp;"턴 · 화당 약 "&amp;TEXT(턴_설계!F44,"#,##0")&amp;"단어 · 낭독 약 "&amp;TEXT(턴_설계!H44,"0.0")&amp;"분 (평균 "&amp;TEXT(턴_설계!E44,"0.0")&amp;"단어/턴)"</f>
        <v>화당 120턴 · 부 총 1,440턴 · 화당 약 914단어 · 낭독 약 7.0분 (평균 7.6단어/턴)</v>
      </c>
    </row>
    <row r="242" customFormat="false" ht="16.5" hidden="false" customHeight="true" outlineLevel="0" collapsed="false">
      <c r="A242" s="11" t="s">
        <v>503</v>
      </c>
      <c r="B242" s="8" t="s">
        <v>705</v>
      </c>
    </row>
    <row r="243" customFormat="false" ht="16.5" hidden="false" customHeight="true" outlineLevel="0" collapsed="false">
      <c r="A243" s="6" t="s">
        <v>505</v>
      </c>
      <c r="B243" s="8" t="s">
        <v>706</v>
      </c>
    </row>
    <row r="245" customFormat="false" ht="30" hidden="false" customHeight="true" outlineLevel="0" collapsed="false">
      <c r="A245" s="59" t="s">
        <v>707</v>
      </c>
      <c r="B245" s="60" t="s">
        <v>708</v>
      </c>
    </row>
    <row r="246" customFormat="false" ht="16.5" hidden="false" customHeight="true" outlineLevel="0" collapsed="false">
      <c r="A246" s="6" t="s">
        <v>472</v>
      </c>
      <c r="B246" s="9" t="s">
        <v>709</v>
      </c>
    </row>
    <row r="247" customFormat="false" ht="16.5" hidden="false" customHeight="true" outlineLevel="0" collapsed="false">
      <c r="A247" s="6" t="s">
        <v>474</v>
      </c>
      <c r="B247" s="9" t="s">
        <v>710</v>
      </c>
    </row>
    <row r="248" customFormat="false" ht="16.5" hidden="false" customHeight="true" outlineLevel="0" collapsed="false">
      <c r="A248" s="6" t="s">
        <v>476</v>
      </c>
      <c r="B248" s="9" t="s">
        <v>711</v>
      </c>
    </row>
    <row r="249" customFormat="false" ht="16.5" hidden="false" customHeight="true" outlineLevel="0" collapsed="false">
      <c r="A249" s="6" t="s">
        <v>478</v>
      </c>
      <c r="B249" s="9" t="s">
        <v>712</v>
      </c>
    </row>
    <row r="250" customFormat="false" ht="16.5" hidden="false" customHeight="true" outlineLevel="0" collapsed="false">
      <c r="A250" s="6" t="s">
        <v>480</v>
      </c>
      <c r="B250" s="9" t="s">
        <v>713</v>
      </c>
    </row>
    <row r="251" customFormat="false" ht="16.5" hidden="false" customHeight="true" outlineLevel="0" collapsed="false">
      <c r="A251" s="6" t="s">
        <v>482</v>
      </c>
      <c r="B251" s="9" t="s">
        <v>714</v>
      </c>
    </row>
    <row r="252" customFormat="false" ht="16.5" hidden="false" customHeight="true" outlineLevel="0" collapsed="false">
      <c r="A252" s="6" t="s">
        <v>484</v>
      </c>
      <c r="B252" s="9" t="s">
        <v>715</v>
      </c>
    </row>
    <row r="253" customFormat="false" ht="16.5" hidden="false" customHeight="true" outlineLevel="0" collapsed="false">
      <c r="A253" s="6" t="s">
        <v>486</v>
      </c>
      <c r="B253" s="9" t="s">
        <v>716</v>
      </c>
    </row>
    <row r="254" customFormat="false" ht="16.5" hidden="false" customHeight="true" outlineLevel="0" collapsed="false">
      <c r="A254" s="6" t="s">
        <v>488</v>
      </c>
      <c r="B254" s="9" t="s">
        <v>717</v>
      </c>
    </row>
    <row r="255" customFormat="false" ht="16.5" hidden="false" customHeight="true" outlineLevel="0" collapsed="false">
      <c r="A255" s="6" t="s">
        <v>490</v>
      </c>
      <c r="B255" s="9" t="s">
        <v>718</v>
      </c>
    </row>
    <row r="256" customFormat="false" ht="16.5" hidden="false" customHeight="true" outlineLevel="0" collapsed="false">
      <c r="A256" s="6" t="s">
        <v>492</v>
      </c>
      <c r="B256" s="8" t="s">
        <v>719</v>
      </c>
    </row>
    <row r="257" customFormat="false" ht="16.5" hidden="false" customHeight="true" outlineLevel="0" collapsed="false">
      <c r="A257" s="6" t="s">
        <v>494</v>
      </c>
      <c r="B257" s="8" t="s">
        <v>720</v>
      </c>
    </row>
    <row r="258" customFormat="false" ht="16.5" hidden="false" customHeight="true" outlineLevel="0" collapsed="false">
      <c r="A258" s="6" t="s">
        <v>496</v>
      </c>
      <c r="B258" s="8" t="s">
        <v>721</v>
      </c>
    </row>
    <row r="259" customFormat="false" ht="16.5" hidden="false" customHeight="true" outlineLevel="0" collapsed="false">
      <c r="A259" s="6" t="s">
        <v>498</v>
      </c>
      <c r="B259" s="9" t="s">
        <v>722</v>
      </c>
    </row>
    <row r="260" customFormat="false" ht="16.5" hidden="false" customHeight="true" outlineLevel="0" collapsed="false">
      <c r="A260" s="6" t="s">
        <v>500</v>
      </c>
      <c r="B260" s="8" t="s">
        <v>723</v>
      </c>
    </row>
    <row r="261" customFormat="false" ht="18" hidden="false" customHeight="true" outlineLevel="0" collapsed="false">
      <c r="A261" s="6" t="s">
        <v>502</v>
      </c>
      <c r="B261" s="8" t="str">
        <f aca="false">"화당 "&amp;턴_설계!$B$5&amp;"턴 · 부 총 "&amp;TEXT(턴_설계!D45,"#,##0")&amp;"턴 · 화당 약 "&amp;TEXT(턴_설계!F45,"#,##0")&amp;"단어 · 낭독 약 "&amp;TEXT(턴_설계!H45,"0.0")&amp;"분 (평균 "&amp;TEXT(턴_설계!E45,"0.0")&amp;"단어/턴)"</f>
        <v>화당 120턴 · 부 총 17,280턴 · 화당 약 1,257단어 · 낭독 약 9.7분 (평균 10.5단어/턴)</v>
      </c>
    </row>
    <row r="262" customFormat="false" ht="16.5" hidden="false" customHeight="true" outlineLevel="0" collapsed="false">
      <c r="A262" s="11" t="s">
        <v>503</v>
      </c>
      <c r="B262" s="8" t="s">
        <v>724</v>
      </c>
    </row>
    <row r="263" customFormat="false" ht="16.5" hidden="false" customHeight="true" outlineLevel="0" collapsed="false">
      <c r="A263" s="6" t="s">
        <v>505</v>
      </c>
      <c r="B263" s="9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J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3" min="3" style="1" width="13"/>
    <col collapsed="false" customWidth="true" hidden="false" outlineLevel="0" max="4" min="4" style="1" width="32"/>
    <col collapsed="false" customWidth="true" hidden="false" outlineLevel="0" max="5" min="5" style="1" width="24"/>
    <col collapsed="false" customWidth="true" hidden="false" outlineLevel="0" max="6" min="6" style="1" width="62"/>
    <col collapsed="false" customWidth="true" hidden="false" outlineLevel="0" max="7" min="7" style="1" width="46"/>
    <col collapsed="false" customWidth="true" hidden="false" outlineLevel="0" max="8" min="8" style="1" width="28"/>
    <col collapsed="false" customWidth="true" hidden="false" outlineLevel="0" max="9" min="9" style="1" width="16"/>
    <col collapsed="false" customWidth="true" hidden="false" outlineLevel="0" max="10" min="10" style="1" width="8"/>
  </cols>
  <sheetData>
    <row r="1" customFormat="false" ht="24" hidden="false" customHeight="true" outlineLevel="0" collapsed="false">
      <c r="A1" s="22" t="s">
        <v>726</v>
      </c>
    </row>
    <row r="2" customFormat="false" ht="15" hidden="false" customHeight="true" outlineLevel="0" collapsed="false">
      <c r="A2" s="21" t="s">
        <v>727</v>
      </c>
    </row>
    <row r="4" customFormat="false" ht="29.25" hidden="false" customHeight="true" outlineLevel="0" collapsed="false">
      <c r="A4" s="24" t="s">
        <v>334</v>
      </c>
      <c r="B4" s="24" t="s">
        <v>728</v>
      </c>
      <c r="C4" s="24" t="s">
        <v>472</v>
      </c>
      <c r="D4" s="24" t="s">
        <v>385</v>
      </c>
      <c r="E4" s="24" t="s">
        <v>386</v>
      </c>
      <c r="F4" s="24" t="s">
        <v>729</v>
      </c>
      <c r="G4" s="24" t="s">
        <v>390</v>
      </c>
      <c r="H4" s="24" t="s">
        <v>730</v>
      </c>
      <c r="I4" s="24" t="s">
        <v>731</v>
      </c>
      <c r="J4" s="24" t="s">
        <v>732</v>
      </c>
    </row>
    <row r="5" customFormat="false" ht="67.5" hidden="false" customHeight="true" outlineLevel="0" collapsed="false">
      <c r="A5" s="25" t="n">
        <v>1</v>
      </c>
      <c r="B5" s="25" t="n">
        <v>1</v>
      </c>
      <c r="C5" s="27" t="s">
        <v>733</v>
      </c>
      <c r="D5" s="8" t="s">
        <v>734</v>
      </c>
      <c r="E5" s="9" t="s">
        <v>735</v>
      </c>
      <c r="F5" s="9" t="s">
        <v>736</v>
      </c>
      <c r="G5" s="9" t="s">
        <v>737</v>
      </c>
      <c r="H5" s="8" t="s">
        <v>738</v>
      </c>
      <c r="I5" s="25" t="s">
        <v>739</v>
      </c>
      <c r="J5" s="25" t="n">
        <f aca="false">턴_설계!$B$5</f>
        <v>120</v>
      </c>
    </row>
    <row r="6" customFormat="false" ht="54.75" hidden="false" customHeight="true" outlineLevel="0" collapsed="false">
      <c r="A6" s="25" t="n">
        <v>1</v>
      </c>
      <c r="B6" s="25" t="n">
        <v>2</v>
      </c>
      <c r="C6" s="27" t="s">
        <v>740</v>
      </c>
      <c r="D6" s="8" t="s">
        <v>741</v>
      </c>
      <c r="E6" s="9" t="s">
        <v>742</v>
      </c>
      <c r="F6" s="8" t="s">
        <v>743</v>
      </c>
      <c r="G6" s="9" t="s">
        <v>744</v>
      </c>
      <c r="H6" s="8" t="s">
        <v>745</v>
      </c>
      <c r="I6" s="25" t="s">
        <v>739</v>
      </c>
      <c r="J6" s="25" t="n">
        <f aca="false">턴_설계!$B$5</f>
        <v>120</v>
      </c>
    </row>
    <row r="7" customFormat="false" ht="54.75" hidden="false" customHeight="true" outlineLevel="0" collapsed="false">
      <c r="A7" s="25" t="n">
        <v>1</v>
      </c>
      <c r="B7" s="25" t="n">
        <v>3</v>
      </c>
      <c r="C7" s="27" t="s">
        <v>746</v>
      </c>
      <c r="D7" s="8" t="s">
        <v>747</v>
      </c>
      <c r="E7" s="9" t="s">
        <v>748</v>
      </c>
      <c r="F7" s="8" t="s">
        <v>749</v>
      </c>
      <c r="G7" s="9" t="s">
        <v>750</v>
      </c>
      <c r="H7" s="8" t="s">
        <v>751</v>
      </c>
      <c r="I7" s="25" t="s">
        <v>752</v>
      </c>
      <c r="J7" s="25" t="n">
        <f aca="false">턴_설계!$B$5</f>
        <v>120</v>
      </c>
    </row>
    <row r="8" customFormat="false" ht="42" hidden="false" customHeight="true" outlineLevel="0" collapsed="false">
      <c r="A8" s="25" t="n">
        <v>1</v>
      </c>
      <c r="B8" s="25" t="n">
        <v>4</v>
      </c>
      <c r="C8" s="27" t="s">
        <v>753</v>
      </c>
      <c r="D8" s="8" t="s">
        <v>754</v>
      </c>
      <c r="E8" s="9" t="s">
        <v>755</v>
      </c>
      <c r="F8" s="8" t="s">
        <v>756</v>
      </c>
      <c r="G8" s="17" t="s">
        <v>757</v>
      </c>
      <c r="H8" s="8" t="s">
        <v>751</v>
      </c>
      <c r="I8" s="25" t="s">
        <v>752</v>
      </c>
      <c r="J8" s="25" t="n">
        <f aca="false">턴_설계!$B$5</f>
        <v>120</v>
      </c>
    </row>
    <row r="9" customFormat="false" ht="42" hidden="false" customHeight="true" outlineLevel="0" collapsed="false">
      <c r="A9" s="25" t="n">
        <v>1</v>
      </c>
      <c r="B9" s="25" t="n">
        <v>5</v>
      </c>
      <c r="C9" s="27" t="s">
        <v>758</v>
      </c>
      <c r="D9" s="8" t="s">
        <v>759</v>
      </c>
      <c r="E9" s="9" t="s">
        <v>760</v>
      </c>
      <c r="F9" s="8" t="s">
        <v>761</v>
      </c>
      <c r="G9" s="9" t="s">
        <v>762</v>
      </c>
      <c r="H9" s="8" t="s">
        <v>763</v>
      </c>
      <c r="I9" s="25" t="s">
        <v>752</v>
      </c>
      <c r="J9" s="25" t="n">
        <f aca="false">턴_설계!$B$5</f>
        <v>120</v>
      </c>
    </row>
    <row r="10" customFormat="false" ht="54.75" hidden="false" customHeight="true" outlineLevel="0" collapsed="false">
      <c r="A10" s="25" t="n">
        <v>1</v>
      </c>
      <c r="B10" s="25" t="n">
        <v>6</v>
      </c>
      <c r="C10" s="27" t="s">
        <v>764</v>
      </c>
      <c r="D10" s="8" t="s">
        <v>765</v>
      </c>
      <c r="E10" s="9" t="s">
        <v>766</v>
      </c>
      <c r="F10" s="8" t="s">
        <v>767</v>
      </c>
      <c r="G10" s="9" t="s">
        <v>768</v>
      </c>
      <c r="H10" s="8" t="s">
        <v>769</v>
      </c>
      <c r="I10" s="25" t="s">
        <v>752</v>
      </c>
      <c r="J10" s="25" t="n">
        <f aca="false">턴_설계!$B$5</f>
        <v>120</v>
      </c>
    </row>
    <row r="11" customFormat="false" ht="67.5" hidden="false" customHeight="true" outlineLevel="0" collapsed="false">
      <c r="A11" s="25" t="n">
        <v>1</v>
      </c>
      <c r="B11" s="25" t="n">
        <v>7</v>
      </c>
      <c r="C11" s="27" t="s">
        <v>770</v>
      </c>
      <c r="D11" s="8" t="s">
        <v>771</v>
      </c>
      <c r="E11" s="9" t="s">
        <v>772</v>
      </c>
      <c r="F11" s="8" t="s">
        <v>773</v>
      </c>
      <c r="G11" s="17" t="s">
        <v>774</v>
      </c>
      <c r="H11" s="8" t="s">
        <v>775</v>
      </c>
      <c r="I11" s="25" t="s">
        <v>776</v>
      </c>
      <c r="J11" s="25" t="n">
        <f aca="false">턴_설계!$B$5</f>
        <v>120</v>
      </c>
    </row>
    <row r="12" customFormat="false" ht="42" hidden="false" customHeight="true" outlineLevel="0" collapsed="false">
      <c r="A12" s="25" t="n">
        <v>1</v>
      </c>
      <c r="B12" s="25" t="n">
        <v>8</v>
      </c>
      <c r="C12" s="27" t="s">
        <v>777</v>
      </c>
      <c r="D12" s="8" t="s">
        <v>778</v>
      </c>
      <c r="E12" s="9" t="s">
        <v>779</v>
      </c>
      <c r="F12" s="8" t="s">
        <v>780</v>
      </c>
      <c r="G12" s="17" t="s">
        <v>781</v>
      </c>
      <c r="H12" s="8" t="s">
        <v>782</v>
      </c>
      <c r="I12" s="25" t="s">
        <v>776</v>
      </c>
      <c r="J12" s="25" t="n">
        <f aca="false">턴_설계!$B$5</f>
        <v>120</v>
      </c>
    </row>
    <row r="13" customFormat="false" ht="54.75" hidden="false" customHeight="true" outlineLevel="0" collapsed="false">
      <c r="A13" s="25" t="n">
        <v>1</v>
      </c>
      <c r="B13" s="25" t="n">
        <v>9</v>
      </c>
      <c r="C13" s="27" t="s">
        <v>783</v>
      </c>
      <c r="D13" s="8" t="s">
        <v>784</v>
      </c>
      <c r="E13" s="8" t="s">
        <v>785</v>
      </c>
      <c r="F13" s="8" t="s">
        <v>786</v>
      </c>
      <c r="G13" s="9" t="s">
        <v>787</v>
      </c>
      <c r="H13" s="8" t="s">
        <v>788</v>
      </c>
      <c r="I13" s="25" t="s">
        <v>789</v>
      </c>
      <c r="J13" s="25" t="n">
        <f aca="false">턴_설계!$B$5</f>
        <v>120</v>
      </c>
    </row>
    <row r="14" customFormat="false" ht="42" hidden="false" customHeight="true" outlineLevel="0" collapsed="false">
      <c r="A14" s="25" t="n">
        <v>1</v>
      </c>
      <c r="B14" s="25" t="n">
        <v>10</v>
      </c>
      <c r="C14" s="27" t="s">
        <v>790</v>
      </c>
      <c r="D14" s="8" t="s">
        <v>791</v>
      </c>
      <c r="E14" s="9" t="s">
        <v>792</v>
      </c>
      <c r="F14" s="8" t="s">
        <v>793</v>
      </c>
      <c r="G14" s="17" t="s">
        <v>794</v>
      </c>
      <c r="H14" s="8" t="s">
        <v>795</v>
      </c>
      <c r="I14" s="25" t="s">
        <v>789</v>
      </c>
      <c r="J14" s="25" t="n">
        <f aca="false">턴_설계!$B$5</f>
        <v>120</v>
      </c>
    </row>
    <row r="15" customFormat="false" ht="42" hidden="false" customHeight="true" outlineLevel="0" collapsed="false">
      <c r="A15" s="25" t="n">
        <v>1</v>
      </c>
      <c r="B15" s="25" t="n">
        <v>11</v>
      </c>
      <c r="C15" s="27" t="s">
        <v>796</v>
      </c>
      <c r="D15" s="8" t="s">
        <v>797</v>
      </c>
      <c r="E15" s="9" t="s">
        <v>798</v>
      </c>
      <c r="F15" s="8" t="s">
        <v>799</v>
      </c>
      <c r="G15" s="9" t="s">
        <v>800</v>
      </c>
      <c r="H15" s="8" t="s">
        <v>801</v>
      </c>
      <c r="I15" s="25" t="s">
        <v>739</v>
      </c>
      <c r="J15" s="25" t="n">
        <f aca="false">턴_설계!$B$5</f>
        <v>120</v>
      </c>
    </row>
    <row r="16" customFormat="false" ht="54.75" hidden="false" customHeight="true" outlineLevel="0" collapsed="false">
      <c r="A16" s="25" t="n">
        <v>1</v>
      </c>
      <c r="B16" s="25" t="n">
        <v>12</v>
      </c>
      <c r="C16" s="27" t="s">
        <v>802</v>
      </c>
      <c r="D16" s="8" t="s">
        <v>803</v>
      </c>
      <c r="E16" s="9" t="s">
        <v>804</v>
      </c>
      <c r="F16" s="8" t="s">
        <v>805</v>
      </c>
      <c r="G16" s="9" t="s">
        <v>806</v>
      </c>
      <c r="H16" s="8" t="s">
        <v>807</v>
      </c>
      <c r="I16" s="25" t="s">
        <v>739</v>
      </c>
      <c r="J16" s="25" t="n">
        <f aca="false">턴_설계!$B$5</f>
        <v>120</v>
      </c>
    </row>
    <row r="17" customFormat="false" ht="42" hidden="false" customHeight="true" outlineLevel="0" collapsed="false">
      <c r="A17" s="25" t="n">
        <v>2</v>
      </c>
      <c r="B17" s="25" t="n">
        <v>1</v>
      </c>
      <c r="C17" s="27" t="s">
        <v>808</v>
      </c>
      <c r="D17" s="8" t="s">
        <v>809</v>
      </c>
      <c r="E17" s="9" t="s">
        <v>810</v>
      </c>
      <c r="F17" s="8" t="s">
        <v>811</v>
      </c>
      <c r="G17" s="9" t="s">
        <v>812</v>
      </c>
      <c r="H17" s="8" t="s">
        <v>813</v>
      </c>
      <c r="I17" s="25" t="s">
        <v>739</v>
      </c>
      <c r="J17" s="25" t="n">
        <f aca="false">턴_설계!$B$5</f>
        <v>120</v>
      </c>
    </row>
    <row r="18" customFormat="false" ht="42" hidden="false" customHeight="true" outlineLevel="0" collapsed="false">
      <c r="A18" s="25" t="n">
        <v>2</v>
      </c>
      <c r="B18" s="25" t="n">
        <v>2</v>
      </c>
      <c r="C18" s="27" t="s">
        <v>808</v>
      </c>
      <c r="D18" s="8" t="s">
        <v>814</v>
      </c>
      <c r="E18" s="9" t="s">
        <v>815</v>
      </c>
      <c r="F18" s="8" t="s">
        <v>816</v>
      </c>
      <c r="G18" s="9" t="s">
        <v>817</v>
      </c>
      <c r="H18" s="8" t="s">
        <v>818</v>
      </c>
      <c r="I18" s="25"/>
      <c r="J18" s="25" t="n">
        <f aca="false">턴_설계!$B$5</f>
        <v>120</v>
      </c>
    </row>
    <row r="19" customFormat="false" ht="42" hidden="false" customHeight="true" outlineLevel="0" collapsed="false">
      <c r="A19" s="25" t="n">
        <v>2</v>
      </c>
      <c r="B19" s="25" t="n">
        <v>3</v>
      </c>
      <c r="C19" s="27" t="s">
        <v>808</v>
      </c>
      <c r="D19" s="8" t="s">
        <v>819</v>
      </c>
      <c r="E19" s="8" t="s">
        <v>820</v>
      </c>
      <c r="F19" s="9" t="s">
        <v>821</v>
      </c>
      <c r="G19" s="9" t="s">
        <v>822</v>
      </c>
      <c r="H19" s="8" t="s">
        <v>823</v>
      </c>
      <c r="I19" s="25" t="s">
        <v>739</v>
      </c>
      <c r="J19" s="25" t="n">
        <f aca="false">턴_설계!$B$5</f>
        <v>120</v>
      </c>
    </row>
    <row r="20" customFormat="false" ht="42" hidden="false" customHeight="true" outlineLevel="0" collapsed="false">
      <c r="A20" s="25" t="n">
        <v>2</v>
      </c>
      <c r="B20" s="25" t="n">
        <v>4</v>
      </c>
      <c r="C20" s="27" t="s">
        <v>824</v>
      </c>
      <c r="D20" s="8" t="s">
        <v>825</v>
      </c>
      <c r="E20" s="9" t="s">
        <v>826</v>
      </c>
      <c r="F20" s="9" t="s">
        <v>827</v>
      </c>
      <c r="G20" s="9" t="s">
        <v>828</v>
      </c>
      <c r="H20" s="8" t="s">
        <v>829</v>
      </c>
      <c r="I20" s="25" t="s">
        <v>739</v>
      </c>
      <c r="J20" s="25" t="n">
        <f aca="false">턴_설계!$B$5</f>
        <v>120</v>
      </c>
    </row>
    <row r="21" customFormat="false" ht="42" hidden="false" customHeight="true" outlineLevel="0" collapsed="false">
      <c r="A21" s="25" t="n">
        <v>2</v>
      </c>
      <c r="B21" s="25" t="n">
        <v>5</v>
      </c>
      <c r="C21" s="27" t="s">
        <v>824</v>
      </c>
      <c r="D21" s="8" t="s">
        <v>830</v>
      </c>
      <c r="E21" s="9" t="s">
        <v>831</v>
      </c>
      <c r="F21" s="8" t="s">
        <v>832</v>
      </c>
      <c r="G21" s="9" t="s">
        <v>833</v>
      </c>
      <c r="H21" s="8" t="s">
        <v>834</v>
      </c>
      <c r="I21" s="25" t="s">
        <v>739</v>
      </c>
      <c r="J21" s="25" t="n">
        <f aca="false">턴_설계!$B$5</f>
        <v>120</v>
      </c>
    </row>
    <row r="22" customFormat="false" ht="42" hidden="false" customHeight="true" outlineLevel="0" collapsed="false">
      <c r="A22" s="25" t="n">
        <v>2</v>
      </c>
      <c r="B22" s="25" t="n">
        <v>6</v>
      </c>
      <c r="C22" s="27" t="s">
        <v>835</v>
      </c>
      <c r="D22" s="8" t="s">
        <v>836</v>
      </c>
      <c r="E22" s="9" t="s">
        <v>837</v>
      </c>
      <c r="F22" s="9" t="s">
        <v>838</v>
      </c>
      <c r="G22" s="9" t="s">
        <v>839</v>
      </c>
      <c r="H22" s="8" t="s">
        <v>840</v>
      </c>
      <c r="I22" s="25" t="s">
        <v>739</v>
      </c>
      <c r="J22" s="25" t="n">
        <f aca="false">턴_설계!$B$5</f>
        <v>120</v>
      </c>
    </row>
    <row r="23" customFormat="false" ht="42" hidden="false" customHeight="true" outlineLevel="0" collapsed="false">
      <c r="A23" s="25" t="n">
        <v>2</v>
      </c>
      <c r="B23" s="25" t="n">
        <v>7</v>
      </c>
      <c r="C23" s="27" t="s">
        <v>841</v>
      </c>
      <c r="D23" s="8" t="s">
        <v>842</v>
      </c>
      <c r="E23" s="9" t="s">
        <v>843</v>
      </c>
      <c r="F23" s="9" t="s">
        <v>844</v>
      </c>
      <c r="G23" s="9" t="s">
        <v>845</v>
      </c>
      <c r="H23" s="8" t="s">
        <v>846</v>
      </c>
      <c r="I23" s="25" t="s">
        <v>739</v>
      </c>
      <c r="J23" s="25" t="n">
        <f aca="false">턴_설계!$B$5</f>
        <v>120</v>
      </c>
    </row>
    <row r="24" customFormat="false" ht="42" hidden="false" customHeight="true" outlineLevel="0" collapsed="false">
      <c r="A24" s="25" t="n">
        <v>2</v>
      </c>
      <c r="B24" s="25" t="n">
        <v>8</v>
      </c>
      <c r="C24" s="27" t="s">
        <v>841</v>
      </c>
      <c r="D24" s="8" t="s">
        <v>847</v>
      </c>
      <c r="E24" s="9" t="s">
        <v>848</v>
      </c>
      <c r="F24" s="9" t="s">
        <v>849</v>
      </c>
      <c r="G24" s="9" t="s">
        <v>850</v>
      </c>
      <c r="H24" s="8" t="s">
        <v>851</v>
      </c>
      <c r="I24" s="25" t="s">
        <v>852</v>
      </c>
      <c r="J24" s="25" t="n">
        <f aca="false">턴_설계!$B$5</f>
        <v>120</v>
      </c>
    </row>
    <row r="25" customFormat="false" ht="42" hidden="false" customHeight="true" outlineLevel="0" collapsed="false">
      <c r="A25" s="25" t="n">
        <v>2</v>
      </c>
      <c r="B25" s="25" t="n">
        <v>9</v>
      </c>
      <c r="C25" s="27" t="s">
        <v>841</v>
      </c>
      <c r="D25" s="8" t="s">
        <v>853</v>
      </c>
      <c r="E25" s="9" t="s">
        <v>854</v>
      </c>
      <c r="F25" s="8" t="s">
        <v>855</v>
      </c>
      <c r="G25" s="9" t="s">
        <v>856</v>
      </c>
      <c r="H25" s="8" t="s">
        <v>857</v>
      </c>
      <c r="I25" s="25"/>
      <c r="J25" s="25" t="n">
        <f aca="false">턴_설계!$B$5</f>
        <v>120</v>
      </c>
    </row>
    <row r="26" customFormat="false" ht="29.25" hidden="false" customHeight="true" outlineLevel="0" collapsed="false">
      <c r="A26" s="25" t="n">
        <v>2</v>
      </c>
      <c r="B26" s="25" t="n">
        <v>10</v>
      </c>
      <c r="C26" s="27" t="s">
        <v>858</v>
      </c>
      <c r="D26" s="8" t="s">
        <v>859</v>
      </c>
      <c r="E26" s="9" t="s">
        <v>860</v>
      </c>
      <c r="F26" s="9" t="s">
        <v>861</v>
      </c>
      <c r="G26" s="9" t="s">
        <v>862</v>
      </c>
      <c r="H26" s="8" t="s">
        <v>863</v>
      </c>
      <c r="I26" s="25"/>
      <c r="J26" s="25" t="n">
        <f aca="false">턴_설계!$B$5</f>
        <v>120</v>
      </c>
    </row>
    <row r="27" customFormat="false" ht="29.25" hidden="false" customHeight="true" outlineLevel="0" collapsed="false">
      <c r="A27" s="25" t="n">
        <v>2</v>
      </c>
      <c r="B27" s="25" t="n">
        <v>11</v>
      </c>
      <c r="C27" s="27" t="s">
        <v>858</v>
      </c>
      <c r="D27" s="8" t="s">
        <v>864</v>
      </c>
      <c r="E27" s="8" t="s">
        <v>865</v>
      </c>
      <c r="F27" s="8" t="s">
        <v>866</v>
      </c>
      <c r="G27" s="9" t="s">
        <v>867</v>
      </c>
      <c r="H27" s="8" t="s">
        <v>868</v>
      </c>
      <c r="I27" s="25" t="s">
        <v>739</v>
      </c>
      <c r="J27" s="25" t="n">
        <f aca="false">턴_설계!$B$5</f>
        <v>120</v>
      </c>
    </row>
    <row r="28" customFormat="false" ht="42" hidden="false" customHeight="true" outlineLevel="0" collapsed="false">
      <c r="A28" s="25" t="n">
        <v>2</v>
      </c>
      <c r="B28" s="25" t="n">
        <v>12</v>
      </c>
      <c r="C28" s="27" t="s">
        <v>869</v>
      </c>
      <c r="D28" s="8" t="s">
        <v>870</v>
      </c>
      <c r="E28" s="9" t="s">
        <v>871</v>
      </c>
      <c r="F28" s="8" t="s">
        <v>872</v>
      </c>
      <c r="G28" s="9" t="s">
        <v>873</v>
      </c>
      <c r="H28" s="8" t="s">
        <v>874</v>
      </c>
      <c r="I28" s="25"/>
      <c r="J28" s="25" t="n">
        <f aca="false">턴_설계!$B$5</f>
        <v>120</v>
      </c>
    </row>
    <row r="29" customFormat="false" ht="42" hidden="false" customHeight="true" outlineLevel="0" collapsed="false">
      <c r="A29" s="25" t="n">
        <v>3</v>
      </c>
      <c r="B29" s="25" t="n">
        <v>1</v>
      </c>
      <c r="C29" s="27" t="s">
        <v>808</v>
      </c>
      <c r="D29" s="8" t="s">
        <v>875</v>
      </c>
      <c r="E29" s="9" t="s">
        <v>876</v>
      </c>
      <c r="F29" s="8" t="s">
        <v>877</v>
      </c>
      <c r="G29" s="9" t="s">
        <v>878</v>
      </c>
      <c r="H29" s="8" t="s">
        <v>879</v>
      </c>
      <c r="I29" s="25"/>
      <c r="J29" s="25" t="n">
        <f aca="false">턴_설계!$B$5</f>
        <v>120</v>
      </c>
    </row>
    <row r="30" customFormat="false" ht="42" hidden="false" customHeight="true" outlineLevel="0" collapsed="false">
      <c r="A30" s="25" t="n">
        <v>3</v>
      </c>
      <c r="B30" s="25" t="n">
        <v>2</v>
      </c>
      <c r="C30" s="27" t="s">
        <v>808</v>
      </c>
      <c r="D30" s="8" t="s">
        <v>880</v>
      </c>
      <c r="E30" s="9" t="s">
        <v>881</v>
      </c>
      <c r="F30" s="8" t="s">
        <v>882</v>
      </c>
      <c r="G30" s="8" t="s">
        <v>883</v>
      </c>
      <c r="H30" s="8" t="s">
        <v>884</v>
      </c>
      <c r="I30" s="25"/>
      <c r="J30" s="25" t="n">
        <f aca="false">턴_설계!$B$5</f>
        <v>120</v>
      </c>
    </row>
    <row r="31" customFormat="false" ht="29.25" hidden="false" customHeight="true" outlineLevel="0" collapsed="false">
      <c r="A31" s="25" t="n">
        <v>3</v>
      </c>
      <c r="B31" s="25" t="n">
        <v>3</v>
      </c>
      <c r="C31" s="27" t="s">
        <v>808</v>
      </c>
      <c r="D31" s="8" t="s">
        <v>885</v>
      </c>
      <c r="E31" s="9" t="s">
        <v>886</v>
      </c>
      <c r="F31" s="9" t="s">
        <v>887</v>
      </c>
      <c r="G31" s="9" t="s">
        <v>888</v>
      </c>
      <c r="H31" s="8" t="s">
        <v>889</v>
      </c>
      <c r="I31" s="25" t="s">
        <v>890</v>
      </c>
      <c r="J31" s="25" t="n">
        <f aca="false">턴_설계!$B$5</f>
        <v>120</v>
      </c>
    </row>
    <row r="32" customFormat="false" ht="29.25" hidden="false" customHeight="true" outlineLevel="0" collapsed="false">
      <c r="A32" s="25" t="n">
        <v>3</v>
      </c>
      <c r="B32" s="25" t="n">
        <v>4</v>
      </c>
      <c r="C32" s="27" t="s">
        <v>824</v>
      </c>
      <c r="D32" s="8" t="s">
        <v>891</v>
      </c>
      <c r="E32" s="9" t="s">
        <v>892</v>
      </c>
      <c r="F32" s="9" t="s">
        <v>893</v>
      </c>
      <c r="G32" s="9" t="s">
        <v>894</v>
      </c>
      <c r="H32" s="8" t="s">
        <v>895</v>
      </c>
      <c r="I32" s="25" t="s">
        <v>896</v>
      </c>
      <c r="J32" s="25" t="n">
        <f aca="false">턴_설계!$B$5</f>
        <v>120</v>
      </c>
    </row>
    <row r="33" customFormat="false" ht="42" hidden="false" customHeight="true" outlineLevel="0" collapsed="false">
      <c r="A33" s="25" t="n">
        <v>3</v>
      </c>
      <c r="B33" s="25" t="n">
        <v>5</v>
      </c>
      <c r="C33" s="27" t="s">
        <v>824</v>
      </c>
      <c r="D33" s="8" t="s">
        <v>897</v>
      </c>
      <c r="E33" s="9" t="s">
        <v>898</v>
      </c>
      <c r="F33" s="8" t="s">
        <v>899</v>
      </c>
      <c r="G33" s="9" t="s">
        <v>900</v>
      </c>
      <c r="H33" s="8" t="s">
        <v>901</v>
      </c>
      <c r="I33" s="25"/>
      <c r="J33" s="25" t="n">
        <f aca="false">턴_설계!$B$5</f>
        <v>120</v>
      </c>
    </row>
    <row r="34" customFormat="false" ht="42" hidden="false" customHeight="true" outlineLevel="0" collapsed="false">
      <c r="A34" s="25" t="n">
        <v>3</v>
      </c>
      <c r="B34" s="25" t="n">
        <v>6</v>
      </c>
      <c r="C34" s="27" t="s">
        <v>835</v>
      </c>
      <c r="D34" s="8" t="s">
        <v>902</v>
      </c>
      <c r="E34" s="9" t="s">
        <v>903</v>
      </c>
      <c r="F34" s="9" t="s">
        <v>904</v>
      </c>
      <c r="G34" s="9" t="s">
        <v>905</v>
      </c>
      <c r="H34" s="8" t="s">
        <v>906</v>
      </c>
      <c r="I34" s="25" t="s">
        <v>907</v>
      </c>
      <c r="J34" s="25" t="n">
        <f aca="false">턴_설계!$B$5</f>
        <v>120</v>
      </c>
    </row>
    <row r="35" customFormat="false" ht="42" hidden="false" customHeight="true" outlineLevel="0" collapsed="false">
      <c r="A35" s="25" t="n">
        <v>3</v>
      </c>
      <c r="B35" s="25" t="n">
        <v>7</v>
      </c>
      <c r="C35" s="27" t="s">
        <v>841</v>
      </c>
      <c r="D35" s="8" t="s">
        <v>908</v>
      </c>
      <c r="E35" s="9" t="s">
        <v>909</v>
      </c>
      <c r="F35" s="9" t="s">
        <v>910</v>
      </c>
      <c r="G35" s="9" t="s">
        <v>911</v>
      </c>
      <c r="H35" s="8" t="s">
        <v>912</v>
      </c>
      <c r="I35" s="25" t="s">
        <v>913</v>
      </c>
      <c r="J35" s="25" t="n">
        <f aca="false">턴_설계!$B$5</f>
        <v>120</v>
      </c>
    </row>
    <row r="36" customFormat="false" ht="29.25" hidden="false" customHeight="true" outlineLevel="0" collapsed="false">
      <c r="A36" s="25" t="n">
        <v>3</v>
      </c>
      <c r="B36" s="25" t="n">
        <v>8</v>
      </c>
      <c r="C36" s="27" t="s">
        <v>841</v>
      </c>
      <c r="D36" s="8" t="s">
        <v>914</v>
      </c>
      <c r="E36" s="9" t="s">
        <v>915</v>
      </c>
      <c r="F36" s="9" t="s">
        <v>916</v>
      </c>
      <c r="G36" s="9" t="s">
        <v>917</v>
      </c>
      <c r="H36" s="8" t="s">
        <v>918</v>
      </c>
      <c r="I36" s="25" t="s">
        <v>913</v>
      </c>
      <c r="J36" s="25" t="n">
        <f aca="false">턴_설계!$B$5</f>
        <v>120</v>
      </c>
    </row>
    <row r="37" customFormat="false" ht="29.25" hidden="false" customHeight="true" outlineLevel="0" collapsed="false">
      <c r="A37" s="25" t="n">
        <v>3</v>
      </c>
      <c r="B37" s="25" t="n">
        <v>9</v>
      </c>
      <c r="C37" s="27" t="s">
        <v>841</v>
      </c>
      <c r="D37" s="8" t="s">
        <v>919</v>
      </c>
      <c r="E37" s="9" t="s">
        <v>920</v>
      </c>
      <c r="F37" s="8" t="s">
        <v>921</v>
      </c>
      <c r="G37" s="9" t="s">
        <v>922</v>
      </c>
      <c r="H37" s="8" t="s">
        <v>923</v>
      </c>
      <c r="I37" s="25"/>
      <c r="J37" s="25" t="n">
        <f aca="false">턴_설계!$B$5</f>
        <v>120</v>
      </c>
    </row>
    <row r="38" customFormat="false" ht="29.25" hidden="false" customHeight="true" outlineLevel="0" collapsed="false">
      <c r="A38" s="25" t="n">
        <v>3</v>
      </c>
      <c r="B38" s="25" t="n">
        <v>10</v>
      </c>
      <c r="C38" s="27" t="s">
        <v>858</v>
      </c>
      <c r="D38" s="8" t="s">
        <v>924</v>
      </c>
      <c r="E38" s="9" t="s">
        <v>925</v>
      </c>
      <c r="F38" s="9" t="s">
        <v>926</v>
      </c>
      <c r="G38" s="9" t="s">
        <v>927</v>
      </c>
      <c r="H38" s="8" t="s">
        <v>889</v>
      </c>
      <c r="I38" s="25" t="s">
        <v>928</v>
      </c>
      <c r="J38" s="25" t="n">
        <f aca="false">턴_설계!$B$5</f>
        <v>120</v>
      </c>
    </row>
    <row r="39" customFormat="false" ht="29.25" hidden="false" customHeight="true" outlineLevel="0" collapsed="false">
      <c r="A39" s="25" t="n">
        <v>3</v>
      </c>
      <c r="B39" s="25" t="n">
        <v>11</v>
      </c>
      <c r="C39" s="27" t="s">
        <v>858</v>
      </c>
      <c r="D39" s="8" t="s">
        <v>929</v>
      </c>
      <c r="E39" s="9" t="s">
        <v>930</v>
      </c>
      <c r="F39" s="9" t="s">
        <v>931</v>
      </c>
      <c r="G39" s="9" t="s">
        <v>932</v>
      </c>
      <c r="H39" s="8" t="s">
        <v>906</v>
      </c>
      <c r="I39" s="25"/>
      <c r="J39" s="25" t="n">
        <f aca="false">턴_설계!$B$5</f>
        <v>120</v>
      </c>
    </row>
    <row r="40" customFormat="false" ht="29.25" hidden="false" customHeight="true" outlineLevel="0" collapsed="false">
      <c r="A40" s="25" t="n">
        <v>3</v>
      </c>
      <c r="B40" s="25" t="n">
        <v>12</v>
      </c>
      <c r="C40" s="27" t="s">
        <v>869</v>
      </c>
      <c r="D40" s="8" t="s">
        <v>933</v>
      </c>
      <c r="E40" s="9" t="s">
        <v>934</v>
      </c>
      <c r="F40" s="8" t="s">
        <v>935</v>
      </c>
      <c r="G40" s="9" t="s">
        <v>936</v>
      </c>
      <c r="H40" s="8" t="s">
        <v>937</v>
      </c>
      <c r="I40" s="25"/>
      <c r="J40" s="25" t="n">
        <f aca="false">턴_설계!$B$5</f>
        <v>120</v>
      </c>
    </row>
    <row r="41" customFormat="false" ht="29.25" hidden="false" customHeight="true" outlineLevel="0" collapsed="false">
      <c r="A41" s="25" t="n">
        <v>4</v>
      </c>
      <c r="B41" s="25" t="n">
        <v>1</v>
      </c>
      <c r="C41" s="27" t="s">
        <v>808</v>
      </c>
      <c r="D41" s="8" t="s">
        <v>938</v>
      </c>
      <c r="E41" s="9" t="s">
        <v>939</v>
      </c>
      <c r="F41" s="8" t="s">
        <v>940</v>
      </c>
      <c r="G41" s="9" t="s">
        <v>941</v>
      </c>
      <c r="H41" s="8" t="s">
        <v>942</v>
      </c>
      <c r="I41" s="25"/>
      <c r="J41" s="25" t="n">
        <f aca="false">턴_설계!$B$5</f>
        <v>120</v>
      </c>
    </row>
    <row r="42" customFormat="false" ht="29.25" hidden="false" customHeight="true" outlineLevel="0" collapsed="false">
      <c r="A42" s="25" t="n">
        <v>4</v>
      </c>
      <c r="B42" s="25" t="n">
        <v>2</v>
      </c>
      <c r="C42" s="27" t="s">
        <v>808</v>
      </c>
      <c r="D42" s="8" t="s">
        <v>943</v>
      </c>
      <c r="E42" s="9" t="s">
        <v>944</v>
      </c>
      <c r="F42" s="8" t="s">
        <v>945</v>
      </c>
      <c r="G42" s="9" t="s">
        <v>946</v>
      </c>
      <c r="H42" s="8" t="s">
        <v>947</v>
      </c>
      <c r="I42" s="25"/>
      <c r="J42" s="25" t="n">
        <f aca="false">턴_설계!$B$5</f>
        <v>120</v>
      </c>
    </row>
    <row r="43" customFormat="false" ht="29.25" hidden="false" customHeight="true" outlineLevel="0" collapsed="false">
      <c r="A43" s="25" t="n">
        <v>4</v>
      </c>
      <c r="B43" s="25" t="n">
        <v>3</v>
      </c>
      <c r="C43" s="27" t="s">
        <v>808</v>
      </c>
      <c r="D43" s="8" t="s">
        <v>948</v>
      </c>
      <c r="E43" s="9" t="s">
        <v>949</v>
      </c>
      <c r="F43" s="8" t="s">
        <v>950</v>
      </c>
      <c r="G43" s="9" t="s">
        <v>951</v>
      </c>
      <c r="H43" s="8" t="s">
        <v>952</v>
      </c>
      <c r="I43" s="25"/>
      <c r="J43" s="25" t="n">
        <f aca="false">턴_설계!$B$5</f>
        <v>120</v>
      </c>
    </row>
    <row r="44" customFormat="false" ht="29.25" hidden="false" customHeight="true" outlineLevel="0" collapsed="false">
      <c r="A44" s="25" t="n">
        <v>4</v>
      </c>
      <c r="B44" s="25" t="n">
        <v>4</v>
      </c>
      <c r="C44" s="27" t="s">
        <v>824</v>
      </c>
      <c r="D44" s="8" t="s">
        <v>953</v>
      </c>
      <c r="E44" s="9" t="s">
        <v>954</v>
      </c>
      <c r="F44" s="9" t="s">
        <v>955</v>
      </c>
      <c r="G44" s="9" t="s">
        <v>956</v>
      </c>
      <c r="H44" s="8" t="s">
        <v>957</v>
      </c>
      <c r="I44" s="25"/>
      <c r="J44" s="25" t="n">
        <f aca="false">턴_설계!$B$5</f>
        <v>120</v>
      </c>
    </row>
    <row r="45" customFormat="false" ht="29.25" hidden="false" customHeight="true" outlineLevel="0" collapsed="false">
      <c r="A45" s="25" t="n">
        <v>4</v>
      </c>
      <c r="B45" s="25" t="n">
        <v>5</v>
      </c>
      <c r="C45" s="27" t="s">
        <v>824</v>
      </c>
      <c r="D45" s="8" t="s">
        <v>958</v>
      </c>
      <c r="E45" s="9" t="s">
        <v>959</v>
      </c>
      <c r="F45" s="8" t="s">
        <v>960</v>
      </c>
      <c r="G45" s="9" t="s">
        <v>961</v>
      </c>
      <c r="H45" s="8" t="s">
        <v>962</v>
      </c>
      <c r="I45" s="25"/>
      <c r="J45" s="25" t="n">
        <f aca="false">턴_설계!$B$5</f>
        <v>120</v>
      </c>
    </row>
    <row r="46" customFormat="false" ht="42" hidden="false" customHeight="true" outlineLevel="0" collapsed="false">
      <c r="A46" s="25" t="n">
        <v>4</v>
      </c>
      <c r="B46" s="25" t="n">
        <v>6</v>
      </c>
      <c r="C46" s="27" t="s">
        <v>835</v>
      </c>
      <c r="D46" s="8" t="s">
        <v>963</v>
      </c>
      <c r="E46" s="9" t="s">
        <v>964</v>
      </c>
      <c r="F46" s="8" t="s">
        <v>965</v>
      </c>
      <c r="G46" s="9" t="s">
        <v>966</v>
      </c>
      <c r="H46" s="8" t="s">
        <v>967</v>
      </c>
      <c r="I46" s="25"/>
      <c r="J46" s="25" t="n">
        <f aca="false">턴_설계!$B$5</f>
        <v>120</v>
      </c>
    </row>
    <row r="47" customFormat="false" ht="29.25" hidden="false" customHeight="true" outlineLevel="0" collapsed="false">
      <c r="A47" s="25" t="n">
        <v>4</v>
      </c>
      <c r="B47" s="25" t="n">
        <v>7</v>
      </c>
      <c r="C47" s="27" t="s">
        <v>841</v>
      </c>
      <c r="D47" s="8" t="s">
        <v>968</v>
      </c>
      <c r="E47" s="9" t="s">
        <v>969</v>
      </c>
      <c r="F47" s="8" t="s">
        <v>970</v>
      </c>
      <c r="G47" s="9" t="s">
        <v>971</v>
      </c>
      <c r="H47" s="8" t="s">
        <v>972</v>
      </c>
      <c r="I47" s="25" t="s">
        <v>913</v>
      </c>
      <c r="J47" s="25" t="n">
        <f aca="false">턴_설계!$B$5</f>
        <v>120</v>
      </c>
    </row>
    <row r="48" customFormat="false" ht="29.25" hidden="false" customHeight="true" outlineLevel="0" collapsed="false">
      <c r="A48" s="25" t="n">
        <v>4</v>
      </c>
      <c r="B48" s="25" t="n">
        <v>8</v>
      </c>
      <c r="C48" s="27" t="s">
        <v>841</v>
      </c>
      <c r="D48" s="8" t="s">
        <v>973</v>
      </c>
      <c r="E48" s="9" t="s">
        <v>974</v>
      </c>
      <c r="F48" s="8" t="s">
        <v>975</v>
      </c>
      <c r="G48" s="9" t="s">
        <v>976</v>
      </c>
      <c r="H48" s="8" t="s">
        <v>977</v>
      </c>
      <c r="I48" s="25"/>
      <c r="J48" s="25" t="n">
        <f aca="false">턴_설계!$B$5</f>
        <v>120</v>
      </c>
    </row>
    <row r="49" customFormat="false" ht="42" hidden="false" customHeight="true" outlineLevel="0" collapsed="false">
      <c r="A49" s="25" t="n">
        <v>4</v>
      </c>
      <c r="B49" s="25" t="n">
        <v>9</v>
      </c>
      <c r="C49" s="27" t="s">
        <v>841</v>
      </c>
      <c r="D49" s="8" t="s">
        <v>978</v>
      </c>
      <c r="E49" s="9" t="s">
        <v>979</v>
      </c>
      <c r="F49" s="8" t="s">
        <v>980</v>
      </c>
      <c r="G49" s="9" t="s">
        <v>981</v>
      </c>
      <c r="H49" s="8" t="s">
        <v>982</v>
      </c>
      <c r="I49" s="25"/>
      <c r="J49" s="25" t="n">
        <f aca="false">턴_설계!$B$5</f>
        <v>120</v>
      </c>
    </row>
    <row r="50" customFormat="false" ht="29.25" hidden="false" customHeight="true" outlineLevel="0" collapsed="false">
      <c r="A50" s="25" t="n">
        <v>4</v>
      </c>
      <c r="B50" s="25" t="n">
        <v>10</v>
      </c>
      <c r="C50" s="27" t="s">
        <v>858</v>
      </c>
      <c r="D50" s="8" t="s">
        <v>803</v>
      </c>
      <c r="E50" s="9" t="s">
        <v>804</v>
      </c>
      <c r="F50" s="8" t="s">
        <v>983</v>
      </c>
      <c r="G50" s="9" t="s">
        <v>984</v>
      </c>
      <c r="H50" s="8" t="s">
        <v>952</v>
      </c>
      <c r="I50" s="25"/>
      <c r="J50" s="25" t="n">
        <f aca="false">턴_설계!$B$5</f>
        <v>120</v>
      </c>
    </row>
    <row r="51" customFormat="false" ht="42" hidden="false" customHeight="true" outlineLevel="0" collapsed="false">
      <c r="A51" s="25" t="n">
        <v>4</v>
      </c>
      <c r="B51" s="25" t="n">
        <v>11</v>
      </c>
      <c r="C51" s="27" t="s">
        <v>858</v>
      </c>
      <c r="D51" s="8" t="s">
        <v>985</v>
      </c>
      <c r="E51" s="9" t="s">
        <v>986</v>
      </c>
      <c r="F51" s="9" t="s">
        <v>987</v>
      </c>
      <c r="G51" s="9" t="s">
        <v>988</v>
      </c>
      <c r="H51" s="8" t="s">
        <v>989</v>
      </c>
      <c r="I51" s="25"/>
      <c r="J51" s="25" t="n">
        <f aca="false">턴_설계!$B$5</f>
        <v>120</v>
      </c>
    </row>
    <row r="52" customFormat="false" ht="29.25" hidden="false" customHeight="true" outlineLevel="0" collapsed="false">
      <c r="A52" s="25" t="n">
        <v>4</v>
      </c>
      <c r="B52" s="25" t="n">
        <v>12</v>
      </c>
      <c r="C52" s="27" t="s">
        <v>869</v>
      </c>
      <c r="D52" s="8" t="s">
        <v>990</v>
      </c>
      <c r="E52" s="9" t="s">
        <v>991</v>
      </c>
      <c r="F52" s="8" t="s">
        <v>992</v>
      </c>
      <c r="G52" s="9" t="s">
        <v>993</v>
      </c>
      <c r="H52" s="8" t="s">
        <v>994</v>
      </c>
      <c r="I52" s="25"/>
      <c r="J52" s="25" t="n">
        <f aca="false">턴_설계!$B$5</f>
        <v>120</v>
      </c>
    </row>
    <row r="53" customFormat="false" ht="29.25" hidden="false" customHeight="true" outlineLevel="0" collapsed="false">
      <c r="A53" s="25" t="n">
        <v>5</v>
      </c>
      <c r="B53" s="25" t="n">
        <v>1</v>
      </c>
      <c r="C53" s="27" t="s">
        <v>808</v>
      </c>
      <c r="D53" s="8" t="s">
        <v>995</v>
      </c>
      <c r="E53" s="9" t="s">
        <v>996</v>
      </c>
      <c r="F53" s="8" t="s">
        <v>997</v>
      </c>
      <c r="G53" s="9" t="s">
        <v>998</v>
      </c>
      <c r="H53" s="8" t="s">
        <v>999</v>
      </c>
      <c r="I53" s="25"/>
      <c r="J53" s="25" t="n">
        <f aca="false">턴_설계!$B$5</f>
        <v>120</v>
      </c>
    </row>
    <row r="54" customFormat="false" ht="29.25" hidden="false" customHeight="true" outlineLevel="0" collapsed="false">
      <c r="A54" s="25" t="n">
        <v>5</v>
      </c>
      <c r="B54" s="25" t="n">
        <v>2</v>
      </c>
      <c r="C54" s="27" t="s">
        <v>808</v>
      </c>
      <c r="D54" s="8" t="s">
        <v>1000</v>
      </c>
      <c r="E54" s="8" t="s">
        <v>1001</v>
      </c>
      <c r="F54" s="8" t="s">
        <v>1002</v>
      </c>
      <c r="G54" s="8" t="s">
        <v>1003</v>
      </c>
      <c r="H54" s="8" t="s">
        <v>1004</v>
      </c>
      <c r="I54" s="25"/>
      <c r="J54" s="25" t="n">
        <f aca="false">턴_설계!$B$5</f>
        <v>120</v>
      </c>
    </row>
    <row r="55" customFormat="false" ht="42" hidden="false" customHeight="true" outlineLevel="0" collapsed="false">
      <c r="A55" s="25" t="n">
        <v>5</v>
      </c>
      <c r="B55" s="25" t="n">
        <v>3</v>
      </c>
      <c r="C55" s="27" t="s">
        <v>808</v>
      </c>
      <c r="D55" s="8" t="s">
        <v>1005</v>
      </c>
      <c r="E55" s="8" t="s">
        <v>1006</v>
      </c>
      <c r="F55" s="9" t="s">
        <v>1007</v>
      </c>
      <c r="G55" s="9" t="s">
        <v>1008</v>
      </c>
      <c r="H55" s="8" t="s">
        <v>1009</v>
      </c>
      <c r="I55" s="25" t="s">
        <v>1010</v>
      </c>
      <c r="J55" s="25" t="n">
        <f aca="false">턴_설계!$B$5</f>
        <v>120</v>
      </c>
    </row>
    <row r="56" customFormat="false" ht="29.25" hidden="false" customHeight="true" outlineLevel="0" collapsed="false">
      <c r="A56" s="25" t="n">
        <v>5</v>
      </c>
      <c r="B56" s="25" t="n">
        <v>4</v>
      </c>
      <c r="C56" s="27" t="s">
        <v>824</v>
      </c>
      <c r="D56" s="8" t="s">
        <v>1011</v>
      </c>
      <c r="E56" s="9" t="s">
        <v>1012</v>
      </c>
      <c r="F56" s="8" t="s">
        <v>1013</v>
      </c>
      <c r="G56" s="9" t="s">
        <v>1014</v>
      </c>
      <c r="H56" s="8" t="s">
        <v>1015</v>
      </c>
      <c r="I56" s="25"/>
      <c r="J56" s="25" t="n">
        <f aca="false">턴_설계!$B$5</f>
        <v>120</v>
      </c>
    </row>
    <row r="57" customFormat="false" ht="29.25" hidden="false" customHeight="true" outlineLevel="0" collapsed="false">
      <c r="A57" s="25" t="n">
        <v>5</v>
      </c>
      <c r="B57" s="25" t="n">
        <v>5</v>
      </c>
      <c r="C57" s="27" t="s">
        <v>824</v>
      </c>
      <c r="D57" s="8" t="s">
        <v>1016</v>
      </c>
      <c r="E57" s="9" t="s">
        <v>1017</v>
      </c>
      <c r="F57" s="8" t="s">
        <v>1018</v>
      </c>
      <c r="G57" s="9" t="s">
        <v>1019</v>
      </c>
      <c r="H57" s="8" t="s">
        <v>1020</v>
      </c>
      <c r="I57" s="25"/>
      <c r="J57" s="25" t="n">
        <f aca="false">턴_설계!$B$5</f>
        <v>120</v>
      </c>
    </row>
    <row r="58" customFormat="false" ht="29.25" hidden="false" customHeight="true" outlineLevel="0" collapsed="false">
      <c r="A58" s="25" t="n">
        <v>5</v>
      </c>
      <c r="B58" s="25" t="n">
        <v>6</v>
      </c>
      <c r="C58" s="27" t="s">
        <v>835</v>
      </c>
      <c r="D58" s="8" t="s">
        <v>1021</v>
      </c>
      <c r="E58" s="8" t="s">
        <v>1022</v>
      </c>
      <c r="F58" s="9" t="s">
        <v>1023</v>
      </c>
      <c r="G58" s="9" t="s">
        <v>1024</v>
      </c>
      <c r="H58" s="8" t="s">
        <v>1025</v>
      </c>
      <c r="I58" s="25" t="s">
        <v>752</v>
      </c>
      <c r="J58" s="25" t="n">
        <f aca="false">턴_설계!$B$5</f>
        <v>120</v>
      </c>
    </row>
    <row r="59" customFormat="false" ht="29.25" hidden="false" customHeight="true" outlineLevel="0" collapsed="false">
      <c r="A59" s="25" t="n">
        <v>5</v>
      </c>
      <c r="B59" s="25" t="n">
        <v>7</v>
      </c>
      <c r="C59" s="27" t="s">
        <v>841</v>
      </c>
      <c r="D59" s="8" t="s">
        <v>1026</v>
      </c>
      <c r="E59" s="9" t="s">
        <v>1027</v>
      </c>
      <c r="F59" s="9" t="s">
        <v>1028</v>
      </c>
      <c r="G59" s="9" t="s">
        <v>1029</v>
      </c>
      <c r="H59" s="8" t="s">
        <v>1030</v>
      </c>
      <c r="I59" s="25" t="s">
        <v>752</v>
      </c>
      <c r="J59" s="25" t="n">
        <f aca="false">턴_설계!$B$5</f>
        <v>120</v>
      </c>
    </row>
    <row r="60" customFormat="false" ht="29.25" hidden="false" customHeight="true" outlineLevel="0" collapsed="false">
      <c r="A60" s="25" t="n">
        <v>5</v>
      </c>
      <c r="B60" s="25" t="n">
        <v>8</v>
      </c>
      <c r="C60" s="27" t="s">
        <v>841</v>
      </c>
      <c r="D60" s="8" t="s">
        <v>1031</v>
      </c>
      <c r="E60" s="9" t="s">
        <v>1032</v>
      </c>
      <c r="F60" s="8" t="s">
        <v>1033</v>
      </c>
      <c r="G60" s="9" t="s">
        <v>1034</v>
      </c>
      <c r="H60" s="8" t="s">
        <v>1035</v>
      </c>
      <c r="I60" s="25" t="s">
        <v>752</v>
      </c>
      <c r="J60" s="25" t="n">
        <f aca="false">턴_설계!$B$5</f>
        <v>120</v>
      </c>
    </row>
    <row r="61" customFormat="false" ht="29.25" hidden="false" customHeight="true" outlineLevel="0" collapsed="false">
      <c r="A61" s="25" t="n">
        <v>5</v>
      </c>
      <c r="B61" s="25" t="n">
        <v>9</v>
      </c>
      <c r="C61" s="27" t="s">
        <v>841</v>
      </c>
      <c r="D61" s="8" t="s">
        <v>1036</v>
      </c>
      <c r="E61" s="9" t="s">
        <v>1037</v>
      </c>
      <c r="F61" s="8" t="s">
        <v>1038</v>
      </c>
      <c r="G61" s="9" t="s">
        <v>1039</v>
      </c>
      <c r="H61" s="8" t="s">
        <v>999</v>
      </c>
      <c r="I61" s="25"/>
      <c r="J61" s="25" t="n">
        <f aca="false">턴_설계!$B$5</f>
        <v>120</v>
      </c>
    </row>
    <row r="62" customFormat="false" ht="29.25" hidden="false" customHeight="true" outlineLevel="0" collapsed="false">
      <c r="A62" s="25" t="n">
        <v>5</v>
      </c>
      <c r="B62" s="25" t="n">
        <v>10</v>
      </c>
      <c r="C62" s="27" t="s">
        <v>858</v>
      </c>
      <c r="D62" s="8" t="s">
        <v>1040</v>
      </c>
      <c r="E62" s="9" t="s">
        <v>1041</v>
      </c>
      <c r="F62" s="9" t="s">
        <v>1042</v>
      </c>
      <c r="G62" s="9" t="s">
        <v>1043</v>
      </c>
      <c r="H62" s="8" t="s">
        <v>1044</v>
      </c>
      <c r="I62" s="25" t="s">
        <v>752</v>
      </c>
      <c r="J62" s="25" t="n">
        <f aca="false">턴_설계!$B$5</f>
        <v>120</v>
      </c>
    </row>
    <row r="63" customFormat="false" ht="16.5" hidden="false" customHeight="true" outlineLevel="0" collapsed="false">
      <c r="A63" s="25" t="n">
        <v>5</v>
      </c>
      <c r="B63" s="25" t="n">
        <v>11</v>
      </c>
      <c r="C63" s="27" t="s">
        <v>858</v>
      </c>
      <c r="D63" s="8" t="s">
        <v>1045</v>
      </c>
      <c r="E63" s="9" t="s">
        <v>1046</v>
      </c>
      <c r="F63" s="9" t="s">
        <v>1047</v>
      </c>
      <c r="G63" s="9" t="s">
        <v>1048</v>
      </c>
      <c r="H63" s="8" t="s">
        <v>1004</v>
      </c>
      <c r="I63" s="25"/>
      <c r="J63" s="25" t="n">
        <f aca="false">턴_설계!$B$5</f>
        <v>120</v>
      </c>
    </row>
    <row r="64" customFormat="false" ht="29.25" hidden="false" customHeight="true" outlineLevel="0" collapsed="false">
      <c r="A64" s="25" t="n">
        <v>5</v>
      </c>
      <c r="B64" s="25" t="n">
        <v>12</v>
      </c>
      <c r="C64" s="27" t="s">
        <v>869</v>
      </c>
      <c r="D64" s="8" t="s">
        <v>1049</v>
      </c>
      <c r="E64" s="9" t="s">
        <v>1050</v>
      </c>
      <c r="F64" s="8" t="s">
        <v>1051</v>
      </c>
      <c r="G64" s="9" t="s">
        <v>1052</v>
      </c>
      <c r="H64" s="8" t="s">
        <v>1053</v>
      </c>
      <c r="I64" s="25"/>
      <c r="J64" s="25" t="n">
        <f aca="false">턴_설계!$B$5</f>
        <v>120</v>
      </c>
    </row>
    <row r="65" customFormat="false" ht="29.25" hidden="false" customHeight="true" outlineLevel="0" collapsed="false">
      <c r="A65" s="25" t="n">
        <v>6</v>
      </c>
      <c r="B65" s="25" t="n">
        <v>1</v>
      </c>
      <c r="C65" s="27" t="s">
        <v>808</v>
      </c>
      <c r="D65" s="8" t="s">
        <v>1054</v>
      </c>
      <c r="E65" s="9" t="s">
        <v>1055</v>
      </c>
      <c r="F65" s="9" t="s">
        <v>1056</v>
      </c>
      <c r="G65" s="9" t="s">
        <v>1057</v>
      </c>
      <c r="H65" s="8" t="s">
        <v>1058</v>
      </c>
      <c r="I65" s="25" t="s">
        <v>739</v>
      </c>
      <c r="J65" s="25" t="n">
        <f aca="false">턴_설계!$B$5</f>
        <v>120</v>
      </c>
    </row>
    <row r="66" customFormat="false" ht="29.25" hidden="false" customHeight="true" outlineLevel="0" collapsed="false">
      <c r="A66" s="25" t="n">
        <v>6</v>
      </c>
      <c r="B66" s="25" t="n">
        <v>2</v>
      </c>
      <c r="C66" s="27" t="s">
        <v>808</v>
      </c>
      <c r="D66" s="8" t="s">
        <v>1059</v>
      </c>
      <c r="E66" s="9" t="s">
        <v>1060</v>
      </c>
      <c r="F66" s="9" t="s">
        <v>1061</v>
      </c>
      <c r="G66" s="9" t="s">
        <v>1062</v>
      </c>
      <c r="H66" s="8" t="s">
        <v>1063</v>
      </c>
      <c r="I66" s="25"/>
      <c r="J66" s="25" t="n">
        <f aca="false">턴_설계!$B$5</f>
        <v>120</v>
      </c>
    </row>
    <row r="67" customFormat="false" ht="29.25" hidden="false" customHeight="true" outlineLevel="0" collapsed="false">
      <c r="A67" s="25" t="n">
        <v>6</v>
      </c>
      <c r="B67" s="25" t="n">
        <v>3</v>
      </c>
      <c r="C67" s="27" t="s">
        <v>808</v>
      </c>
      <c r="D67" s="8" t="s">
        <v>1064</v>
      </c>
      <c r="E67" s="8" t="s">
        <v>1065</v>
      </c>
      <c r="F67" s="9" t="s">
        <v>1066</v>
      </c>
      <c r="G67" s="9" t="s">
        <v>1067</v>
      </c>
      <c r="H67" s="8" t="s">
        <v>1068</v>
      </c>
      <c r="I67" s="25" t="s">
        <v>739</v>
      </c>
      <c r="J67" s="25" t="n">
        <f aca="false">턴_설계!$B$5</f>
        <v>120</v>
      </c>
    </row>
    <row r="68" customFormat="false" ht="29.25" hidden="false" customHeight="true" outlineLevel="0" collapsed="false">
      <c r="A68" s="25" t="n">
        <v>6</v>
      </c>
      <c r="B68" s="25" t="n">
        <v>4</v>
      </c>
      <c r="C68" s="27" t="s">
        <v>824</v>
      </c>
      <c r="D68" s="8" t="s">
        <v>1069</v>
      </c>
      <c r="E68" s="9" t="s">
        <v>1070</v>
      </c>
      <c r="F68" s="9" t="s">
        <v>1071</v>
      </c>
      <c r="G68" s="9" t="s">
        <v>1072</v>
      </c>
      <c r="H68" s="8" t="s">
        <v>1073</v>
      </c>
      <c r="I68" s="25"/>
      <c r="J68" s="25" t="n">
        <f aca="false">턴_설계!$B$5</f>
        <v>120</v>
      </c>
    </row>
    <row r="69" customFormat="false" ht="29.25" hidden="false" customHeight="true" outlineLevel="0" collapsed="false">
      <c r="A69" s="25" t="n">
        <v>6</v>
      </c>
      <c r="B69" s="25" t="n">
        <v>5</v>
      </c>
      <c r="C69" s="27" t="s">
        <v>824</v>
      </c>
      <c r="D69" s="8" t="s">
        <v>1074</v>
      </c>
      <c r="E69" s="8" t="s">
        <v>1075</v>
      </c>
      <c r="F69" s="8" t="s">
        <v>1076</v>
      </c>
      <c r="G69" s="9" t="s">
        <v>1077</v>
      </c>
      <c r="H69" s="8" t="s">
        <v>1078</v>
      </c>
      <c r="I69" s="25"/>
      <c r="J69" s="25" t="n">
        <f aca="false">턴_설계!$B$5</f>
        <v>120</v>
      </c>
    </row>
    <row r="70" customFormat="false" ht="42" hidden="false" customHeight="true" outlineLevel="0" collapsed="false">
      <c r="A70" s="25" t="n">
        <v>6</v>
      </c>
      <c r="B70" s="25" t="n">
        <v>6</v>
      </c>
      <c r="C70" s="27" t="s">
        <v>835</v>
      </c>
      <c r="D70" s="8" t="s">
        <v>1079</v>
      </c>
      <c r="E70" s="9" t="s">
        <v>1080</v>
      </c>
      <c r="F70" s="8" t="s">
        <v>1081</v>
      </c>
      <c r="G70" s="9" t="s">
        <v>1082</v>
      </c>
      <c r="H70" s="8" t="s">
        <v>1083</v>
      </c>
      <c r="I70" s="25" t="s">
        <v>739</v>
      </c>
      <c r="J70" s="25" t="n">
        <f aca="false">턴_설계!$B$5</f>
        <v>120</v>
      </c>
    </row>
    <row r="71" customFormat="false" ht="29.25" hidden="false" customHeight="true" outlineLevel="0" collapsed="false">
      <c r="A71" s="25" t="n">
        <v>6</v>
      </c>
      <c r="B71" s="25" t="n">
        <v>7</v>
      </c>
      <c r="C71" s="27" t="s">
        <v>841</v>
      </c>
      <c r="D71" s="8" t="s">
        <v>1084</v>
      </c>
      <c r="E71" s="9" t="s">
        <v>1085</v>
      </c>
      <c r="F71" s="9" t="s">
        <v>1086</v>
      </c>
      <c r="G71" s="9" t="s">
        <v>1087</v>
      </c>
      <c r="H71" s="8" t="s">
        <v>1063</v>
      </c>
      <c r="I71" s="25"/>
      <c r="J71" s="25" t="n">
        <f aca="false">턴_설계!$B$5</f>
        <v>120</v>
      </c>
    </row>
    <row r="72" customFormat="false" ht="42" hidden="false" customHeight="true" outlineLevel="0" collapsed="false">
      <c r="A72" s="25" t="n">
        <v>6</v>
      </c>
      <c r="B72" s="25" t="n">
        <v>8</v>
      </c>
      <c r="C72" s="27" t="s">
        <v>841</v>
      </c>
      <c r="D72" s="8" t="s">
        <v>1088</v>
      </c>
      <c r="E72" s="9" t="s">
        <v>1089</v>
      </c>
      <c r="F72" s="9" t="s">
        <v>1090</v>
      </c>
      <c r="G72" s="9" t="s">
        <v>1091</v>
      </c>
      <c r="H72" s="8" t="s">
        <v>1092</v>
      </c>
      <c r="I72" s="25" t="s">
        <v>1093</v>
      </c>
      <c r="J72" s="25" t="n">
        <f aca="false">턴_설계!$B$5</f>
        <v>120</v>
      </c>
    </row>
    <row r="73" customFormat="false" ht="42" hidden="false" customHeight="true" outlineLevel="0" collapsed="false">
      <c r="A73" s="25" t="n">
        <v>6</v>
      </c>
      <c r="B73" s="25" t="n">
        <v>9</v>
      </c>
      <c r="C73" s="27" t="s">
        <v>841</v>
      </c>
      <c r="D73" s="8" t="s">
        <v>1094</v>
      </c>
      <c r="E73" s="9" t="s">
        <v>1095</v>
      </c>
      <c r="F73" s="9" t="s">
        <v>1096</v>
      </c>
      <c r="G73" s="9" t="s">
        <v>1097</v>
      </c>
      <c r="H73" s="8" t="s">
        <v>1098</v>
      </c>
      <c r="I73" s="25" t="s">
        <v>1099</v>
      </c>
      <c r="J73" s="25" t="n">
        <f aca="false">턴_설계!$B$5</f>
        <v>120</v>
      </c>
    </row>
    <row r="74" customFormat="false" ht="29.25" hidden="false" customHeight="true" outlineLevel="0" collapsed="false">
      <c r="A74" s="25" t="n">
        <v>6</v>
      </c>
      <c r="B74" s="25" t="n">
        <v>10</v>
      </c>
      <c r="C74" s="27" t="s">
        <v>858</v>
      </c>
      <c r="D74" s="8" t="s">
        <v>1100</v>
      </c>
      <c r="E74" s="9" t="s">
        <v>1101</v>
      </c>
      <c r="F74" s="9" t="s">
        <v>1102</v>
      </c>
      <c r="G74" s="9" t="s">
        <v>1103</v>
      </c>
      <c r="H74" s="8" t="s">
        <v>1104</v>
      </c>
      <c r="I74" s="25" t="s">
        <v>739</v>
      </c>
      <c r="J74" s="25" t="n">
        <f aca="false">턴_설계!$B$5</f>
        <v>120</v>
      </c>
    </row>
    <row r="75" customFormat="false" ht="42" hidden="false" customHeight="true" outlineLevel="0" collapsed="false">
      <c r="A75" s="25" t="n">
        <v>6</v>
      </c>
      <c r="B75" s="25" t="n">
        <v>11</v>
      </c>
      <c r="C75" s="27" t="s">
        <v>858</v>
      </c>
      <c r="D75" s="8" t="s">
        <v>1105</v>
      </c>
      <c r="E75" s="9" t="s">
        <v>1106</v>
      </c>
      <c r="F75" s="9" t="s">
        <v>1107</v>
      </c>
      <c r="G75" s="9" t="s">
        <v>1108</v>
      </c>
      <c r="H75" s="9" t="s">
        <v>1109</v>
      </c>
      <c r="I75" s="25" t="s">
        <v>752</v>
      </c>
      <c r="J75" s="25" t="n">
        <f aca="false">턴_설계!$B$5</f>
        <v>120</v>
      </c>
    </row>
    <row r="76" customFormat="false" ht="29.25" hidden="false" customHeight="true" outlineLevel="0" collapsed="false">
      <c r="A76" s="25" t="n">
        <v>6</v>
      </c>
      <c r="B76" s="25" t="n">
        <v>12</v>
      </c>
      <c r="C76" s="27" t="s">
        <v>869</v>
      </c>
      <c r="D76" s="8" t="s">
        <v>1110</v>
      </c>
      <c r="E76" s="9" t="s">
        <v>1111</v>
      </c>
      <c r="F76" s="9" t="s">
        <v>1112</v>
      </c>
      <c r="G76" s="9" t="s">
        <v>1113</v>
      </c>
      <c r="H76" s="9" t="s">
        <v>1109</v>
      </c>
      <c r="I76" s="25"/>
      <c r="J76" s="25" t="n">
        <f aca="false">턴_설계!$B$5</f>
        <v>120</v>
      </c>
    </row>
    <row r="77" customFormat="false" ht="42" hidden="false" customHeight="true" outlineLevel="0" collapsed="false">
      <c r="A77" s="25" t="n">
        <v>7</v>
      </c>
      <c r="B77" s="25" t="n">
        <v>1</v>
      </c>
      <c r="C77" s="27" t="s">
        <v>808</v>
      </c>
      <c r="D77" s="8" t="s">
        <v>1114</v>
      </c>
      <c r="E77" s="8" t="s">
        <v>1115</v>
      </c>
      <c r="F77" s="9" t="s">
        <v>1116</v>
      </c>
      <c r="G77" s="9" t="s">
        <v>1117</v>
      </c>
      <c r="H77" s="9" t="s">
        <v>1109</v>
      </c>
      <c r="I77" s="25"/>
      <c r="J77" s="25" t="n">
        <f aca="false">턴_설계!$B$5</f>
        <v>120</v>
      </c>
    </row>
    <row r="78" customFormat="false" ht="29.25" hidden="false" customHeight="true" outlineLevel="0" collapsed="false">
      <c r="A78" s="25" t="n">
        <v>7</v>
      </c>
      <c r="B78" s="25" t="n">
        <v>2</v>
      </c>
      <c r="C78" s="27" t="s">
        <v>808</v>
      </c>
      <c r="D78" s="8" t="s">
        <v>1118</v>
      </c>
      <c r="E78" s="9" t="s">
        <v>1119</v>
      </c>
      <c r="F78" s="9" t="s">
        <v>1120</v>
      </c>
      <c r="G78" s="9" t="s">
        <v>1121</v>
      </c>
      <c r="H78" s="8" t="s">
        <v>1122</v>
      </c>
      <c r="I78" s="25" t="s">
        <v>1123</v>
      </c>
      <c r="J78" s="25" t="n">
        <f aca="false">턴_설계!$B$5</f>
        <v>120</v>
      </c>
    </row>
    <row r="79" customFormat="false" ht="42" hidden="false" customHeight="true" outlineLevel="0" collapsed="false">
      <c r="A79" s="25" t="n">
        <v>7</v>
      </c>
      <c r="B79" s="25" t="n">
        <v>3</v>
      </c>
      <c r="C79" s="27" t="s">
        <v>808</v>
      </c>
      <c r="D79" s="8" t="s">
        <v>1124</v>
      </c>
      <c r="E79" s="9" t="s">
        <v>1125</v>
      </c>
      <c r="F79" s="9" t="s">
        <v>1126</v>
      </c>
      <c r="G79" s="9" t="s">
        <v>1127</v>
      </c>
      <c r="H79" s="8" t="s">
        <v>1128</v>
      </c>
      <c r="I79" s="25" t="s">
        <v>1129</v>
      </c>
      <c r="J79" s="25" t="n">
        <f aca="false">턴_설계!$B$5</f>
        <v>120</v>
      </c>
    </row>
    <row r="80" customFormat="false" ht="42" hidden="false" customHeight="true" outlineLevel="0" collapsed="false">
      <c r="A80" s="25" t="n">
        <v>7</v>
      </c>
      <c r="B80" s="25" t="n">
        <v>4</v>
      </c>
      <c r="C80" s="27" t="s">
        <v>824</v>
      </c>
      <c r="D80" s="8" t="s">
        <v>1130</v>
      </c>
      <c r="E80" s="9" t="s">
        <v>1131</v>
      </c>
      <c r="F80" s="8" t="s">
        <v>1132</v>
      </c>
      <c r="G80" s="9" t="s">
        <v>1133</v>
      </c>
      <c r="H80" s="8" t="s">
        <v>1134</v>
      </c>
      <c r="I80" s="25" t="s">
        <v>776</v>
      </c>
      <c r="J80" s="25" t="n">
        <f aca="false">턴_설계!$B$5</f>
        <v>120</v>
      </c>
    </row>
    <row r="81" customFormat="false" ht="29.25" hidden="false" customHeight="true" outlineLevel="0" collapsed="false">
      <c r="A81" s="25" t="n">
        <v>7</v>
      </c>
      <c r="B81" s="25" t="n">
        <v>5</v>
      </c>
      <c r="C81" s="27" t="s">
        <v>824</v>
      </c>
      <c r="D81" s="8" t="s">
        <v>1135</v>
      </c>
      <c r="E81" s="8" t="s">
        <v>1136</v>
      </c>
      <c r="F81" s="9" t="s">
        <v>1137</v>
      </c>
      <c r="G81" s="9" t="s">
        <v>1138</v>
      </c>
      <c r="H81" s="8" t="s">
        <v>1139</v>
      </c>
      <c r="I81" s="25" t="s">
        <v>913</v>
      </c>
      <c r="J81" s="25" t="n">
        <f aca="false">턴_설계!$B$5</f>
        <v>120</v>
      </c>
    </row>
    <row r="82" customFormat="false" ht="29.25" hidden="false" customHeight="true" outlineLevel="0" collapsed="false">
      <c r="A82" s="25" t="n">
        <v>7</v>
      </c>
      <c r="B82" s="25" t="n">
        <v>6</v>
      </c>
      <c r="C82" s="27" t="s">
        <v>835</v>
      </c>
      <c r="D82" s="8" t="s">
        <v>1140</v>
      </c>
      <c r="E82" s="9" t="s">
        <v>1141</v>
      </c>
      <c r="F82" s="8" t="s">
        <v>1142</v>
      </c>
      <c r="G82" s="8" t="s">
        <v>1143</v>
      </c>
      <c r="H82" s="8" t="s">
        <v>1144</v>
      </c>
      <c r="I82" s="25" t="s">
        <v>913</v>
      </c>
      <c r="J82" s="25" t="n">
        <f aca="false">턴_설계!$B$5</f>
        <v>120</v>
      </c>
    </row>
    <row r="83" customFormat="false" ht="29.25" hidden="false" customHeight="true" outlineLevel="0" collapsed="false">
      <c r="A83" s="25" t="n">
        <v>7</v>
      </c>
      <c r="B83" s="25" t="n">
        <v>7</v>
      </c>
      <c r="C83" s="27" t="s">
        <v>841</v>
      </c>
      <c r="D83" s="8" t="s">
        <v>1145</v>
      </c>
      <c r="E83" s="9" t="s">
        <v>1146</v>
      </c>
      <c r="F83" s="9" t="s">
        <v>1147</v>
      </c>
      <c r="G83" s="9" t="s">
        <v>1148</v>
      </c>
      <c r="H83" s="8" t="s">
        <v>1149</v>
      </c>
      <c r="I83" s="25" t="s">
        <v>913</v>
      </c>
      <c r="J83" s="25" t="n">
        <f aca="false">턴_설계!$B$5</f>
        <v>120</v>
      </c>
    </row>
    <row r="84" customFormat="false" ht="29.25" hidden="false" customHeight="true" outlineLevel="0" collapsed="false">
      <c r="A84" s="25" t="n">
        <v>7</v>
      </c>
      <c r="B84" s="25" t="n">
        <v>8</v>
      </c>
      <c r="C84" s="27" t="s">
        <v>841</v>
      </c>
      <c r="D84" s="8" t="s">
        <v>1150</v>
      </c>
      <c r="E84" s="9" t="s">
        <v>1151</v>
      </c>
      <c r="F84" s="8" t="s">
        <v>1152</v>
      </c>
      <c r="G84" s="9" t="s">
        <v>1153</v>
      </c>
      <c r="H84" s="8" t="s">
        <v>1154</v>
      </c>
      <c r="I84" s="25" t="s">
        <v>913</v>
      </c>
      <c r="J84" s="25" t="n">
        <f aca="false">턴_설계!$B$5</f>
        <v>120</v>
      </c>
    </row>
    <row r="85" customFormat="false" ht="29.25" hidden="false" customHeight="true" outlineLevel="0" collapsed="false">
      <c r="A85" s="25" t="n">
        <v>7</v>
      </c>
      <c r="B85" s="25" t="n">
        <v>9</v>
      </c>
      <c r="C85" s="27" t="s">
        <v>841</v>
      </c>
      <c r="D85" s="8" t="s">
        <v>1155</v>
      </c>
      <c r="E85" s="9" t="s">
        <v>1156</v>
      </c>
      <c r="F85" s="9" t="s">
        <v>1157</v>
      </c>
      <c r="G85" s="9" t="s">
        <v>1158</v>
      </c>
      <c r="H85" s="8" t="s">
        <v>1159</v>
      </c>
      <c r="I85" s="25"/>
      <c r="J85" s="25" t="n">
        <f aca="false">턴_설계!$B$5</f>
        <v>120</v>
      </c>
    </row>
    <row r="86" customFormat="false" ht="29.25" hidden="false" customHeight="true" outlineLevel="0" collapsed="false">
      <c r="A86" s="25" t="n">
        <v>7</v>
      </c>
      <c r="B86" s="25" t="n">
        <v>10</v>
      </c>
      <c r="C86" s="27" t="s">
        <v>858</v>
      </c>
      <c r="D86" s="8" t="s">
        <v>1160</v>
      </c>
      <c r="E86" s="9" t="s">
        <v>1161</v>
      </c>
      <c r="F86" s="9" t="s">
        <v>1162</v>
      </c>
      <c r="G86" s="9" t="s">
        <v>1163</v>
      </c>
      <c r="H86" s="8" t="s">
        <v>1164</v>
      </c>
      <c r="I86" s="25" t="s">
        <v>913</v>
      </c>
      <c r="J86" s="25" t="n">
        <f aca="false">턴_설계!$B$5</f>
        <v>120</v>
      </c>
    </row>
    <row r="87" customFormat="false" ht="29.25" hidden="false" customHeight="true" outlineLevel="0" collapsed="false">
      <c r="A87" s="25" t="n">
        <v>7</v>
      </c>
      <c r="B87" s="25" t="n">
        <v>11</v>
      </c>
      <c r="C87" s="27" t="s">
        <v>858</v>
      </c>
      <c r="D87" s="8" t="s">
        <v>1165</v>
      </c>
      <c r="E87" s="9" t="s">
        <v>1166</v>
      </c>
      <c r="F87" s="8" t="s">
        <v>1167</v>
      </c>
      <c r="G87" s="9" t="s">
        <v>1168</v>
      </c>
      <c r="H87" s="8" t="s">
        <v>1169</v>
      </c>
      <c r="I87" s="25" t="s">
        <v>1170</v>
      </c>
      <c r="J87" s="25" t="n">
        <f aca="false">턴_설계!$B$5</f>
        <v>120</v>
      </c>
    </row>
    <row r="88" customFormat="false" ht="29.25" hidden="false" customHeight="true" outlineLevel="0" collapsed="false">
      <c r="A88" s="25" t="n">
        <v>7</v>
      </c>
      <c r="B88" s="25" t="n">
        <v>12</v>
      </c>
      <c r="C88" s="27" t="s">
        <v>869</v>
      </c>
      <c r="D88" s="8" t="s">
        <v>1171</v>
      </c>
      <c r="E88" s="9" t="s">
        <v>1172</v>
      </c>
      <c r="F88" s="8" t="s">
        <v>1173</v>
      </c>
      <c r="G88" s="9" t="s">
        <v>1174</v>
      </c>
      <c r="H88" s="9" t="s">
        <v>1109</v>
      </c>
      <c r="I88" s="25" t="s">
        <v>1175</v>
      </c>
      <c r="J88" s="25" t="n">
        <f aca="false">턴_설계!$B$5</f>
        <v>120</v>
      </c>
    </row>
    <row r="89" customFormat="false" ht="29.25" hidden="false" customHeight="true" outlineLevel="0" collapsed="false">
      <c r="A89" s="25" t="n">
        <v>8</v>
      </c>
      <c r="B89" s="25" t="n">
        <v>1</v>
      </c>
      <c r="C89" s="27" t="s">
        <v>808</v>
      </c>
      <c r="D89" s="8" t="s">
        <v>1176</v>
      </c>
      <c r="E89" s="9" t="s">
        <v>1177</v>
      </c>
      <c r="F89" s="9" t="s">
        <v>1178</v>
      </c>
      <c r="G89" s="9" t="s">
        <v>1179</v>
      </c>
      <c r="H89" s="8" t="s">
        <v>1180</v>
      </c>
      <c r="I89" s="25" t="s">
        <v>1093</v>
      </c>
      <c r="J89" s="25" t="n">
        <f aca="false">턴_설계!$B$5</f>
        <v>120</v>
      </c>
    </row>
    <row r="90" customFormat="false" ht="29.25" hidden="false" customHeight="true" outlineLevel="0" collapsed="false">
      <c r="A90" s="25" t="n">
        <v>8</v>
      </c>
      <c r="B90" s="25" t="n">
        <v>2</v>
      </c>
      <c r="C90" s="27" t="s">
        <v>808</v>
      </c>
      <c r="D90" s="8" t="s">
        <v>1181</v>
      </c>
      <c r="E90" s="9" t="s">
        <v>1182</v>
      </c>
      <c r="F90" s="8" t="s">
        <v>1183</v>
      </c>
      <c r="G90" s="9" t="s">
        <v>1184</v>
      </c>
      <c r="H90" s="8" t="s">
        <v>1185</v>
      </c>
      <c r="I90" s="25"/>
      <c r="J90" s="25" t="n">
        <f aca="false">턴_설계!$B$5</f>
        <v>120</v>
      </c>
    </row>
    <row r="91" customFormat="false" ht="16.5" hidden="false" customHeight="true" outlineLevel="0" collapsed="false">
      <c r="A91" s="25" t="n">
        <v>8</v>
      </c>
      <c r="B91" s="25" t="n">
        <v>3</v>
      </c>
      <c r="C91" s="27" t="s">
        <v>808</v>
      </c>
      <c r="D91" s="8" t="s">
        <v>1186</v>
      </c>
      <c r="E91" s="8" t="s">
        <v>1187</v>
      </c>
      <c r="F91" s="9" t="s">
        <v>1188</v>
      </c>
      <c r="G91" s="9" t="s">
        <v>1189</v>
      </c>
      <c r="H91" s="8" t="s">
        <v>1190</v>
      </c>
      <c r="I91" s="25" t="s">
        <v>1191</v>
      </c>
      <c r="J91" s="25" t="n">
        <f aca="false">턴_설계!$B$5</f>
        <v>120</v>
      </c>
    </row>
    <row r="92" customFormat="false" ht="29.25" hidden="false" customHeight="true" outlineLevel="0" collapsed="false">
      <c r="A92" s="25" t="n">
        <v>8</v>
      </c>
      <c r="B92" s="25" t="n">
        <v>4</v>
      </c>
      <c r="C92" s="27" t="s">
        <v>1192</v>
      </c>
      <c r="D92" s="8" t="s">
        <v>1193</v>
      </c>
      <c r="E92" s="9" t="s">
        <v>1194</v>
      </c>
      <c r="F92" s="9" t="s">
        <v>1195</v>
      </c>
      <c r="G92" s="9" t="s">
        <v>1196</v>
      </c>
      <c r="H92" s="8" t="s">
        <v>1197</v>
      </c>
      <c r="I92" s="25"/>
      <c r="J92" s="25" t="n">
        <f aca="false">턴_설계!$B$5</f>
        <v>120</v>
      </c>
    </row>
    <row r="93" customFormat="false" ht="29.25" hidden="false" customHeight="true" outlineLevel="0" collapsed="false">
      <c r="A93" s="25" t="n">
        <v>8</v>
      </c>
      <c r="B93" s="25" t="n">
        <v>5</v>
      </c>
      <c r="C93" s="27" t="s">
        <v>835</v>
      </c>
      <c r="D93" s="8" t="s">
        <v>1198</v>
      </c>
      <c r="E93" s="9" t="s">
        <v>1199</v>
      </c>
      <c r="F93" s="9" t="s">
        <v>1200</v>
      </c>
      <c r="G93" s="9" t="s">
        <v>1201</v>
      </c>
      <c r="H93" s="8" t="s">
        <v>1202</v>
      </c>
      <c r="I93" s="25"/>
      <c r="J93" s="25" t="n">
        <f aca="false">턴_설계!$B$5</f>
        <v>120</v>
      </c>
    </row>
    <row r="94" customFormat="false" ht="29.25" hidden="false" customHeight="true" outlineLevel="0" collapsed="false">
      <c r="A94" s="25" t="n">
        <v>8</v>
      </c>
      <c r="B94" s="25" t="n">
        <v>6</v>
      </c>
      <c r="C94" s="27" t="s">
        <v>841</v>
      </c>
      <c r="D94" s="8" t="s">
        <v>1203</v>
      </c>
      <c r="E94" s="9" t="s">
        <v>1204</v>
      </c>
      <c r="F94" s="9" t="s">
        <v>1205</v>
      </c>
      <c r="G94" s="9" t="s">
        <v>1206</v>
      </c>
      <c r="H94" s="8" t="s">
        <v>1044</v>
      </c>
      <c r="I94" s="25" t="s">
        <v>1175</v>
      </c>
      <c r="J94" s="25" t="n">
        <f aca="false">턴_설계!$B$5</f>
        <v>120</v>
      </c>
    </row>
    <row r="95" customFormat="false" ht="29.25" hidden="false" customHeight="true" outlineLevel="0" collapsed="false">
      <c r="A95" s="25" t="n">
        <v>8</v>
      </c>
      <c r="B95" s="25" t="n">
        <v>7</v>
      </c>
      <c r="C95" s="27" t="s">
        <v>841</v>
      </c>
      <c r="D95" s="8" t="s">
        <v>1207</v>
      </c>
      <c r="E95" s="9" t="s">
        <v>1208</v>
      </c>
      <c r="F95" s="9" t="s">
        <v>1209</v>
      </c>
      <c r="G95" s="9" t="s">
        <v>1210</v>
      </c>
      <c r="H95" s="8" t="s">
        <v>957</v>
      </c>
      <c r="I95" s="25"/>
      <c r="J95" s="25" t="n">
        <f aca="false">턴_설계!$B$5</f>
        <v>120</v>
      </c>
    </row>
    <row r="96" customFormat="false" ht="29.25" hidden="false" customHeight="true" outlineLevel="0" collapsed="false">
      <c r="A96" s="25" t="n">
        <v>8</v>
      </c>
      <c r="B96" s="25" t="n">
        <v>8</v>
      </c>
      <c r="C96" s="27" t="s">
        <v>841</v>
      </c>
      <c r="D96" s="8" t="s">
        <v>1211</v>
      </c>
      <c r="E96" s="9" t="s">
        <v>1212</v>
      </c>
      <c r="F96" s="8" t="s">
        <v>1213</v>
      </c>
      <c r="G96" s="9" t="s">
        <v>1214</v>
      </c>
      <c r="H96" s="8" t="s">
        <v>1215</v>
      </c>
      <c r="I96" s="25" t="s">
        <v>1216</v>
      </c>
      <c r="J96" s="25" t="n">
        <f aca="false">턴_설계!$B$5</f>
        <v>120</v>
      </c>
    </row>
    <row r="97" customFormat="false" ht="29.25" hidden="false" customHeight="true" outlineLevel="0" collapsed="false">
      <c r="A97" s="25" t="n">
        <v>8</v>
      </c>
      <c r="B97" s="25" t="n">
        <v>9</v>
      </c>
      <c r="C97" s="27" t="s">
        <v>841</v>
      </c>
      <c r="D97" s="8" t="s">
        <v>1217</v>
      </c>
      <c r="E97" s="9" t="s">
        <v>1218</v>
      </c>
      <c r="F97" s="8" t="s">
        <v>1219</v>
      </c>
      <c r="G97" s="9" t="s">
        <v>1220</v>
      </c>
      <c r="H97" s="8" t="s">
        <v>1221</v>
      </c>
      <c r="I97" s="25" t="s">
        <v>1222</v>
      </c>
      <c r="J97" s="25" t="n">
        <f aca="false">턴_설계!$B$5</f>
        <v>120</v>
      </c>
    </row>
    <row r="98" customFormat="false" ht="16.5" hidden="false" customHeight="true" outlineLevel="0" collapsed="false">
      <c r="A98" s="25" t="n">
        <v>8</v>
      </c>
      <c r="B98" s="25" t="n">
        <v>10</v>
      </c>
      <c r="C98" s="27" t="s">
        <v>858</v>
      </c>
      <c r="D98" s="8" t="s">
        <v>1223</v>
      </c>
      <c r="E98" s="9" t="s">
        <v>1224</v>
      </c>
      <c r="F98" s="9" t="s">
        <v>1225</v>
      </c>
      <c r="G98" s="9" t="s">
        <v>1226</v>
      </c>
      <c r="H98" s="8" t="s">
        <v>1227</v>
      </c>
      <c r="I98" s="25"/>
      <c r="J98" s="25" t="n">
        <f aca="false">턴_설계!$B$5</f>
        <v>120</v>
      </c>
    </row>
    <row r="99" customFormat="false" ht="29.25" hidden="false" customHeight="true" outlineLevel="0" collapsed="false">
      <c r="A99" s="25" t="n">
        <v>8</v>
      </c>
      <c r="B99" s="25" t="n">
        <v>11</v>
      </c>
      <c r="C99" s="27" t="s">
        <v>858</v>
      </c>
      <c r="D99" s="8" t="s">
        <v>1228</v>
      </c>
      <c r="E99" s="9" t="s">
        <v>1229</v>
      </c>
      <c r="F99" s="9" t="s">
        <v>1230</v>
      </c>
      <c r="G99" s="9" t="s">
        <v>1231</v>
      </c>
      <c r="H99" s="8" t="s">
        <v>1232</v>
      </c>
      <c r="I99" s="25"/>
      <c r="J99" s="25" t="n">
        <f aca="false">턴_설계!$B$5</f>
        <v>120</v>
      </c>
    </row>
    <row r="100" customFormat="false" ht="29.25" hidden="false" customHeight="true" outlineLevel="0" collapsed="false">
      <c r="A100" s="25" t="n">
        <v>8</v>
      </c>
      <c r="B100" s="25" t="n">
        <v>12</v>
      </c>
      <c r="C100" s="27" t="s">
        <v>869</v>
      </c>
      <c r="D100" s="8" t="s">
        <v>1233</v>
      </c>
      <c r="E100" s="9" t="s">
        <v>1234</v>
      </c>
      <c r="F100" s="9" t="s">
        <v>1235</v>
      </c>
      <c r="G100" s="9" t="s">
        <v>1236</v>
      </c>
      <c r="H100" s="9" t="s">
        <v>1109</v>
      </c>
      <c r="I100" s="25"/>
      <c r="J100" s="25" t="n">
        <f aca="false">턴_설계!$B$5</f>
        <v>120</v>
      </c>
    </row>
    <row r="101" customFormat="false" ht="29.25" hidden="false" customHeight="true" outlineLevel="0" collapsed="false">
      <c r="A101" s="25" t="n">
        <v>9</v>
      </c>
      <c r="B101" s="25" t="n">
        <v>1</v>
      </c>
      <c r="C101" s="27" t="s">
        <v>808</v>
      </c>
      <c r="D101" s="8" t="s">
        <v>1237</v>
      </c>
      <c r="E101" s="9" t="s">
        <v>1238</v>
      </c>
      <c r="F101" s="8" t="s">
        <v>1239</v>
      </c>
      <c r="G101" s="9" t="s">
        <v>1240</v>
      </c>
      <c r="H101" s="8" t="s">
        <v>1241</v>
      </c>
      <c r="I101" s="25"/>
      <c r="J101" s="25" t="n">
        <f aca="false">턴_설계!$B$5</f>
        <v>120</v>
      </c>
    </row>
    <row r="102" customFormat="false" ht="29.25" hidden="false" customHeight="true" outlineLevel="0" collapsed="false">
      <c r="A102" s="25" t="n">
        <v>9</v>
      </c>
      <c r="B102" s="25" t="n">
        <v>2</v>
      </c>
      <c r="C102" s="27" t="s">
        <v>808</v>
      </c>
      <c r="D102" s="8" t="s">
        <v>1242</v>
      </c>
      <c r="E102" s="9" t="s">
        <v>1243</v>
      </c>
      <c r="F102" s="9" t="s">
        <v>1244</v>
      </c>
      <c r="G102" s="9" t="s">
        <v>1245</v>
      </c>
      <c r="H102" s="8" t="s">
        <v>1246</v>
      </c>
      <c r="I102" s="25"/>
      <c r="J102" s="25" t="n">
        <f aca="false">턴_설계!$B$5</f>
        <v>120</v>
      </c>
    </row>
    <row r="103" customFormat="false" ht="29.25" hidden="false" customHeight="true" outlineLevel="0" collapsed="false">
      <c r="A103" s="25" t="n">
        <v>9</v>
      </c>
      <c r="B103" s="25" t="n">
        <v>3</v>
      </c>
      <c r="C103" s="27" t="s">
        <v>808</v>
      </c>
      <c r="D103" s="8" t="s">
        <v>1247</v>
      </c>
      <c r="E103" s="9" t="s">
        <v>1248</v>
      </c>
      <c r="F103" s="8" t="s">
        <v>1249</v>
      </c>
      <c r="G103" s="9" t="s">
        <v>1250</v>
      </c>
      <c r="H103" s="8" t="s">
        <v>957</v>
      </c>
      <c r="I103" s="25"/>
      <c r="J103" s="25" t="n">
        <f aca="false">턴_설계!$B$5</f>
        <v>120</v>
      </c>
    </row>
    <row r="104" customFormat="false" ht="29.25" hidden="false" customHeight="true" outlineLevel="0" collapsed="false">
      <c r="A104" s="25" t="n">
        <v>9</v>
      </c>
      <c r="B104" s="25" t="n">
        <v>4</v>
      </c>
      <c r="C104" s="27" t="s">
        <v>824</v>
      </c>
      <c r="D104" s="8" t="s">
        <v>1251</v>
      </c>
      <c r="E104" s="9" t="s">
        <v>1252</v>
      </c>
      <c r="F104" s="9" t="s">
        <v>1253</v>
      </c>
      <c r="G104" s="9" t="s">
        <v>1254</v>
      </c>
      <c r="H104" s="8" t="s">
        <v>1255</v>
      </c>
      <c r="I104" s="25" t="s">
        <v>1256</v>
      </c>
      <c r="J104" s="25" t="n">
        <f aca="false">턴_설계!$B$5</f>
        <v>120</v>
      </c>
    </row>
    <row r="105" customFormat="false" ht="29.25" hidden="false" customHeight="true" outlineLevel="0" collapsed="false">
      <c r="A105" s="25" t="n">
        <v>9</v>
      </c>
      <c r="B105" s="25" t="n">
        <v>5</v>
      </c>
      <c r="C105" s="27" t="s">
        <v>824</v>
      </c>
      <c r="D105" s="8" t="s">
        <v>1257</v>
      </c>
      <c r="E105" s="9" t="s">
        <v>1258</v>
      </c>
      <c r="F105" s="9" t="s">
        <v>1259</v>
      </c>
      <c r="G105" s="9" t="s">
        <v>1260</v>
      </c>
      <c r="H105" s="8" t="s">
        <v>1044</v>
      </c>
      <c r="I105" s="25" t="s">
        <v>1175</v>
      </c>
      <c r="J105" s="25" t="n">
        <f aca="false">턴_설계!$B$5</f>
        <v>120</v>
      </c>
    </row>
    <row r="106" customFormat="false" ht="42" hidden="false" customHeight="true" outlineLevel="0" collapsed="false">
      <c r="A106" s="25" t="n">
        <v>9</v>
      </c>
      <c r="B106" s="25" t="n">
        <v>6</v>
      </c>
      <c r="C106" s="27" t="s">
        <v>835</v>
      </c>
      <c r="D106" s="8" t="s">
        <v>1261</v>
      </c>
      <c r="E106" s="9" t="s">
        <v>1262</v>
      </c>
      <c r="F106" s="9" t="s">
        <v>1263</v>
      </c>
      <c r="G106" s="9" t="s">
        <v>1264</v>
      </c>
      <c r="H106" s="8" t="s">
        <v>1265</v>
      </c>
      <c r="I106" s="25" t="s">
        <v>739</v>
      </c>
      <c r="J106" s="25" t="n">
        <f aca="false">턴_설계!$B$5</f>
        <v>120</v>
      </c>
    </row>
    <row r="107" customFormat="false" ht="29.25" hidden="false" customHeight="true" outlineLevel="0" collapsed="false">
      <c r="A107" s="25" t="n">
        <v>9</v>
      </c>
      <c r="B107" s="25" t="n">
        <v>7</v>
      </c>
      <c r="C107" s="27" t="s">
        <v>841</v>
      </c>
      <c r="D107" s="8" t="s">
        <v>1266</v>
      </c>
      <c r="E107" s="9" t="s">
        <v>1267</v>
      </c>
      <c r="F107" s="9" t="s">
        <v>1268</v>
      </c>
      <c r="G107" s="17" t="s">
        <v>1269</v>
      </c>
      <c r="H107" s="8" t="s">
        <v>1270</v>
      </c>
      <c r="I107" s="25" t="s">
        <v>896</v>
      </c>
      <c r="J107" s="25" t="n">
        <f aca="false">턴_설계!$B$5</f>
        <v>120</v>
      </c>
    </row>
    <row r="108" customFormat="false" ht="29.25" hidden="false" customHeight="true" outlineLevel="0" collapsed="false">
      <c r="A108" s="25" t="n">
        <v>9</v>
      </c>
      <c r="B108" s="25" t="n">
        <v>8</v>
      </c>
      <c r="C108" s="27" t="s">
        <v>841</v>
      </c>
      <c r="D108" s="8" t="s">
        <v>1271</v>
      </c>
      <c r="E108" s="9" t="s">
        <v>1272</v>
      </c>
      <c r="F108" s="9" t="s">
        <v>1273</v>
      </c>
      <c r="G108" s="9" t="s">
        <v>1274</v>
      </c>
      <c r="H108" s="8" t="s">
        <v>1275</v>
      </c>
      <c r="I108" s="25"/>
      <c r="J108" s="25" t="n">
        <f aca="false">턴_설계!$B$5</f>
        <v>120</v>
      </c>
    </row>
    <row r="109" customFormat="false" ht="29.25" hidden="false" customHeight="true" outlineLevel="0" collapsed="false">
      <c r="A109" s="25" t="n">
        <v>9</v>
      </c>
      <c r="B109" s="25" t="n">
        <v>9</v>
      </c>
      <c r="C109" s="27" t="s">
        <v>841</v>
      </c>
      <c r="D109" s="8" t="s">
        <v>1276</v>
      </c>
      <c r="E109" s="9" t="s">
        <v>1277</v>
      </c>
      <c r="F109" s="9" t="s">
        <v>1278</v>
      </c>
      <c r="G109" s="9" t="s">
        <v>1279</v>
      </c>
      <c r="H109" s="8" t="s">
        <v>1197</v>
      </c>
      <c r="I109" s="25" t="s">
        <v>913</v>
      </c>
      <c r="J109" s="25" t="n">
        <f aca="false">턴_설계!$B$5</f>
        <v>120</v>
      </c>
    </row>
    <row r="110" customFormat="false" ht="29.25" hidden="false" customHeight="true" outlineLevel="0" collapsed="false">
      <c r="A110" s="25" t="n">
        <v>9</v>
      </c>
      <c r="B110" s="25" t="n">
        <v>10</v>
      </c>
      <c r="C110" s="27" t="s">
        <v>858</v>
      </c>
      <c r="D110" s="8" t="s">
        <v>1280</v>
      </c>
      <c r="E110" s="9" t="s">
        <v>1281</v>
      </c>
      <c r="F110" s="9" t="s">
        <v>1282</v>
      </c>
      <c r="G110" s="9" t="s">
        <v>1283</v>
      </c>
      <c r="H110" s="8" t="s">
        <v>1284</v>
      </c>
      <c r="I110" s="25"/>
      <c r="J110" s="25" t="n">
        <f aca="false">턴_설계!$B$5</f>
        <v>120</v>
      </c>
    </row>
    <row r="111" customFormat="false" ht="16.5" hidden="false" customHeight="true" outlineLevel="0" collapsed="false">
      <c r="A111" s="25" t="n">
        <v>9</v>
      </c>
      <c r="B111" s="25" t="n">
        <v>11</v>
      </c>
      <c r="C111" s="27" t="s">
        <v>858</v>
      </c>
      <c r="D111" s="8" t="s">
        <v>1285</v>
      </c>
      <c r="E111" s="9" t="s">
        <v>1286</v>
      </c>
      <c r="F111" s="9" t="s">
        <v>1287</v>
      </c>
      <c r="G111" s="9" t="s">
        <v>1288</v>
      </c>
      <c r="H111" s="8" t="s">
        <v>1289</v>
      </c>
      <c r="I111" s="25"/>
      <c r="J111" s="25" t="n">
        <f aca="false">턴_설계!$B$5</f>
        <v>120</v>
      </c>
    </row>
    <row r="112" customFormat="false" ht="29.25" hidden="false" customHeight="true" outlineLevel="0" collapsed="false">
      <c r="A112" s="25" t="n">
        <v>9</v>
      </c>
      <c r="B112" s="25" t="n">
        <v>12</v>
      </c>
      <c r="C112" s="27" t="s">
        <v>869</v>
      </c>
      <c r="D112" s="8" t="s">
        <v>1290</v>
      </c>
      <c r="E112" s="9" t="s">
        <v>1291</v>
      </c>
      <c r="F112" s="17" t="s">
        <v>1292</v>
      </c>
      <c r="G112" s="9" t="s">
        <v>1293</v>
      </c>
      <c r="H112" s="8" t="s">
        <v>1294</v>
      </c>
      <c r="I112" s="25"/>
      <c r="J112" s="25" t="n">
        <f aca="false">턴_설계!$B$5</f>
        <v>120</v>
      </c>
    </row>
    <row r="113" customFormat="false" ht="29.25" hidden="false" customHeight="true" outlineLevel="0" collapsed="false">
      <c r="A113" s="25" t="n">
        <v>10</v>
      </c>
      <c r="B113" s="25" t="n">
        <v>1</v>
      </c>
      <c r="C113" s="27" t="s">
        <v>808</v>
      </c>
      <c r="D113" s="8" t="s">
        <v>1295</v>
      </c>
      <c r="E113" s="9" t="s">
        <v>1296</v>
      </c>
      <c r="F113" s="9" t="s">
        <v>1297</v>
      </c>
      <c r="G113" s="9" t="s">
        <v>1298</v>
      </c>
      <c r="H113" s="8" t="s">
        <v>1299</v>
      </c>
      <c r="I113" s="25"/>
      <c r="J113" s="25" t="n">
        <f aca="false">턴_설계!$B$5</f>
        <v>120</v>
      </c>
    </row>
    <row r="114" customFormat="false" ht="29.25" hidden="false" customHeight="true" outlineLevel="0" collapsed="false">
      <c r="A114" s="25" t="n">
        <v>10</v>
      </c>
      <c r="B114" s="25" t="n">
        <v>2</v>
      </c>
      <c r="C114" s="27" t="s">
        <v>808</v>
      </c>
      <c r="D114" s="8" t="s">
        <v>1300</v>
      </c>
      <c r="E114" s="8" t="s">
        <v>1301</v>
      </c>
      <c r="F114" s="9" t="s">
        <v>1302</v>
      </c>
      <c r="G114" s="9" t="s">
        <v>1303</v>
      </c>
      <c r="H114" s="8" t="s">
        <v>1304</v>
      </c>
      <c r="I114" s="25" t="s">
        <v>1305</v>
      </c>
      <c r="J114" s="25" t="n">
        <f aca="false">턴_설계!$B$5</f>
        <v>120</v>
      </c>
    </row>
    <row r="115" customFormat="false" ht="16.5" hidden="false" customHeight="true" outlineLevel="0" collapsed="false">
      <c r="A115" s="25" t="n">
        <v>10</v>
      </c>
      <c r="B115" s="25" t="n">
        <v>3</v>
      </c>
      <c r="C115" s="27" t="s">
        <v>808</v>
      </c>
      <c r="D115" s="8" t="s">
        <v>1306</v>
      </c>
      <c r="E115" s="8" t="s">
        <v>1307</v>
      </c>
      <c r="F115" s="9" t="s">
        <v>1308</v>
      </c>
      <c r="G115" s="17" t="s">
        <v>1309</v>
      </c>
      <c r="H115" s="8" t="s">
        <v>1310</v>
      </c>
      <c r="I115" s="25" t="s">
        <v>1311</v>
      </c>
      <c r="J115" s="25" t="n">
        <f aca="false">턴_설계!$B$5</f>
        <v>120</v>
      </c>
    </row>
    <row r="116" customFormat="false" ht="16.5" hidden="false" customHeight="true" outlineLevel="0" collapsed="false">
      <c r="A116" s="25" t="n">
        <v>10</v>
      </c>
      <c r="B116" s="25" t="n">
        <v>4</v>
      </c>
      <c r="C116" s="27" t="s">
        <v>1192</v>
      </c>
      <c r="D116" s="8" t="s">
        <v>1312</v>
      </c>
      <c r="E116" s="17" t="s">
        <v>1313</v>
      </c>
      <c r="F116" s="8" t="s">
        <v>1314</v>
      </c>
      <c r="G116" s="9" t="s">
        <v>1315</v>
      </c>
      <c r="H116" s="9" t="s">
        <v>1109</v>
      </c>
      <c r="I116" s="25"/>
      <c r="J116" s="25" t="n">
        <f aca="false">턴_설계!$B$5</f>
        <v>120</v>
      </c>
    </row>
    <row r="117" customFormat="false" ht="16.5" hidden="false" customHeight="true" outlineLevel="0" collapsed="false">
      <c r="A117" s="25" t="n">
        <v>10</v>
      </c>
      <c r="B117" s="25" t="n">
        <v>5</v>
      </c>
      <c r="C117" s="27" t="s">
        <v>824</v>
      </c>
      <c r="D117" s="8" t="s">
        <v>1316</v>
      </c>
      <c r="E117" s="9" t="s">
        <v>1317</v>
      </c>
      <c r="F117" s="9" t="s">
        <v>1318</v>
      </c>
      <c r="G117" s="9" t="s">
        <v>1319</v>
      </c>
      <c r="H117" s="8" t="s">
        <v>1320</v>
      </c>
      <c r="I117" s="25"/>
      <c r="J117" s="25" t="n">
        <f aca="false">턴_설계!$B$5</f>
        <v>120</v>
      </c>
    </row>
    <row r="118" customFormat="false" ht="29.25" hidden="false" customHeight="true" outlineLevel="0" collapsed="false">
      <c r="A118" s="25" t="n">
        <v>10</v>
      </c>
      <c r="B118" s="25" t="n">
        <v>6</v>
      </c>
      <c r="C118" s="27" t="s">
        <v>824</v>
      </c>
      <c r="D118" s="8" t="s">
        <v>1321</v>
      </c>
      <c r="E118" s="9" t="s">
        <v>1322</v>
      </c>
      <c r="F118" s="8" t="s">
        <v>1323</v>
      </c>
      <c r="G118" s="9" t="s">
        <v>1324</v>
      </c>
      <c r="H118" s="8" t="s">
        <v>1325</v>
      </c>
      <c r="I118" s="25"/>
      <c r="J118" s="25" t="n">
        <f aca="false">턴_설계!$B$5</f>
        <v>120</v>
      </c>
    </row>
    <row r="119" customFormat="false" ht="16.5" hidden="false" customHeight="true" outlineLevel="0" collapsed="false">
      <c r="A119" s="25" t="n">
        <v>10</v>
      </c>
      <c r="B119" s="25" t="n">
        <v>7</v>
      </c>
      <c r="C119" s="27" t="s">
        <v>835</v>
      </c>
      <c r="D119" s="8" t="s">
        <v>1326</v>
      </c>
      <c r="E119" s="9" t="s">
        <v>1327</v>
      </c>
      <c r="F119" s="9" t="s">
        <v>1328</v>
      </c>
      <c r="G119" s="9" t="s">
        <v>1329</v>
      </c>
      <c r="H119" s="8" t="s">
        <v>1330</v>
      </c>
      <c r="I119" s="25"/>
      <c r="J119" s="25" t="n">
        <f aca="false">턴_설계!$B$5</f>
        <v>120</v>
      </c>
    </row>
    <row r="120" customFormat="false" ht="29.25" hidden="false" customHeight="true" outlineLevel="0" collapsed="false">
      <c r="A120" s="25" t="n">
        <v>10</v>
      </c>
      <c r="B120" s="25" t="n">
        <v>8</v>
      </c>
      <c r="C120" s="27" t="s">
        <v>841</v>
      </c>
      <c r="D120" s="8" t="s">
        <v>1331</v>
      </c>
      <c r="E120" s="9" t="s">
        <v>1332</v>
      </c>
      <c r="F120" s="9" t="s">
        <v>1333</v>
      </c>
      <c r="G120" s="9" t="s">
        <v>1334</v>
      </c>
      <c r="H120" s="8" t="s">
        <v>1335</v>
      </c>
      <c r="I120" s="25" t="s">
        <v>1175</v>
      </c>
      <c r="J120" s="25" t="n">
        <f aca="false">턴_설계!$B$5</f>
        <v>120</v>
      </c>
    </row>
    <row r="121" customFormat="false" ht="16.5" hidden="false" customHeight="true" outlineLevel="0" collapsed="false">
      <c r="A121" s="25" t="n">
        <v>10</v>
      </c>
      <c r="B121" s="25" t="n">
        <v>9</v>
      </c>
      <c r="C121" s="27" t="s">
        <v>841</v>
      </c>
      <c r="D121" s="8" t="s">
        <v>1336</v>
      </c>
      <c r="E121" s="9" t="s">
        <v>1337</v>
      </c>
      <c r="F121" s="9" t="s">
        <v>1338</v>
      </c>
      <c r="G121" s="9" t="s">
        <v>1339</v>
      </c>
      <c r="H121" s="8" t="s">
        <v>1340</v>
      </c>
      <c r="I121" s="25"/>
      <c r="J121" s="25" t="n">
        <f aca="false">턴_설계!$B$5</f>
        <v>120</v>
      </c>
    </row>
    <row r="122" customFormat="false" ht="16.5" hidden="false" customHeight="true" outlineLevel="0" collapsed="false">
      <c r="A122" s="25" t="n">
        <v>10</v>
      </c>
      <c r="B122" s="25" t="n">
        <v>10</v>
      </c>
      <c r="C122" s="27" t="s">
        <v>1192</v>
      </c>
      <c r="D122" s="8" t="s">
        <v>1341</v>
      </c>
      <c r="E122" s="9" t="s">
        <v>1342</v>
      </c>
      <c r="F122" s="8" t="s">
        <v>1343</v>
      </c>
      <c r="G122" s="9" t="s">
        <v>1344</v>
      </c>
      <c r="H122" s="9" t="s">
        <v>1109</v>
      </c>
      <c r="I122" s="25"/>
      <c r="J122" s="25" t="n">
        <f aca="false">턴_설계!$B$5</f>
        <v>120</v>
      </c>
    </row>
    <row r="123" customFormat="false" ht="29.25" hidden="false" customHeight="true" outlineLevel="0" collapsed="false">
      <c r="A123" s="25" t="n">
        <v>10</v>
      </c>
      <c r="B123" s="25" t="n">
        <v>11</v>
      </c>
      <c r="C123" s="27" t="s">
        <v>858</v>
      </c>
      <c r="D123" s="8" t="s">
        <v>1345</v>
      </c>
      <c r="E123" s="9" t="s">
        <v>1346</v>
      </c>
      <c r="F123" s="9" t="s">
        <v>1347</v>
      </c>
      <c r="G123" s="9" t="s">
        <v>1348</v>
      </c>
      <c r="H123" s="8" t="s">
        <v>1349</v>
      </c>
      <c r="I123" s="25" t="s">
        <v>1350</v>
      </c>
      <c r="J123" s="25" t="n">
        <f aca="false">턴_설계!$B$5</f>
        <v>120</v>
      </c>
    </row>
    <row r="124" customFormat="false" ht="29.25" hidden="false" customHeight="true" outlineLevel="0" collapsed="false">
      <c r="A124" s="25" t="n">
        <v>10</v>
      </c>
      <c r="B124" s="25" t="n">
        <v>12</v>
      </c>
      <c r="C124" s="27" t="s">
        <v>869</v>
      </c>
      <c r="D124" s="8" t="s">
        <v>1351</v>
      </c>
      <c r="E124" s="17" t="s">
        <v>1352</v>
      </c>
      <c r="F124" s="8" t="s">
        <v>1353</v>
      </c>
      <c r="G124" s="9" t="s">
        <v>1354</v>
      </c>
      <c r="H124" s="8" t="s">
        <v>1355</v>
      </c>
      <c r="I124" s="25"/>
      <c r="J124" s="25" t="n">
        <f aca="false">턴_설계!$B$5</f>
        <v>120</v>
      </c>
    </row>
    <row r="125" customFormat="false" ht="29.25" hidden="false" customHeight="true" outlineLevel="0" collapsed="false">
      <c r="A125" s="25" t="n">
        <v>11</v>
      </c>
      <c r="B125" s="25" t="n">
        <v>1</v>
      </c>
      <c r="C125" s="27" t="s">
        <v>808</v>
      </c>
      <c r="D125" s="8" t="s">
        <v>1356</v>
      </c>
      <c r="E125" s="9" t="s">
        <v>1357</v>
      </c>
      <c r="F125" s="17" t="s">
        <v>1358</v>
      </c>
      <c r="G125" s="9" t="s">
        <v>1359</v>
      </c>
      <c r="H125" s="8" t="s">
        <v>1360</v>
      </c>
      <c r="I125" s="25" t="s">
        <v>1361</v>
      </c>
      <c r="J125" s="25" t="n">
        <f aca="false">턴_설계!$B$5</f>
        <v>120</v>
      </c>
    </row>
    <row r="126" customFormat="false" ht="29.25" hidden="false" customHeight="true" outlineLevel="0" collapsed="false">
      <c r="A126" s="25" t="n">
        <v>11</v>
      </c>
      <c r="B126" s="25" t="n">
        <v>2</v>
      </c>
      <c r="C126" s="27" t="s">
        <v>824</v>
      </c>
      <c r="D126" s="8" t="s">
        <v>1362</v>
      </c>
      <c r="E126" s="9" t="s">
        <v>1363</v>
      </c>
      <c r="F126" s="8" t="s">
        <v>1364</v>
      </c>
      <c r="G126" s="9" t="s">
        <v>1365</v>
      </c>
      <c r="H126" s="8" t="s">
        <v>957</v>
      </c>
      <c r="I126" s="25" t="s">
        <v>739</v>
      </c>
      <c r="J126" s="25" t="n">
        <f aca="false">턴_설계!$B$5</f>
        <v>120</v>
      </c>
    </row>
    <row r="127" customFormat="false" ht="29.25" hidden="false" customHeight="true" outlineLevel="0" collapsed="false">
      <c r="A127" s="25" t="n">
        <v>11</v>
      </c>
      <c r="B127" s="25" t="n">
        <v>3</v>
      </c>
      <c r="C127" s="27" t="s">
        <v>824</v>
      </c>
      <c r="D127" s="8" t="s">
        <v>1366</v>
      </c>
      <c r="E127" s="9" t="s">
        <v>1367</v>
      </c>
      <c r="F127" s="9" t="s">
        <v>1368</v>
      </c>
      <c r="G127" s="9" t="s">
        <v>1369</v>
      </c>
      <c r="H127" s="8" t="s">
        <v>1370</v>
      </c>
      <c r="I127" s="25" t="s">
        <v>739</v>
      </c>
      <c r="J127" s="25" t="n">
        <f aca="false">턴_설계!$B$5</f>
        <v>120</v>
      </c>
    </row>
    <row r="128" customFormat="false" ht="42" hidden="false" customHeight="true" outlineLevel="0" collapsed="false">
      <c r="A128" s="25" t="n">
        <v>11</v>
      </c>
      <c r="B128" s="25" t="n">
        <v>4</v>
      </c>
      <c r="C128" s="27" t="s">
        <v>841</v>
      </c>
      <c r="D128" s="8" t="s">
        <v>1371</v>
      </c>
      <c r="E128" s="9" t="s">
        <v>1372</v>
      </c>
      <c r="F128" s="9" t="s">
        <v>1373</v>
      </c>
      <c r="G128" s="17" t="s">
        <v>1374</v>
      </c>
      <c r="H128" s="8" t="s">
        <v>1375</v>
      </c>
      <c r="I128" s="25" t="s">
        <v>1376</v>
      </c>
      <c r="J128" s="25" t="n">
        <f aca="false">턴_설계!$B$5</f>
        <v>120</v>
      </c>
    </row>
    <row r="129" customFormat="false" ht="42" hidden="false" customHeight="true" outlineLevel="0" collapsed="false">
      <c r="A129" s="25" t="n">
        <v>11</v>
      </c>
      <c r="B129" s="25" t="n">
        <v>5</v>
      </c>
      <c r="C129" s="27" t="s">
        <v>841</v>
      </c>
      <c r="D129" s="8" t="s">
        <v>1377</v>
      </c>
      <c r="E129" s="9" t="s">
        <v>1378</v>
      </c>
      <c r="F129" s="9" t="s">
        <v>1379</v>
      </c>
      <c r="G129" s="9" t="s">
        <v>1380</v>
      </c>
      <c r="H129" s="8" t="s">
        <v>1381</v>
      </c>
      <c r="I129" s="25" t="s">
        <v>776</v>
      </c>
      <c r="J129" s="25" t="n">
        <f aca="false">턴_설계!$B$5</f>
        <v>120</v>
      </c>
    </row>
    <row r="130" customFormat="false" ht="42" hidden="false" customHeight="true" outlineLevel="0" collapsed="false">
      <c r="A130" s="25" t="n">
        <v>11</v>
      </c>
      <c r="B130" s="25" t="n">
        <v>6</v>
      </c>
      <c r="C130" s="27" t="s">
        <v>824</v>
      </c>
      <c r="D130" s="8" t="s">
        <v>1382</v>
      </c>
      <c r="E130" s="9" t="s">
        <v>1383</v>
      </c>
      <c r="F130" s="9" t="s">
        <v>1384</v>
      </c>
      <c r="G130" s="9" t="s">
        <v>1385</v>
      </c>
      <c r="H130" s="8" t="s">
        <v>1386</v>
      </c>
      <c r="I130" s="25" t="s">
        <v>752</v>
      </c>
      <c r="J130" s="25" t="n">
        <f aca="false">턴_설계!$B$5</f>
        <v>120</v>
      </c>
    </row>
    <row r="131" customFormat="false" ht="42" hidden="false" customHeight="true" outlineLevel="0" collapsed="false">
      <c r="A131" s="25" t="n">
        <v>11</v>
      </c>
      <c r="B131" s="25" t="n">
        <v>7</v>
      </c>
      <c r="C131" s="27" t="s">
        <v>841</v>
      </c>
      <c r="D131" s="8" t="s">
        <v>1387</v>
      </c>
      <c r="E131" s="9" t="s">
        <v>1388</v>
      </c>
      <c r="F131" s="9" t="s">
        <v>1389</v>
      </c>
      <c r="G131" s="9" t="s">
        <v>1390</v>
      </c>
      <c r="H131" s="8" t="s">
        <v>1391</v>
      </c>
      <c r="I131" s="25"/>
      <c r="J131" s="25" t="n">
        <f aca="false">턴_설계!$B$5</f>
        <v>120</v>
      </c>
    </row>
    <row r="132" customFormat="false" ht="54.75" hidden="false" customHeight="true" outlineLevel="0" collapsed="false">
      <c r="A132" s="25" t="n">
        <v>11</v>
      </c>
      <c r="B132" s="25" t="n">
        <v>8</v>
      </c>
      <c r="C132" s="27" t="s">
        <v>841</v>
      </c>
      <c r="D132" s="8" t="s">
        <v>1392</v>
      </c>
      <c r="E132" s="9" t="s">
        <v>1393</v>
      </c>
      <c r="F132" s="9" t="s">
        <v>1394</v>
      </c>
      <c r="G132" s="9" t="s">
        <v>1395</v>
      </c>
      <c r="H132" s="8" t="s">
        <v>1396</v>
      </c>
      <c r="I132" s="25" t="s">
        <v>1397</v>
      </c>
      <c r="J132" s="25" t="n">
        <f aca="false">턴_설계!$B$5</f>
        <v>120</v>
      </c>
    </row>
    <row r="133" customFormat="false" ht="105.75" hidden="false" customHeight="true" outlineLevel="0" collapsed="false">
      <c r="A133" s="25" t="n">
        <v>11</v>
      </c>
      <c r="B133" s="25" t="n">
        <v>9</v>
      </c>
      <c r="C133" s="27" t="s">
        <v>1192</v>
      </c>
      <c r="D133" s="8" t="s">
        <v>1398</v>
      </c>
      <c r="E133" s="9" t="s">
        <v>1399</v>
      </c>
      <c r="F133" s="8" t="s">
        <v>1400</v>
      </c>
      <c r="G133" s="9" t="s">
        <v>1401</v>
      </c>
      <c r="H133" s="8" t="s">
        <v>1402</v>
      </c>
      <c r="I133" s="25" t="s">
        <v>1403</v>
      </c>
      <c r="J133" s="25" t="n">
        <f aca="false">턴_설계!$B$5</f>
        <v>120</v>
      </c>
    </row>
    <row r="134" customFormat="false" ht="67.5" hidden="false" customHeight="true" outlineLevel="0" collapsed="false">
      <c r="A134" s="25" t="n">
        <v>11</v>
      </c>
      <c r="B134" s="25" t="n">
        <v>10</v>
      </c>
      <c r="C134" s="27" t="s">
        <v>858</v>
      </c>
      <c r="D134" s="8" t="s">
        <v>1404</v>
      </c>
      <c r="E134" s="9" t="s">
        <v>1405</v>
      </c>
      <c r="F134" s="9" t="s">
        <v>1406</v>
      </c>
      <c r="G134" s="17" t="s">
        <v>1407</v>
      </c>
      <c r="H134" s="8" t="s">
        <v>1408</v>
      </c>
      <c r="I134" s="25" t="s">
        <v>1409</v>
      </c>
      <c r="J134" s="25" t="n">
        <f aca="false">턴_설계!$B$5</f>
        <v>120</v>
      </c>
    </row>
    <row r="135" customFormat="false" ht="42" hidden="false" customHeight="true" outlineLevel="0" collapsed="false">
      <c r="A135" s="25" t="n">
        <v>11</v>
      </c>
      <c r="B135" s="25" t="n">
        <v>11</v>
      </c>
      <c r="C135" s="27" t="s">
        <v>858</v>
      </c>
      <c r="D135" s="8" t="s">
        <v>1410</v>
      </c>
      <c r="E135" s="9" t="s">
        <v>1411</v>
      </c>
      <c r="F135" s="9" t="s">
        <v>1412</v>
      </c>
      <c r="G135" s="9" t="s">
        <v>1413</v>
      </c>
      <c r="H135" s="8" t="s">
        <v>1414</v>
      </c>
      <c r="I135" s="25" t="s">
        <v>1409</v>
      </c>
      <c r="J135" s="25" t="n">
        <f aca="false">턴_설계!$B$5</f>
        <v>120</v>
      </c>
    </row>
    <row r="136" customFormat="false" ht="42" hidden="false" customHeight="true" outlineLevel="0" collapsed="false">
      <c r="A136" s="25" t="n">
        <v>11</v>
      </c>
      <c r="B136" s="25" t="n">
        <v>12</v>
      </c>
      <c r="C136" s="27" t="s">
        <v>1415</v>
      </c>
      <c r="D136" s="8" t="s">
        <v>1416</v>
      </c>
      <c r="E136" s="9" t="s">
        <v>1417</v>
      </c>
      <c r="F136" s="9" t="s">
        <v>1418</v>
      </c>
      <c r="G136" s="8" t="s">
        <v>1419</v>
      </c>
      <c r="H136" s="8" t="s">
        <v>1420</v>
      </c>
      <c r="I136" s="25" t="s">
        <v>1403</v>
      </c>
      <c r="J136" s="25" t="n">
        <f aca="false">턴_설계!$B$5</f>
        <v>120</v>
      </c>
    </row>
    <row r="137" customFormat="false" ht="42" hidden="false" customHeight="true" outlineLevel="0" collapsed="false">
      <c r="A137" s="25" t="n">
        <v>12</v>
      </c>
      <c r="B137" s="25" t="n">
        <v>1</v>
      </c>
      <c r="C137" s="27" t="s">
        <v>1421</v>
      </c>
      <c r="D137" s="8" t="s">
        <v>1422</v>
      </c>
      <c r="E137" s="9" t="s">
        <v>1423</v>
      </c>
      <c r="F137" s="8" t="s">
        <v>1424</v>
      </c>
      <c r="G137" s="8" t="s">
        <v>1425</v>
      </c>
      <c r="H137" s="8" t="s">
        <v>1426</v>
      </c>
      <c r="I137" s="25"/>
      <c r="J137" s="25" t="n">
        <f aca="false">턴_설계!$B$5</f>
        <v>120</v>
      </c>
    </row>
    <row r="138" customFormat="false" ht="29.25" hidden="false" customHeight="true" outlineLevel="0" collapsed="false">
      <c r="A138" s="25" t="n">
        <v>12</v>
      </c>
      <c r="B138" s="25" t="n">
        <v>2</v>
      </c>
      <c r="C138" s="27" t="s">
        <v>824</v>
      </c>
      <c r="D138" s="8" t="s">
        <v>1427</v>
      </c>
      <c r="E138" s="9" t="s">
        <v>1428</v>
      </c>
      <c r="F138" s="8" t="s">
        <v>1429</v>
      </c>
      <c r="G138" s="9" t="s">
        <v>1430</v>
      </c>
      <c r="H138" s="8" t="s">
        <v>1431</v>
      </c>
      <c r="I138" s="25"/>
      <c r="J138" s="25" t="n">
        <f aca="false">턴_설계!$B$5</f>
        <v>120</v>
      </c>
    </row>
    <row r="139" customFormat="false" ht="42" hidden="false" customHeight="true" outlineLevel="0" collapsed="false">
      <c r="A139" s="25" t="n">
        <v>12</v>
      </c>
      <c r="B139" s="25" t="n">
        <v>3</v>
      </c>
      <c r="C139" s="27" t="s">
        <v>824</v>
      </c>
      <c r="D139" s="8" t="s">
        <v>1432</v>
      </c>
      <c r="E139" s="9" t="s">
        <v>1433</v>
      </c>
      <c r="F139" s="8" t="s">
        <v>1434</v>
      </c>
      <c r="G139" s="9" t="s">
        <v>1435</v>
      </c>
      <c r="H139" s="8" t="s">
        <v>1436</v>
      </c>
      <c r="I139" s="25" t="s">
        <v>1409</v>
      </c>
      <c r="J139" s="25" t="n">
        <f aca="false">턴_설계!$B$5</f>
        <v>120</v>
      </c>
    </row>
    <row r="140" customFormat="false" ht="42" hidden="false" customHeight="true" outlineLevel="0" collapsed="false">
      <c r="A140" s="25" t="n">
        <v>12</v>
      </c>
      <c r="B140" s="25" t="n">
        <v>4</v>
      </c>
      <c r="C140" s="27" t="s">
        <v>824</v>
      </c>
      <c r="D140" s="8" t="s">
        <v>1437</v>
      </c>
      <c r="E140" s="9" t="s">
        <v>1438</v>
      </c>
      <c r="F140" s="9" t="s">
        <v>1439</v>
      </c>
      <c r="G140" s="9" t="s">
        <v>1440</v>
      </c>
      <c r="H140" s="8" t="s">
        <v>1441</v>
      </c>
      <c r="I140" s="25" t="s">
        <v>1442</v>
      </c>
      <c r="J140" s="25" t="n">
        <f aca="false">턴_설계!$B$5</f>
        <v>120</v>
      </c>
    </row>
    <row r="141" customFormat="false" ht="42" hidden="false" customHeight="true" outlineLevel="0" collapsed="false">
      <c r="A141" s="25" t="n">
        <v>12</v>
      </c>
      <c r="B141" s="25" t="n">
        <v>5</v>
      </c>
      <c r="C141" s="27" t="s">
        <v>824</v>
      </c>
      <c r="D141" s="8" t="s">
        <v>1443</v>
      </c>
      <c r="E141" s="9" t="s">
        <v>1444</v>
      </c>
      <c r="F141" s="9" t="s">
        <v>1445</v>
      </c>
      <c r="G141" s="9" t="s">
        <v>1446</v>
      </c>
      <c r="H141" s="8" t="s">
        <v>1447</v>
      </c>
      <c r="I141" s="25" t="s">
        <v>1448</v>
      </c>
      <c r="J141" s="25" t="n">
        <f aca="false">턴_설계!$B$5</f>
        <v>120</v>
      </c>
    </row>
    <row r="142" customFormat="false" ht="29.25" hidden="false" customHeight="true" outlineLevel="0" collapsed="false">
      <c r="A142" s="25" t="n">
        <v>12</v>
      </c>
      <c r="B142" s="25" t="n">
        <v>6</v>
      </c>
      <c r="C142" s="27" t="s">
        <v>824</v>
      </c>
      <c r="D142" s="8" t="s">
        <v>1449</v>
      </c>
      <c r="E142" s="9" t="s">
        <v>1450</v>
      </c>
      <c r="F142" s="9" t="s">
        <v>1451</v>
      </c>
      <c r="G142" s="9" t="s">
        <v>1452</v>
      </c>
      <c r="H142" s="8" t="s">
        <v>1453</v>
      </c>
      <c r="I142" s="25" t="s">
        <v>1454</v>
      </c>
      <c r="J142" s="25" t="n">
        <f aca="false">턴_설계!$B$5</f>
        <v>120</v>
      </c>
    </row>
    <row r="143" customFormat="false" ht="42" hidden="false" customHeight="true" outlineLevel="0" collapsed="false">
      <c r="A143" s="25" t="n">
        <v>12</v>
      </c>
      <c r="B143" s="25" t="n">
        <v>7</v>
      </c>
      <c r="C143" s="27" t="s">
        <v>841</v>
      </c>
      <c r="D143" s="8" t="s">
        <v>1455</v>
      </c>
      <c r="E143" s="9" t="s">
        <v>1456</v>
      </c>
      <c r="F143" s="9" t="s">
        <v>1457</v>
      </c>
      <c r="G143" s="9" t="s">
        <v>1458</v>
      </c>
      <c r="H143" s="8" t="s">
        <v>1294</v>
      </c>
      <c r="I143" s="25" t="s">
        <v>1459</v>
      </c>
      <c r="J143" s="25" t="n">
        <f aca="false">턴_설계!$B$5</f>
        <v>120</v>
      </c>
    </row>
    <row r="144" customFormat="false" ht="42" hidden="false" customHeight="true" outlineLevel="0" collapsed="false">
      <c r="A144" s="25" t="n">
        <v>12</v>
      </c>
      <c r="B144" s="25" t="n">
        <v>8</v>
      </c>
      <c r="C144" s="27" t="s">
        <v>841</v>
      </c>
      <c r="D144" s="8" t="s">
        <v>1460</v>
      </c>
      <c r="E144" s="9" t="s">
        <v>1461</v>
      </c>
      <c r="F144" s="9" t="s">
        <v>1462</v>
      </c>
      <c r="G144" s="9" t="s">
        <v>1463</v>
      </c>
      <c r="H144" s="8" t="s">
        <v>1464</v>
      </c>
      <c r="I144" s="25" t="s">
        <v>1465</v>
      </c>
      <c r="J144" s="25" t="n">
        <f aca="false">턴_설계!$B$5</f>
        <v>120</v>
      </c>
    </row>
    <row r="145" customFormat="false" ht="16.5" hidden="false" customHeight="true" outlineLevel="0" collapsed="false">
      <c r="A145" s="25" t="n">
        <v>12</v>
      </c>
      <c r="B145" s="25" t="n">
        <v>9</v>
      </c>
      <c r="C145" s="27" t="s">
        <v>858</v>
      </c>
      <c r="D145" s="8" t="s">
        <v>1466</v>
      </c>
      <c r="E145" s="9" t="s">
        <v>1467</v>
      </c>
      <c r="F145" s="9" t="s">
        <v>1468</v>
      </c>
      <c r="G145" s="9" t="s">
        <v>1469</v>
      </c>
      <c r="H145" s="8" t="s">
        <v>1470</v>
      </c>
      <c r="I145" s="25" t="s">
        <v>1471</v>
      </c>
      <c r="J145" s="25" t="n">
        <f aca="false">턴_설계!$B$5</f>
        <v>120</v>
      </c>
    </row>
    <row r="146" customFormat="false" ht="42" hidden="false" customHeight="true" outlineLevel="0" collapsed="false">
      <c r="A146" s="25" t="n">
        <v>12</v>
      </c>
      <c r="B146" s="25" t="n">
        <v>10</v>
      </c>
      <c r="C146" s="27" t="s">
        <v>824</v>
      </c>
      <c r="D146" s="8" t="s">
        <v>1472</v>
      </c>
      <c r="E146" s="9" t="s">
        <v>1473</v>
      </c>
      <c r="F146" s="8" t="s">
        <v>1474</v>
      </c>
      <c r="G146" s="8" t="s">
        <v>288</v>
      </c>
      <c r="H146" s="8" t="s">
        <v>1475</v>
      </c>
      <c r="I146" s="25"/>
      <c r="J146" s="25" t="n">
        <f aca="false">턴_설계!$B$5</f>
        <v>120</v>
      </c>
    </row>
    <row r="147" customFormat="false" ht="29.25" hidden="false" customHeight="true" outlineLevel="0" collapsed="false">
      <c r="A147" s="25" t="n">
        <v>12</v>
      </c>
      <c r="B147" s="25" t="n">
        <v>11</v>
      </c>
      <c r="C147" s="27" t="s">
        <v>841</v>
      </c>
      <c r="D147" s="8" t="s">
        <v>1476</v>
      </c>
      <c r="E147" s="9" t="s">
        <v>1477</v>
      </c>
      <c r="F147" s="9" t="s">
        <v>1478</v>
      </c>
      <c r="G147" s="9" t="s">
        <v>1479</v>
      </c>
      <c r="H147" s="8" t="s">
        <v>1480</v>
      </c>
      <c r="I147" s="25"/>
      <c r="J147" s="25" t="n">
        <f aca="false">턴_설계!$B$5</f>
        <v>120</v>
      </c>
    </row>
    <row r="148" customFormat="false" ht="29.25" hidden="false" customHeight="true" outlineLevel="0" collapsed="false">
      <c r="A148" s="25" t="n">
        <v>12</v>
      </c>
      <c r="B148" s="25" t="n">
        <v>12</v>
      </c>
      <c r="C148" s="27" t="s">
        <v>869</v>
      </c>
      <c r="D148" s="8" t="s">
        <v>1481</v>
      </c>
      <c r="E148" s="9" t="s">
        <v>1482</v>
      </c>
      <c r="F148" s="9" t="s">
        <v>1483</v>
      </c>
      <c r="G148" s="9" t="s">
        <v>1484</v>
      </c>
      <c r="H148" s="8" t="s">
        <v>1485</v>
      </c>
      <c r="I148" s="25"/>
      <c r="J148" s="25" t="n">
        <f aca="false">턴_설계!$B$5</f>
        <v>120</v>
      </c>
    </row>
    <row r="149" customFormat="false" ht="29.25" hidden="false" customHeight="true" outlineLevel="0" collapsed="false">
      <c r="A149" s="25" t="n">
        <v>13</v>
      </c>
      <c r="B149" s="25" t="n">
        <v>1</v>
      </c>
      <c r="C149" s="27" t="s">
        <v>808</v>
      </c>
      <c r="D149" s="8" t="s">
        <v>1486</v>
      </c>
      <c r="E149" s="9" t="s">
        <v>1487</v>
      </c>
      <c r="F149" s="8" t="s">
        <v>1488</v>
      </c>
      <c r="G149" s="9" t="s">
        <v>1489</v>
      </c>
      <c r="H149" s="8" t="s">
        <v>1490</v>
      </c>
      <c r="I149" s="25"/>
      <c r="J149" s="25" t="n">
        <f aca="false">턴_설계!$B$5</f>
        <v>120</v>
      </c>
    </row>
    <row r="150" customFormat="false" ht="29.25" hidden="false" customHeight="true" outlineLevel="0" collapsed="false">
      <c r="A150" s="25" t="n">
        <v>13</v>
      </c>
      <c r="B150" s="25" t="n">
        <v>2</v>
      </c>
      <c r="C150" s="27" t="s">
        <v>808</v>
      </c>
      <c r="D150" s="8" t="s">
        <v>1491</v>
      </c>
      <c r="E150" s="9" t="s">
        <v>1492</v>
      </c>
      <c r="F150" s="8" t="s">
        <v>1493</v>
      </c>
      <c r="G150" s="9" t="s">
        <v>1494</v>
      </c>
      <c r="H150" s="8" t="s">
        <v>1495</v>
      </c>
      <c r="I150" s="25"/>
      <c r="J150" s="25" t="n">
        <f aca="false">턴_설계!$B$5</f>
        <v>120</v>
      </c>
    </row>
    <row r="151" customFormat="false" ht="16.5" hidden="false" customHeight="true" outlineLevel="0" collapsed="false">
      <c r="A151" s="25" t="n">
        <v>13</v>
      </c>
      <c r="B151" s="25" t="n">
        <v>3</v>
      </c>
      <c r="C151" s="27" t="s">
        <v>808</v>
      </c>
      <c r="D151" s="8" t="s">
        <v>1496</v>
      </c>
      <c r="E151" s="9" t="s">
        <v>1497</v>
      </c>
      <c r="F151" s="9" t="s">
        <v>1498</v>
      </c>
      <c r="G151" s="8" t="s">
        <v>288</v>
      </c>
      <c r="H151" s="8" t="s">
        <v>1499</v>
      </c>
      <c r="I151" s="25"/>
      <c r="J151" s="25" t="n">
        <f aca="false">턴_설계!$B$5</f>
        <v>120</v>
      </c>
    </row>
    <row r="152" customFormat="false" ht="29.25" hidden="false" customHeight="true" outlineLevel="0" collapsed="false">
      <c r="A152" s="25" t="n">
        <v>13</v>
      </c>
      <c r="B152" s="25" t="n">
        <v>4</v>
      </c>
      <c r="C152" s="27" t="s">
        <v>824</v>
      </c>
      <c r="D152" s="8" t="s">
        <v>1500</v>
      </c>
      <c r="E152" s="9" t="s">
        <v>1501</v>
      </c>
      <c r="F152" s="9" t="s">
        <v>1502</v>
      </c>
      <c r="G152" s="9" t="s">
        <v>1503</v>
      </c>
      <c r="H152" s="8" t="s">
        <v>1504</v>
      </c>
      <c r="I152" s="25"/>
      <c r="J152" s="25" t="n">
        <f aca="false">턴_설계!$B$5</f>
        <v>120</v>
      </c>
    </row>
    <row r="153" customFormat="false" ht="29.25" hidden="false" customHeight="true" outlineLevel="0" collapsed="false">
      <c r="A153" s="25" t="n">
        <v>13</v>
      </c>
      <c r="B153" s="25" t="n">
        <v>5</v>
      </c>
      <c r="C153" s="27" t="s">
        <v>824</v>
      </c>
      <c r="D153" s="8" t="s">
        <v>1505</v>
      </c>
      <c r="E153" s="9" t="s">
        <v>1506</v>
      </c>
      <c r="F153" s="9" t="s">
        <v>1507</v>
      </c>
      <c r="G153" s="8" t="s">
        <v>288</v>
      </c>
      <c r="H153" s="8" t="s">
        <v>1508</v>
      </c>
      <c r="I153" s="25" t="s">
        <v>752</v>
      </c>
      <c r="J153" s="25" t="n">
        <f aca="false">턴_설계!$B$5</f>
        <v>120</v>
      </c>
    </row>
    <row r="154" customFormat="false" ht="29.25" hidden="false" customHeight="true" outlineLevel="0" collapsed="false">
      <c r="A154" s="25" t="n">
        <v>13</v>
      </c>
      <c r="B154" s="25" t="n">
        <v>6</v>
      </c>
      <c r="C154" s="27" t="s">
        <v>835</v>
      </c>
      <c r="D154" s="8" t="s">
        <v>1509</v>
      </c>
      <c r="E154" s="8" t="s">
        <v>1510</v>
      </c>
      <c r="F154" s="8" t="s">
        <v>1511</v>
      </c>
      <c r="G154" s="8" t="s">
        <v>288</v>
      </c>
      <c r="H154" s="8" t="s">
        <v>1512</v>
      </c>
      <c r="I154" s="25" t="s">
        <v>752</v>
      </c>
      <c r="J154" s="25" t="n">
        <f aca="false">턴_설계!$B$5</f>
        <v>120</v>
      </c>
    </row>
    <row r="155" customFormat="false" ht="29.25" hidden="false" customHeight="true" outlineLevel="0" collapsed="false">
      <c r="A155" s="25" t="n">
        <v>13</v>
      </c>
      <c r="B155" s="25" t="n">
        <v>7</v>
      </c>
      <c r="C155" s="27" t="s">
        <v>824</v>
      </c>
      <c r="D155" s="8" t="s">
        <v>1513</v>
      </c>
      <c r="E155" s="9" t="s">
        <v>1514</v>
      </c>
      <c r="F155" s="8" t="s">
        <v>1515</v>
      </c>
      <c r="G155" s="9" t="s">
        <v>1516</v>
      </c>
      <c r="H155" s="8" t="s">
        <v>1517</v>
      </c>
      <c r="I155" s="25" t="s">
        <v>1518</v>
      </c>
      <c r="J155" s="25" t="n">
        <f aca="false">턴_설계!$B$5</f>
        <v>120</v>
      </c>
    </row>
    <row r="156" customFormat="false" ht="16.5" hidden="false" customHeight="true" outlineLevel="0" collapsed="false">
      <c r="A156" s="25" t="n">
        <v>13</v>
      </c>
      <c r="B156" s="25" t="n">
        <v>8</v>
      </c>
      <c r="C156" s="27" t="s">
        <v>824</v>
      </c>
      <c r="D156" s="8" t="s">
        <v>1519</v>
      </c>
      <c r="E156" s="9" t="s">
        <v>1520</v>
      </c>
      <c r="F156" s="8" t="s">
        <v>1521</v>
      </c>
      <c r="G156" s="8" t="s">
        <v>288</v>
      </c>
      <c r="H156" s="8" t="s">
        <v>1522</v>
      </c>
      <c r="I156" s="25"/>
      <c r="J156" s="25" t="n">
        <f aca="false">턴_설계!$B$5</f>
        <v>120</v>
      </c>
    </row>
    <row r="157" customFormat="false" ht="16.5" hidden="false" customHeight="true" outlineLevel="0" collapsed="false">
      <c r="A157" s="25" t="n">
        <v>13</v>
      </c>
      <c r="B157" s="25" t="n">
        <v>9</v>
      </c>
      <c r="C157" s="27" t="s">
        <v>841</v>
      </c>
      <c r="D157" s="8" t="s">
        <v>1523</v>
      </c>
      <c r="E157" s="9" t="s">
        <v>1524</v>
      </c>
      <c r="F157" s="8" t="s">
        <v>1525</v>
      </c>
      <c r="G157" s="8" t="s">
        <v>288</v>
      </c>
      <c r="H157" s="8" t="s">
        <v>1526</v>
      </c>
      <c r="I157" s="25"/>
      <c r="J157" s="25" t="n">
        <f aca="false">턴_설계!$B$5</f>
        <v>120</v>
      </c>
    </row>
    <row r="158" customFormat="false" ht="29.25" hidden="false" customHeight="true" outlineLevel="0" collapsed="false">
      <c r="A158" s="25" t="n">
        <v>13</v>
      </c>
      <c r="B158" s="25" t="n">
        <v>10</v>
      </c>
      <c r="C158" s="27" t="s">
        <v>858</v>
      </c>
      <c r="D158" s="8" t="s">
        <v>1527</v>
      </c>
      <c r="E158" s="9" t="s">
        <v>1528</v>
      </c>
      <c r="F158" s="9" t="s">
        <v>1529</v>
      </c>
      <c r="G158" s="8" t="s">
        <v>288</v>
      </c>
      <c r="H158" s="8" t="s">
        <v>1530</v>
      </c>
      <c r="I158" s="25"/>
      <c r="J158" s="25" t="n">
        <f aca="false">턴_설계!$B$5</f>
        <v>120</v>
      </c>
    </row>
    <row r="159" customFormat="false" ht="29.25" hidden="false" customHeight="true" outlineLevel="0" collapsed="false">
      <c r="A159" s="25" t="n">
        <v>13</v>
      </c>
      <c r="B159" s="25" t="n">
        <v>11</v>
      </c>
      <c r="C159" s="27" t="s">
        <v>858</v>
      </c>
      <c r="D159" s="8" t="s">
        <v>1531</v>
      </c>
      <c r="E159" s="9" t="s">
        <v>1532</v>
      </c>
      <c r="F159" s="8" t="s">
        <v>1533</v>
      </c>
      <c r="G159" s="8" t="s">
        <v>288</v>
      </c>
      <c r="H159" s="9" t="s">
        <v>1109</v>
      </c>
      <c r="I159" s="25"/>
      <c r="J159" s="25" t="n">
        <f aca="false">턴_설계!$B$5</f>
        <v>120</v>
      </c>
    </row>
    <row r="160" customFormat="false" ht="16.5" hidden="false" customHeight="true" outlineLevel="0" collapsed="false">
      <c r="A160" s="25" t="n">
        <v>13</v>
      </c>
      <c r="B160" s="25" t="n">
        <v>12</v>
      </c>
      <c r="C160" s="27" t="s">
        <v>1534</v>
      </c>
      <c r="D160" s="8" t="s">
        <v>1535</v>
      </c>
      <c r="E160" s="9" t="s">
        <v>1536</v>
      </c>
      <c r="F160" s="9" t="s">
        <v>1537</v>
      </c>
      <c r="G160" s="8" t="s">
        <v>288</v>
      </c>
      <c r="H160" s="8" t="s">
        <v>1538</v>
      </c>
      <c r="I160" s="25"/>
      <c r="J160" s="25" t="n">
        <f aca="false">턴_설계!$B$5</f>
        <v>120</v>
      </c>
    </row>
    <row r="161" customFormat="false" ht="15" hidden="false" customHeight="true" outlineLevel="0" collapsed="false">
      <c r="I161" s="61" t="s">
        <v>284</v>
      </c>
      <c r="J161" s="62" t="n">
        <f aca="false">SUM(J5:J160)</f>
        <v>18720</v>
      </c>
    </row>
  </sheetData>
  <autoFilter ref="A4:J16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16"/>
    <col collapsed="false" customWidth="true" hidden="false" outlineLevel="0" max="7" min="6" style="1" width="8"/>
    <col collapsed="false" customWidth="true" hidden="false" outlineLevel="0" max="8" min="8" style="1" width="42"/>
    <col collapsed="false" customWidth="true" hidden="false" outlineLevel="0" max="9" min="9" style="1" width="20"/>
  </cols>
  <sheetData>
    <row r="1" customFormat="false" ht="24" hidden="false" customHeight="true" outlineLevel="0" collapsed="false">
      <c r="A1" s="22" t="s">
        <v>1539</v>
      </c>
    </row>
    <row r="2" customFormat="false" ht="15" hidden="false" customHeight="true" outlineLevel="0" collapsed="false">
      <c r="A2" s="21" t="s">
        <v>1540</v>
      </c>
    </row>
    <row r="4" customFormat="false" ht="30" hidden="false" customHeight="true" outlineLevel="0" collapsed="false">
      <c r="A4" s="23" t="s">
        <v>86</v>
      </c>
      <c r="B4" s="24" t="s">
        <v>1541</v>
      </c>
      <c r="C4" s="24" t="s">
        <v>1542</v>
      </c>
      <c r="D4" s="24" t="s">
        <v>1543</v>
      </c>
      <c r="E4" s="24" t="s">
        <v>1544</v>
      </c>
      <c r="F4" s="24" t="s">
        <v>1545</v>
      </c>
      <c r="G4" s="24" t="s">
        <v>1546</v>
      </c>
      <c r="H4" s="24" t="s">
        <v>1547</v>
      </c>
      <c r="I4" s="24" t="s">
        <v>1548</v>
      </c>
    </row>
    <row r="5" customFormat="false" ht="29.25" hidden="false" customHeight="true" outlineLevel="0" collapsed="false">
      <c r="A5" s="25" t="n">
        <v>1</v>
      </c>
      <c r="B5" s="8" t="s">
        <v>1549</v>
      </c>
      <c r="C5" s="27" t="s">
        <v>1550</v>
      </c>
      <c r="D5" s="26" t="n">
        <v>1</v>
      </c>
      <c r="E5" s="8" t="s">
        <v>1551</v>
      </c>
      <c r="F5" s="26" t="n">
        <v>11</v>
      </c>
      <c r="G5" s="25" t="n">
        <f aca="false">F5-D5</f>
        <v>10</v>
      </c>
      <c r="H5" s="8" t="s">
        <v>1552</v>
      </c>
      <c r="I5" s="8" t="s">
        <v>155</v>
      </c>
    </row>
    <row r="6" customFormat="false" ht="29.25" hidden="false" customHeight="true" outlineLevel="0" collapsed="false">
      <c r="A6" s="25" t="n">
        <v>2</v>
      </c>
      <c r="B6" s="8" t="s">
        <v>1553</v>
      </c>
      <c r="C6" s="27" t="s">
        <v>1554</v>
      </c>
      <c r="D6" s="26" t="n">
        <v>1</v>
      </c>
      <c r="E6" s="8" t="s">
        <v>1551</v>
      </c>
      <c r="F6" s="26" t="n">
        <v>13</v>
      </c>
      <c r="G6" s="25" t="n">
        <f aca="false">F6-D6</f>
        <v>12</v>
      </c>
      <c r="H6" s="8" t="s">
        <v>1555</v>
      </c>
      <c r="I6" s="8" t="s">
        <v>1556</v>
      </c>
    </row>
    <row r="7" customFormat="false" ht="29.25" hidden="false" customHeight="true" outlineLevel="0" collapsed="false">
      <c r="A7" s="25" t="n">
        <v>3</v>
      </c>
      <c r="B7" s="8" t="s">
        <v>1557</v>
      </c>
      <c r="C7" s="27" t="s">
        <v>1558</v>
      </c>
      <c r="D7" s="26" t="n">
        <v>3</v>
      </c>
      <c r="E7" s="8" t="s">
        <v>1559</v>
      </c>
      <c r="F7" s="26" t="n">
        <v>11</v>
      </c>
      <c r="G7" s="25" t="n">
        <f aca="false">F7-D7</f>
        <v>8</v>
      </c>
      <c r="H7" s="8" t="s">
        <v>1560</v>
      </c>
      <c r="I7" s="8" t="s">
        <v>1561</v>
      </c>
    </row>
    <row r="8" customFormat="false" ht="29.25" hidden="false" customHeight="true" outlineLevel="0" collapsed="false">
      <c r="A8" s="25" t="n">
        <v>4</v>
      </c>
      <c r="B8" s="8" t="s">
        <v>1562</v>
      </c>
      <c r="C8" s="27" t="s">
        <v>1550</v>
      </c>
      <c r="D8" s="26" t="n">
        <v>1</v>
      </c>
      <c r="E8" s="8" t="s">
        <v>1563</v>
      </c>
      <c r="F8" s="26" t="n">
        <v>11</v>
      </c>
      <c r="G8" s="25" t="n">
        <f aca="false">F8-D8</f>
        <v>10</v>
      </c>
      <c r="H8" s="8" t="s">
        <v>1564</v>
      </c>
      <c r="I8" s="8" t="s">
        <v>1556</v>
      </c>
    </row>
    <row r="9" customFormat="false" ht="29.25" hidden="false" customHeight="true" outlineLevel="0" collapsed="false">
      <c r="A9" s="25" t="n">
        <v>5</v>
      </c>
      <c r="B9" s="8" t="s">
        <v>1565</v>
      </c>
      <c r="C9" s="27" t="s">
        <v>1566</v>
      </c>
      <c r="D9" s="26" t="n">
        <v>1</v>
      </c>
      <c r="E9" s="8" t="s">
        <v>1567</v>
      </c>
      <c r="F9" s="26" t="n">
        <v>9</v>
      </c>
      <c r="G9" s="25" t="n">
        <f aca="false">F9-D9</f>
        <v>8</v>
      </c>
      <c r="H9" s="8" t="s">
        <v>1568</v>
      </c>
      <c r="I9" s="8" t="s">
        <v>235</v>
      </c>
    </row>
    <row r="10" customFormat="false" ht="29.25" hidden="false" customHeight="true" outlineLevel="0" collapsed="false">
      <c r="A10" s="25" t="n">
        <v>6</v>
      </c>
      <c r="B10" s="8" t="s">
        <v>1569</v>
      </c>
      <c r="C10" s="27" t="s">
        <v>1570</v>
      </c>
      <c r="D10" s="26" t="n">
        <v>1</v>
      </c>
      <c r="E10" s="8" t="s">
        <v>1551</v>
      </c>
      <c r="F10" s="26" t="n">
        <v>12</v>
      </c>
      <c r="G10" s="25" t="n">
        <f aca="false">F10-D10</f>
        <v>11</v>
      </c>
      <c r="H10" s="8" t="s">
        <v>1571</v>
      </c>
      <c r="I10" s="8" t="s">
        <v>1572</v>
      </c>
    </row>
    <row r="11" customFormat="false" ht="29.25" hidden="false" customHeight="true" outlineLevel="0" collapsed="false">
      <c r="A11" s="25" t="n">
        <v>7</v>
      </c>
      <c r="B11" s="8" t="s">
        <v>1573</v>
      </c>
      <c r="C11" s="27" t="s">
        <v>1550</v>
      </c>
      <c r="D11" s="26" t="n">
        <v>1</v>
      </c>
      <c r="E11" s="8" t="s">
        <v>1574</v>
      </c>
      <c r="F11" s="26" t="n">
        <v>13</v>
      </c>
      <c r="G11" s="25" t="n">
        <f aca="false">F11-D11</f>
        <v>12</v>
      </c>
      <c r="H11" s="8" t="s">
        <v>1575</v>
      </c>
      <c r="I11" s="8" t="s">
        <v>1530</v>
      </c>
    </row>
    <row r="12" customFormat="false" ht="29.25" hidden="false" customHeight="true" outlineLevel="0" collapsed="false">
      <c r="A12" s="25" t="n">
        <v>8</v>
      </c>
      <c r="B12" s="8" t="s">
        <v>1576</v>
      </c>
      <c r="C12" s="27" t="s">
        <v>1566</v>
      </c>
      <c r="D12" s="26" t="n">
        <v>2</v>
      </c>
      <c r="E12" s="8" t="s">
        <v>1577</v>
      </c>
      <c r="F12" s="26" t="n">
        <v>11</v>
      </c>
      <c r="G12" s="25" t="n">
        <f aca="false">F12-D12</f>
        <v>9</v>
      </c>
      <c r="H12" s="8" t="s">
        <v>1578</v>
      </c>
      <c r="I12" s="8" t="s">
        <v>107</v>
      </c>
    </row>
    <row r="13" customFormat="false" ht="29.25" hidden="false" customHeight="true" outlineLevel="0" collapsed="false">
      <c r="A13" s="25" t="n">
        <v>9</v>
      </c>
      <c r="B13" s="8" t="s">
        <v>1579</v>
      </c>
      <c r="C13" s="27" t="s">
        <v>1550</v>
      </c>
      <c r="D13" s="26" t="n">
        <v>2</v>
      </c>
      <c r="E13" s="8" t="s">
        <v>1580</v>
      </c>
      <c r="F13" s="26" t="n">
        <v>4</v>
      </c>
      <c r="G13" s="25" t="n">
        <f aca="false">F13-D13</f>
        <v>2</v>
      </c>
      <c r="H13" s="8" t="s">
        <v>1581</v>
      </c>
      <c r="I13" s="8" t="s">
        <v>132</v>
      </c>
    </row>
    <row r="14" customFormat="false" ht="16.5" hidden="false" customHeight="true" outlineLevel="0" collapsed="false">
      <c r="A14" s="25" t="n">
        <v>10</v>
      </c>
      <c r="B14" s="8" t="s">
        <v>1582</v>
      </c>
      <c r="C14" s="27" t="s">
        <v>1554</v>
      </c>
      <c r="D14" s="26" t="n">
        <v>4</v>
      </c>
      <c r="E14" s="8" t="s">
        <v>1583</v>
      </c>
      <c r="F14" s="26" t="n">
        <v>7</v>
      </c>
      <c r="G14" s="25" t="n">
        <f aca="false">F14-D14</f>
        <v>3</v>
      </c>
      <c r="H14" s="8" t="s">
        <v>1584</v>
      </c>
      <c r="I14" s="8" t="s">
        <v>1585</v>
      </c>
    </row>
    <row r="15" customFormat="false" ht="29.25" hidden="false" customHeight="true" outlineLevel="0" collapsed="false">
      <c r="A15" s="25" t="n">
        <v>11</v>
      </c>
      <c r="B15" s="8" t="s">
        <v>1586</v>
      </c>
      <c r="C15" s="27" t="s">
        <v>317</v>
      </c>
      <c r="D15" s="26" t="n">
        <v>4</v>
      </c>
      <c r="E15" s="8" t="s">
        <v>1587</v>
      </c>
      <c r="F15" s="26" t="n">
        <v>12</v>
      </c>
      <c r="G15" s="25" t="n">
        <f aca="false">F15-D15</f>
        <v>8</v>
      </c>
      <c r="H15" s="8" t="s">
        <v>1588</v>
      </c>
      <c r="I15" s="8" t="s">
        <v>132</v>
      </c>
    </row>
    <row r="16" customFormat="false" ht="29.25" hidden="false" customHeight="true" outlineLevel="0" collapsed="false">
      <c r="A16" s="25" t="n">
        <v>12</v>
      </c>
      <c r="B16" s="8" t="s">
        <v>1589</v>
      </c>
      <c r="C16" s="27" t="s">
        <v>1554</v>
      </c>
      <c r="D16" s="26" t="n">
        <v>5</v>
      </c>
      <c r="E16" s="8" t="s">
        <v>1590</v>
      </c>
      <c r="F16" s="26" t="n">
        <v>11</v>
      </c>
      <c r="G16" s="25" t="n">
        <f aca="false">F16-D16</f>
        <v>6</v>
      </c>
      <c r="H16" s="8" t="s">
        <v>1591</v>
      </c>
      <c r="I16" s="8" t="s">
        <v>143</v>
      </c>
    </row>
    <row r="17" customFormat="false" ht="29.25" hidden="false" customHeight="true" outlineLevel="0" collapsed="false">
      <c r="A17" s="25" t="n">
        <v>13</v>
      </c>
      <c r="B17" s="8" t="s">
        <v>1592</v>
      </c>
      <c r="C17" s="27" t="s">
        <v>1550</v>
      </c>
      <c r="D17" s="26" t="n">
        <v>1</v>
      </c>
      <c r="E17" s="8" t="s">
        <v>1551</v>
      </c>
      <c r="F17" s="26" t="n">
        <v>13</v>
      </c>
      <c r="G17" s="25" t="n">
        <f aca="false">F17-D17</f>
        <v>12</v>
      </c>
      <c r="H17" s="8" t="s">
        <v>1593</v>
      </c>
      <c r="I17" s="8" t="s">
        <v>143</v>
      </c>
    </row>
    <row r="18" customFormat="false" ht="29.25" hidden="false" customHeight="true" outlineLevel="0" collapsed="false">
      <c r="A18" s="25" t="n">
        <v>14</v>
      </c>
      <c r="B18" s="8" t="s">
        <v>1594</v>
      </c>
      <c r="C18" s="27" t="s">
        <v>1554</v>
      </c>
      <c r="D18" s="26" t="n">
        <v>3</v>
      </c>
      <c r="E18" s="8" t="s">
        <v>1595</v>
      </c>
      <c r="F18" s="26" t="n">
        <v>13</v>
      </c>
      <c r="G18" s="25" t="n">
        <f aca="false">F18-D18</f>
        <v>10</v>
      </c>
      <c r="H18" s="8" t="s">
        <v>1596</v>
      </c>
      <c r="I18" s="8" t="s">
        <v>120</v>
      </c>
    </row>
    <row r="19" customFormat="false" ht="16.5" hidden="false" customHeight="true" outlineLevel="0" collapsed="false">
      <c r="A19" s="25" t="n">
        <v>15</v>
      </c>
      <c r="B19" s="8" t="s">
        <v>1597</v>
      </c>
      <c r="C19" s="27" t="s">
        <v>1598</v>
      </c>
      <c r="D19" s="26" t="n">
        <v>5</v>
      </c>
      <c r="E19" s="8" t="s">
        <v>1599</v>
      </c>
      <c r="F19" s="26" t="n">
        <v>10</v>
      </c>
      <c r="G19" s="25" t="n">
        <f aca="false">F19-D19</f>
        <v>5</v>
      </c>
      <c r="H19" s="8" t="s">
        <v>1600</v>
      </c>
      <c r="I19" s="8" t="s">
        <v>1601</v>
      </c>
    </row>
    <row r="20" customFormat="false" ht="29.25" hidden="false" customHeight="true" outlineLevel="0" collapsed="false">
      <c r="A20" s="25" t="n">
        <v>16</v>
      </c>
      <c r="B20" s="8" t="s">
        <v>1602</v>
      </c>
      <c r="C20" s="27" t="s">
        <v>317</v>
      </c>
      <c r="D20" s="26" t="n">
        <v>1</v>
      </c>
      <c r="E20" s="8" t="s">
        <v>1603</v>
      </c>
      <c r="F20" s="26" t="n">
        <v>9</v>
      </c>
      <c r="G20" s="25" t="n">
        <f aca="false">F20-D20</f>
        <v>8</v>
      </c>
      <c r="H20" s="8" t="s">
        <v>1604</v>
      </c>
      <c r="I20" s="8" t="s">
        <v>246</v>
      </c>
    </row>
    <row r="21" customFormat="false" ht="29.25" hidden="false" customHeight="true" outlineLevel="0" collapsed="false">
      <c r="A21" s="25" t="n">
        <v>17</v>
      </c>
      <c r="B21" s="8" t="s">
        <v>1605</v>
      </c>
      <c r="C21" s="27" t="s">
        <v>1558</v>
      </c>
      <c r="D21" s="26" t="n">
        <v>2</v>
      </c>
      <c r="E21" s="8" t="s">
        <v>1606</v>
      </c>
      <c r="F21" s="26" t="n">
        <v>12</v>
      </c>
      <c r="G21" s="25" t="n">
        <f aca="false">F21-D21</f>
        <v>10</v>
      </c>
      <c r="H21" s="8" t="s">
        <v>1607</v>
      </c>
      <c r="I21" s="9" t="s">
        <v>1109</v>
      </c>
    </row>
    <row r="22" customFormat="false" ht="29.25" hidden="false" customHeight="true" outlineLevel="0" collapsed="false">
      <c r="A22" s="25" t="n">
        <v>18</v>
      </c>
      <c r="B22" s="8" t="s">
        <v>1608</v>
      </c>
      <c r="C22" s="27" t="s">
        <v>1550</v>
      </c>
      <c r="D22" s="26" t="n">
        <v>1</v>
      </c>
      <c r="E22" s="8" t="s">
        <v>1609</v>
      </c>
      <c r="F22" s="26" t="n">
        <v>12</v>
      </c>
      <c r="G22" s="25" t="n">
        <f aca="false">F22-D22</f>
        <v>11</v>
      </c>
      <c r="H22" s="8" t="s">
        <v>1610</v>
      </c>
      <c r="I22" s="8" t="s">
        <v>258</v>
      </c>
    </row>
    <row r="23" customFormat="false" ht="29.25" hidden="false" customHeight="true" outlineLevel="0" collapsed="false">
      <c r="A23" s="25" t="n">
        <v>19</v>
      </c>
      <c r="B23" s="8" t="s">
        <v>1611</v>
      </c>
      <c r="C23" s="27" t="s">
        <v>1566</v>
      </c>
      <c r="D23" s="26" t="n">
        <v>6</v>
      </c>
      <c r="E23" s="8" t="s">
        <v>1612</v>
      </c>
      <c r="F23" s="26" t="n">
        <v>10</v>
      </c>
      <c r="G23" s="25" t="n">
        <f aca="false">F23-D23</f>
        <v>4</v>
      </c>
      <c r="H23" s="8" t="s">
        <v>1613</v>
      </c>
      <c r="I23" s="8" t="s">
        <v>167</v>
      </c>
    </row>
    <row r="24" customFormat="false" ht="29.25" hidden="false" customHeight="true" outlineLevel="0" collapsed="false">
      <c r="A24" s="25" t="n">
        <v>20</v>
      </c>
      <c r="B24" s="8" t="s">
        <v>1614</v>
      </c>
      <c r="C24" s="27" t="s">
        <v>1550</v>
      </c>
      <c r="D24" s="26" t="n">
        <v>1</v>
      </c>
      <c r="E24" s="8" t="s">
        <v>1615</v>
      </c>
      <c r="F24" s="26" t="n">
        <v>12</v>
      </c>
      <c r="G24" s="25" t="n">
        <f aca="false">F24-D24</f>
        <v>11</v>
      </c>
      <c r="H24" s="8" t="s">
        <v>1616</v>
      </c>
      <c r="I24" s="8" t="s">
        <v>179</v>
      </c>
    </row>
    <row r="25" customFormat="false" ht="29.25" hidden="false" customHeight="true" outlineLevel="0" collapsed="false">
      <c r="A25" s="25" t="n">
        <v>21</v>
      </c>
      <c r="B25" s="8" t="s">
        <v>1617</v>
      </c>
      <c r="C25" s="27" t="s">
        <v>1554</v>
      </c>
      <c r="D25" s="26" t="n">
        <v>1</v>
      </c>
      <c r="E25" s="8" t="s">
        <v>1618</v>
      </c>
      <c r="F25" s="26" t="n">
        <v>13</v>
      </c>
      <c r="G25" s="25" t="n">
        <f aca="false">F25-D25</f>
        <v>12</v>
      </c>
      <c r="H25" s="8" t="s">
        <v>1619</v>
      </c>
      <c r="I25" s="8" t="s">
        <v>213</v>
      </c>
    </row>
    <row r="26" customFormat="false" ht="29.25" hidden="false" customHeight="true" outlineLevel="0" collapsed="false">
      <c r="A26" s="25" t="n">
        <v>22</v>
      </c>
      <c r="B26" s="8" t="s">
        <v>1620</v>
      </c>
      <c r="C26" s="27" t="s">
        <v>1550</v>
      </c>
      <c r="D26" s="26" t="n">
        <v>6</v>
      </c>
      <c r="E26" s="8" t="s">
        <v>1621</v>
      </c>
      <c r="F26" s="26" t="n">
        <v>13</v>
      </c>
      <c r="G26" s="25" t="n">
        <f aca="false">F26-D26</f>
        <v>7</v>
      </c>
      <c r="H26" s="8" t="s">
        <v>1622</v>
      </c>
      <c r="I26" s="8" t="s">
        <v>1538</v>
      </c>
    </row>
    <row r="27" customFormat="false" ht="29.25" hidden="false" customHeight="true" outlineLevel="0" collapsed="false">
      <c r="A27" s="25" t="n">
        <v>23</v>
      </c>
      <c r="B27" s="8" t="s">
        <v>1623</v>
      </c>
      <c r="C27" s="27" t="s">
        <v>439</v>
      </c>
      <c r="D27" s="26" t="n">
        <v>10</v>
      </c>
      <c r="E27" s="8" t="s">
        <v>1624</v>
      </c>
      <c r="F27" s="26" t="n">
        <v>12</v>
      </c>
      <c r="G27" s="25" t="n">
        <f aca="false">F27-D27</f>
        <v>2</v>
      </c>
      <c r="H27" s="8" t="s">
        <v>1625</v>
      </c>
      <c r="I27" s="8" t="s">
        <v>1626</v>
      </c>
    </row>
    <row r="28" customFormat="false" ht="29.25" hidden="false" customHeight="true" outlineLevel="0" collapsed="false">
      <c r="A28" s="25" t="n">
        <v>24</v>
      </c>
      <c r="B28" s="9" t="s">
        <v>1627</v>
      </c>
      <c r="C28" s="27" t="s">
        <v>439</v>
      </c>
      <c r="D28" s="26" t="n">
        <v>7</v>
      </c>
      <c r="E28" s="8" t="s">
        <v>1628</v>
      </c>
      <c r="F28" s="26" t="n">
        <v>8</v>
      </c>
      <c r="G28" s="25" t="n">
        <f aca="false">F28-D28</f>
        <v>1</v>
      </c>
      <c r="H28" s="8" t="s">
        <v>1629</v>
      </c>
      <c r="I28" s="8" t="s">
        <v>1630</v>
      </c>
    </row>
    <row r="29" customFormat="false" ht="29.25" hidden="false" customHeight="true" outlineLevel="0" collapsed="false">
      <c r="A29" s="25" t="n">
        <v>25</v>
      </c>
      <c r="B29" s="8" t="s">
        <v>1631</v>
      </c>
      <c r="C29" s="27" t="s">
        <v>1566</v>
      </c>
      <c r="D29" s="26" t="n">
        <v>11</v>
      </c>
      <c r="E29" s="8" t="s">
        <v>1632</v>
      </c>
      <c r="F29" s="26" t="n">
        <v>12</v>
      </c>
      <c r="G29" s="25" t="n">
        <f aca="false">F29-D29</f>
        <v>1</v>
      </c>
      <c r="H29" s="8" t="s">
        <v>1633</v>
      </c>
      <c r="I29" s="8" t="s">
        <v>1408</v>
      </c>
    </row>
    <row r="30" customFormat="false" ht="29.25" hidden="false" customHeight="true" outlineLevel="0" collapsed="false">
      <c r="A30" s="25" t="n">
        <v>26</v>
      </c>
      <c r="B30" s="8" t="s">
        <v>1634</v>
      </c>
      <c r="C30" s="27" t="s">
        <v>1550</v>
      </c>
      <c r="D30" s="26" t="n">
        <v>11</v>
      </c>
      <c r="E30" s="8" t="s">
        <v>1635</v>
      </c>
      <c r="F30" s="26" t="n">
        <v>12</v>
      </c>
      <c r="G30" s="25" t="n">
        <f aca="false">F30-D30</f>
        <v>1</v>
      </c>
      <c r="H30" s="8" t="s">
        <v>1636</v>
      </c>
      <c r="I30" s="8" t="s">
        <v>1637</v>
      </c>
    </row>
    <row r="31" customFormat="false" ht="29.25" hidden="false" customHeight="true" outlineLevel="0" collapsed="false">
      <c r="A31" s="25" t="n">
        <v>27</v>
      </c>
      <c r="B31" s="8" t="s">
        <v>1638</v>
      </c>
      <c r="C31" s="27" t="s">
        <v>1566</v>
      </c>
      <c r="D31" s="26" t="n">
        <v>7</v>
      </c>
      <c r="E31" s="8" t="s">
        <v>1639</v>
      </c>
      <c r="F31" s="26" t="n">
        <v>12</v>
      </c>
      <c r="G31" s="25" t="n">
        <f aca="false">F31-D31</f>
        <v>5</v>
      </c>
      <c r="H31" s="8" t="s">
        <v>1640</v>
      </c>
      <c r="I31" s="8" t="s">
        <v>1641</v>
      </c>
    </row>
    <row r="32" customFormat="false" ht="29.25" hidden="false" customHeight="true" outlineLevel="0" collapsed="false">
      <c r="A32" s="25" t="n">
        <v>28</v>
      </c>
      <c r="B32" s="8" t="s">
        <v>1642</v>
      </c>
      <c r="C32" s="27" t="s">
        <v>1550</v>
      </c>
      <c r="D32" s="26" t="n">
        <v>1</v>
      </c>
      <c r="E32" s="8" t="s">
        <v>1643</v>
      </c>
      <c r="F32" s="26" t="n">
        <v>9</v>
      </c>
      <c r="G32" s="25" t="n">
        <f aca="false">F32-D32</f>
        <v>8</v>
      </c>
      <c r="H32" s="8" t="s">
        <v>1644</v>
      </c>
      <c r="I32" s="8" t="s">
        <v>1645</v>
      </c>
    </row>
    <row r="34" customFormat="false" ht="15" hidden="false" customHeight="true" outlineLevel="0" collapsed="false">
      <c r="B34" s="61" t="s">
        <v>1646</v>
      </c>
      <c r="G34" s="63" t="n">
        <f aca="false">AVERAGE(G5:G32)</f>
        <v>7.39285714285714</v>
      </c>
    </row>
    <row r="35" customFormat="false" ht="15" hidden="false" customHeight="true" outlineLevel="0" collapsed="false">
      <c r="B35" s="61" t="s">
        <v>1647</v>
      </c>
      <c r="G35" s="61" t="n">
        <f aca="false">MAX(G5:G32)</f>
        <v>12</v>
      </c>
    </row>
    <row r="36" customFormat="false" ht="15" hidden="false" customHeight="true" outlineLevel="0" collapsed="false">
      <c r="B36" s="61" t="s">
        <v>1648</v>
      </c>
      <c r="G36" s="61" t="n">
        <f aca="false">COUNTA(B5:B32)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32"/>
    <col collapsed="false" customWidth="true" hidden="false" outlineLevel="0" max="9" min="8" style="1" width="24"/>
    <col collapsed="false" customWidth="true" hidden="false" outlineLevel="0" max="10" min="10" style="1" width="42"/>
    <col collapsed="false" customWidth="true" hidden="false" outlineLevel="0" max="11" min="11" style="1" width="34"/>
    <col collapsed="false" customWidth="true" hidden="false" outlineLevel="0" max="12" min="12" style="1" width="38"/>
    <col collapsed="false" customWidth="true" hidden="false" outlineLevel="0" max="13" min="13" style="1" width="36"/>
  </cols>
  <sheetData>
    <row r="1" customFormat="false" ht="24" hidden="false" customHeight="true" outlineLevel="0" collapsed="false">
      <c r="A1" s="22" t="s">
        <v>1649</v>
      </c>
    </row>
    <row r="2" customFormat="false" ht="15" hidden="false" customHeight="true" outlineLevel="0" collapsed="false">
      <c r="A2" s="21" t="s">
        <v>1650</v>
      </c>
    </row>
    <row r="4" customFormat="false" ht="19.5" hidden="false" customHeight="true" outlineLevel="0" collapsed="false">
      <c r="A4" s="23" t="s">
        <v>1651</v>
      </c>
      <c r="B4" s="24" t="s">
        <v>1652</v>
      </c>
      <c r="C4" s="24" t="s">
        <v>50</v>
      </c>
      <c r="D4" s="24" t="s">
        <v>1653</v>
      </c>
      <c r="E4" s="24" t="s">
        <v>1654</v>
      </c>
      <c r="F4" s="24" t="s">
        <v>1655</v>
      </c>
      <c r="G4" s="24" t="s">
        <v>1656</v>
      </c>
      <c r="H4" s="24" t="s">
        <v>730</v>
      </c>
      <c r="I4" s="24" t="s">
        <v>1657</v>
      </c>
      <c r="J4" s="24" t="s">
        <v>1658</v>
      </c>
      <c r="K4" s="24" t="s">
        <v>1659</v>
      </c>
      <c r="L4" s="24" t="s">
        <v>1660</v>
      </c>
      <c r="M4" s="24" t="s">
        <v>1661</v>
      </c>
    </row>
    <row r="5" customFormat="false" ht="42" hidden="false" customHeight="true" outlineLevel="0" collapsed="false">
      <c r="A5" s="64" t="s">
        <v>1175</v>
      </c>
      <c r="B5" s="27" t="s">
        <v>439</v>
      </c>
      <c r="C5" s="9" t="s">
        <v>1662</v>
      </c>
      <c r="D5" s="8" t="s">
        <v>1663</v>
      </c>
      <c r="E5" s="9" t="s">
        <v>1664</v>
      </c>
      <c r="F5" s="8" t="s">
        <v>1665</v>
      </c>
      <c r="G5" s="8" t="s">
        <v>1666</v>
      </c>
      <c r="H5" s="8" t="s">
        <v>1667</v>
      </c>
      <c r="I5" s="9" t="s">
        <v>1668</v>
      </c>
      <c r="J5" s="9" t="s">
        <v>1669</v>
      </c>
      <c r="K5" s="8" t="s">
        <v>1670</v>
      </c>
      <c r="L5" s="9" t="s">
        <v>1671</v>
      </c>
      <c r="M5" s="9" t="s">
        <v>1672</v>
      </c>
    </row>
    <row r="6" customFormat="false" ht="54.75" hidden="false" customHeight="true" outlineLevel="0" collapsed="false">
      <c r="A6" s="64" t="s">
        <v>1673</v>
      </c>
      <c r="B6" s="27" t="s">
        <v>439</v>
      </c>
      <c r="C6" s="9" t="s">
        <v>1674</v>
      </c>
      <c r="D6" s="8" t="s">
        <v>1675</v>
      </c>
      <c r="E6" s="9" t="s">
        <v>1676</v>
      </c>
      <c r="F6" s="8" t="s">
        <v>1677</v>
      </c>
      <c r="G6" s="8" t="s">
        <v>1678</v>
      </c>
      <c r="H6" s="8" t="s">
        <v>1679</v>
      </c>
      <c r="I6" s="9" t="s">
        <v>1680</v>
      </c>
      <c r="J6" s="9" t="s">
        <v>1681</v>
      </c>
      <c r="K6" s="8" t="s">
        <v>1682</v>
      </c>
      <c r="L6" s="9" t="s">
        <v>1683</v>
      </c>
      <c r="M6" s="9" t="s">
        <v>1684</v>
      </c>
    </row>
    <row r="7" customFormat="false" ht="42" hidden="false" customHeight="true" outlineLevel="0" collapsed="false">
      <c r="A7" s="64" t="s">
        <v>913</v>
      </c>
      <c r="B7" s="27" t="s">
        <v>439</v>
      </c>
      <c r="C7" s="9" t="s">
        <v>1685</v>
      </c>
      <c r="D7" s="8" t="s">
        <v>1686</v>
      </c>
      <c r="E7" s="9" t="s">
        <v>1687</v>
      </c>
      <c r="F7" s="8" t="s">
        <v>1688</v>
      </c>
      <c r="G7" s="8" t="s">
        <v>1689</v>
      </c>
      <c r="H7" s="8" t="s">
        <v>1690</v>
      </c>
      <c r="I7" s="9" t="s">
        <v>1691</v>
      </c>
      <c r="J7" s="9" t="s">
        <v>1692</v>
      </c>
      <c r="K7" s="8" t="s">
        <v>1693</v>
      </c>
      <c r="L7" s="9" t="s">
        <v>1694</v>
      </c>
      <c r="M7" s="17" t="s">
        <v>1695</v>
      </c>
    </row>
    <row r="8" customFormat="false" ht="42" hidden="false" customHeight="true" outlineLevel="0" collapsed="false">
      <c r="A8" s="64" t="s">
        <v>739</v>
      </c>
      <c r="B8" s="27" t="s">
        <v>1696</v>
      </c>
      <c r="C8" s="9" t="s">
        <v>1697</v>
      </c>
      <c r="D8" s="8" t="s">
        <v>1698</v>
      </c>
      <c r="E8" s="9" t="s">
        <v>1699</v>
      </c>
      <c r="F8" s="8" t="s">
        <v>1700</v>
      </c>
      <c r="G8" s="8" t="s">
        <v>1701</v>
      </c>
      <c r="H8" s="8" t="s">
        <v>1702</v>
      </c>
      <c r="I8" s="9" t="s">
        <v>1703</v>
      </c>
      <c r="J8" s="9" t="s">
        <v>1704</v>
      </c>
      <c r="K8" s="8" t="s">
        <v>1705</v>
      </c>
      <c r="L8" s="9" t="s">
        <v>1706</v>
      </c>
      <c r="M8" s="9" t="s">
        <v>1707</v>
      </c>
    </row>
    <row r="9" customFormat="false" ht="42" hidden="false" customHeight="true" outlineLevel="0" collapsed="false">
      <c r="A9" s="64" t="s">
        <v>1010</v>
      </c>
      <c r="B9" s="27" t="s">
        <v>1696</v>
      </c>
      <c r="C9" s="9" t="s">
        <v>1708</v>
      </c>
      <c r="D9" s="8" t="s">
        <v>1709</v>
      </c>
      <c r="E9" s="8" t="s">
        <v>1710</v>
      </c>
      <c r="F9" s="8" t="s">
        <v>1711</v>
      </c>
      <c r="G9" s="8" t="s">
        <v>1712</v>
      </c>
      <c r="H9" s="8" t="s">
        <v>1713</v>
      </c>
      <c r="I9" s="9" t="s">
        <v>1714</v>
      </c>
      <c r="J9" s="9" t="s">
        <v>1715</v>
      </c>
      <c r="K9" s="8" t="s">
        <v>1716</v>
      </c>
      <c r="L9" s="8" t="s">
        <v>1717</v>
      </c>
      <c r="M9" s="9" t="s">
        <v>1718</v>
      </c>
    </row>
    <row r="10" customFormat="false" ht="42" hidden="false" customHeight="true" outlineLevel="0" collapsed="false">
      <c r="A10" s="64" t="s">
        <v>789</v>
      </c>
      <c r="B10" s="27" t="s">
        <v>1696</v>
      </c>
      <c r="C10" s="9" t="s">
        <v>1719</v>
      </c>
      <c r="D10" s="8" t="s">
        <v>1720</v>
      </c>
      <c r="E10" s="9" t="s">
        <v>1721</v>
      </c>
      <c r="F10" s="8" t="s">
        <v>1722</v>
      </c>
      <c r="G10" s="8" t="s">
        <v>1723</v>
      </c>
      <c r="H10" s="8" t="s">
        <v>1724</v>
      </c>
      <c r="I10" s="9" t="s">
        <v>1725</v>
      </c>
      <c r="J10" s="9" t="s">
        <v>1726</v>
      </c>
      <c r="K10" s="8" t="s">
        <v>1727</v>
      </c>
      <c r="L10" s="9" t="s">
        <v>1728</v>
      </c>
      <c r="M10" s="9" t="s">
        <v>1729</v>
      </c>
    </row>
    <row r="11" customFormat="false" ht="42" hidden="false" customHeight="true" outlineLevel="0" collapsed="false">
      <c r="A11" s="64" t="s">
        <v>752</v>
      </c>
      <c r="B11" s="27" t="s">
        <v>1730</v>
      </c>
      <c r="C11" s="9" t="s">
        <v>1731</v>
      </c>
      <c r="D11" s="8" t="s">
        <v>1732</v>
      </c>
      <c r="E11" s="9" t="s">
        <v>1733</v>
      </c>
      <c r="F11" s="8" t="s">
        <v>1734</v>
      </c>
      <c r="G11" s="8" t="s">
        <v>1735</v>
      </c>
      <c r="H11" s="8" t="s">
        <v>1736</v>
      </c>
      <c r="I11" s="9" t="s">
        <v>1737</v>
      </c>
      <c r="J11" s="9" t="s">
        <v>1738</v>
      </c>
      <c r="K11" s="8" t="s">
        <v>1739</v>
      </c>
      <c r="L11" s="9" t="s">
        <v>1740</v>
      </c>
      <c r="M11" s="8" t="s">
        <v>1741</v>
      </c>
    </row>
    <row r="12" customFormat="false" ht="42" hidden="false" customHeight="true" outlineLevel="0" collapsed="false">
      <c r="A12" s="64" t="s">
        <v>776</v>
      </c>
      <c r="B12" s="27" t="s">
        <v>1730</v>
      </c>
      <c r="C12" s="9" t="s">
        <v>1742</v>
      </c>
      <c r="D12" s="8" t="s">
        <v>1743</v>
      </c>
      <c r="E12" s="8" t="s">
        <v>1744</v>
      </c>
      <c r="F12" s="8" t="s">
        <v>1745</v>
      </c>
      <c r="G12" s="8" t="s">
        <v>1746</v>
      </c>
      <c r="H12" s="8" t="s">
        <v>1747</v>
      </c>
      <c r="I12" s="9" t="s">
        <v>1748</v>
      </c>
      <c r="J12" s="9" t="s">
        <v>1749</v>
      </c>
      <c r="K12" s="8" t="s">
        <v>1750</v>
      </c>
      <c r="L12" s="9" t="s">
        <v>1751</v>
      </c>
      <c r="M12" s="9" t="s">
        <v>1752</v>
      </c>
    </row>
    <row r="13" customFormat="false" ht="54.75" hidden="false" customHeight="true" outlineLevel="0" collapsed="false">
      <c r="A13" s="64" t="s">
        <v>896</v>
      </c>
      <c r="B13" s="27" t="s">
        <v>1730</v>
      </c>
      <c r="C13" s="9" t="s">
        <v>1753</v>
      </c>
      <c r="D13" s="8" t="s">
        <v>1754</v>
      </c>
      <c r="E13" s="9" t="s">
        <v>1755</v>
      </c>
      <c r="F13" s="8" t="s">
        <v>1756</v>
      </c>
      <c r="G13" s="8" t="s">
        <v>1757</v>
      </c>
      <c r="H13" s="8" t="s">
        <v>1758</v>
      </c>
      <c r="I13" s="9" t="s">
        <v>1759</v>
      </c>
      <c r="J13" s="17" t="s">
        <v>1760</v>
      </c>
      <c r="K13" s="8" t="s">
        <v>1761</v>
      </c>
      <c r="L13" s="8" t="s">
        <v>1762</v>
      </c>
      <c r="M13" s="9" t="s">
        <v>1763</v>
      </c>
    </row>
    <row r="14" customFormat="false" ht="42" hidden="false" customHeight="true" outlineLevel="0" collapsed="false">
      <c r="A14" s="64" t="s">
        <v>928</v>
      </c>
      <c r="B14" s="27" t="s">
        <v>1730</v>
      </c>
      <c r="C14" s="9" t="s">
        <v>1764</v>
      </c>
      <c r="D14" s="8" t="s">
        <v>1765</v>
      </c>
      <c r="E14" s="9" t="s">
        <v>1766</v>
      </c>
      <c r="F14" s="8" t="s">
        <v>1767</v>
      </c>
      <c r="G14" s="8" t="s">
        <v>1768</v>
      </c>
      <c r="H14" s="8" t="s">
        <v>1769</v>
      </c>
      <c r="I14" s="9" t="s">
        <v>1770</v>
      </c>
      <c r="J14" s="9" t="s">
        <v>1771</v>
      </c>
      <c r="K14" s="8" t="s">
        <v>1772</v>
      </c>
      <c r="L14" s="9" t="s">
        <v>1773</v>
      </c>
      <c r="M14" s="9" t="s">
        <v>1774</v>
      </c>
    </row>
    <row r="15" customFormat="false" ht="42" hidden="false" customHeight="true" outlineLevel="0" collapsed="false">
      <c r="A15" s="64" t="s">
        <v>1775</v>
      </c>
      <c r="B15" s="27" t="s">
        <v>1776</v>
      </c>
      <c r="C15" s="9" t="s">
        <v>1777</v>
      </c>
      <c r="D15" s="8" t="s">
        <v>1778</v>
      </c>
      <c r="E15" s="9" t="s">
        <v>1779</v>
      </c>
      <c r="F15" s="8" t="s">
        <v>1780</v>
      </c>
      <c r="G15" s="8" t="s">
        <v>1781</v>
      </c>
      <c r="H15" s="8" t="s">
        <v>1464</v>
      </c>
      <c r="I15" s="9" t="s">
        <v>1782</v>
      </c>
      <c r="J15" s="9" t="s">
        <v>1783</v>
      </c>
      <c r="K15" s="8" t="s">
        <v>1784</v>
      </c>
      <c r="L15" s="9" t="s">
        <v>1785</v>
      </c>
      <c r="M15" s="17" t="s">
        <v>1786</v>
      </c>
    </row>
    <row r="16" customFormat="false" ht="42" hidden="false" customHeight="true" outlineLevel="0" collapsed="false">
      <c r="A16" s="64" t="s">
        <v>1256</v>
      </c>
      <c r="B16" s="27" t="s">
        <v>1787</v>
      </c>
      <c r="C16" s="9" t="s">
        <v>1788</v>
      </c>
      <c r="D16" s="8" t="s">
        <v>1789</v>
      </c>
      <c r="E16" s="9" t="s">
        <v>1790</v>
      </c>
      <c r="F16" s="8" t="s">
        <v>1791</v>
      </c>
      <c r="G16" s="8" t="s">
        <v>1792</v>
      </c>
      <c r="H16" s="8" t="s">
        <v>1793</v>
      </c>
      <c r="I16" s="9" t="s">
        <v>1794</v>
      </c>
      <c r="J16" s="9" t="s">
        <v>1795</v>
      </c>
      <c r="K16" s="8" t="s">
        <v>1796</v>
      </c>
      <c r="L16" s="8" t="s">
        <v>1797</v>
      </c>
      <c r="M16" s="9" t="s">
        <v>1798</v>
      </c>
    </row>
    <row r="17" customFormat="false" ht="67.5" hidden="false" customHeight="true" outlineLevel="0" collapsed="false">
      <c r="A17" s="64" t="s">
        <v>1403</v>
      </c>
      <c r="B17" s="27" t="s">
        <v>1799</v>
      </c>
      <c r="C17" s="17" t="s">
        <v>1800</v>
      </c>
      <c r="D17" s="8" t="s">
        <v>1801</v>
      </c>
      <c r="E17" s="8" t="s">
        <v>1802</v>
      </c>
      <c r="F17" s="8" t="s">
        <v>1803</v>
      </c>
      <c r="G17" s="8" t="s">
        <v>1804</v>
      </c>
      <c r="H17" s="8" t="s">
        <v>1805</v>
      </c>
      <c r="I17" s="9" t="s">
        <v>1806</v>
      </c>
      <c r="J17" s="9" t="s">
        <v>1807</v>
      </c>
      <c r="K17" s="8" t="s">
        <v>1808</v>
      </c>
      <c r="L17" s="9" t="s">
        <v>1809</v>
      </c>
      <c r="M17" s="9" t="s">
        <v>1810</v>
      </c>
    </row>
    <row r="18" customFormat="false" ht="54.75" hidden="false" customHeight="true" outlineLevel="0" collapsed="false">
      <c r="A18" s="64" t="s">
        <v>1129</v>
      </c>
      <c r="B18" s="27" t="s">
        <v>1811</v>
      </c>
      <c r="C18" s="9" t="s">
        <v>1812</v>
      </c>
      <c r="D18" s="8" t="s">
        <v>1813</v>
      </c>
      <c r="E18" s="9" t="s">
        <v>1814</v>
      </c>
      <c r="F18" s="8" t="s">
        <v>1815</v>
      </c>
      <c r="G18" s="8" t="s">
        <v>1816</v>
      </c>
      <c r="H18" s="8" t="s">
        <v>1128</v>
      </c>
      <c r="I18" s="9" t="s">
        <v>1817</v>
      </c>
      <c r="J18" s="9" t="s">
        <v>1818</v>
      </c>
      <c r="K18" s="8" t="s">
        <v>1819</v>
      </c>
      <c r="L18" s="9" t="s">
        <v>1820</v>
      </c>
      <c r="M18" s="9" t="s">
        <v>1821</v>
      </c>
    </row>
    <row r="19" customFormat="false" ht="42" hidden="false" customHeight="true" outlineLevel="0" collapsed="false">
      <c r="A19" s="64" t="s">
        <v>1822</v>
      </c>
      <c r="B19" s="27" t="s">
        <v>1823</v>
      </c>
      <c r="C19" s="9" t="s">
        <v>1824</v>
      </c>
      <c r="D19" s="8" t="s">
        <v>1825</v>
      </c>
      <c r="E19" s="9" t="s">
        <v>1826</v>
      </c>
      <c r="F19" s="8" t="s">
        <v>1827</v>
      </c>
      <c r="G19" s="8" t="s">
        <v>1828</v>
      </c>
      <c r="H19" s="8" t="s">
        <v>1829</v>
      </c>
      <c r="I19" s="9" t="s">
        <v>1830</v>
      </c>
      <c r="J19" s="9" t="s">
        <v>1831</v>
      </c>
      <c r="K19" s="8" t="s">
        <v>1832</v>
      </c>
      <c r="L19" s="9" t="s">
        <v>1833</v>
      </c>
      <c r="M19" s="9" t="s">
        <v>1834</v>
      </c>
    </row>
    <row r="20" customFormat="false" ht="42" hidden="false" customHeight="true" outlineLevel="0" collapsed="false">
      <c r="A20" s="64" t="s">
        <v>1442</v>
      </c>
      <c r="B20" s="27" t="s">
        <v>1835</v>
      </c>
      <c r="C20" s="9" t="s">
        <v>1836</v>
      </c>
      <c r="D20" s="8" t="s">
        <v>1837</v>
      </c>
      <c r="E20" s="9" t="s">
        <v>1838</v>
      </c>
      <c r="F20" s="8" t="s">
        <v>1839</v>
      </c>
      <c r="G20" s="8" t="s">
        <v>1840</v>
      </c>
      <c r="H20" s="8" t="s">
        <v>1441</v>
      </c>
      <c r="I20" s="9" t="s">
        <v>1841</v>
      </c>
      <c r="J20" s="9" t="s">
        <v>1842</v>
      </c>
      <c r="K20" s="8" t="s">
        <v>1843</v>
      </c>
      <c r="L20" s="9" t="s">
        <v>1844</v>
      </c>
      <c r="M20" s="9" t="s">
        <v>1845</v>
      </c>
    </row>
    <row r="21" customFormat="false" ht="42" hidden="false" customHeight="true" outlineLevel="0" collapsed="false">
      <c r="A21" s="64" t="s">
        <v>1448</v>
      </c>
      <c r="B21" s="27" t="s">
        <v>1846</v>
      </c>
      <c r="C21" s="9" t="s">
        <v>1847</v>
      </c>
      <c r="D21" s="8" t="s">
        <v>1848</v>
      </c>
      <c r="E21" s="9" t="s">
        <v>1849</v>
      </c>
      <c r="F21" s="8" t="s">
        <v>1850</v>
      </c>
      <c r="G21" s="8" t="s">
        <v>1851</v>
      </c>
      <c r="H21" s="8" t="s">
        <v>1447</v>
      </c>
      <c r="I21" s="9" t="s">
        <v>1852</v>
      </c>
      <c r="J21" s="9" t="s">
        <v>1853</v>
      </c>
      <c r="K21" s="8" t="s">
        <v>1854</v>
      </c>
      <c r="L21" s="9" t="s">
        <v>1855</v>
      </c>
      <c r="M21" s="9" t="s">
        <v>1856</v>
      </c>
    </row>
    <row r="22" customFormat="false" ht="42" hidden="false" customHeight="true" outlineLevel="0" collapsed="false">
      <c r="A22" s="64" t="s">
        <v>1454</v>
      </c>
      <c r="B22" s="27" t="s">
        <v>1730</v>
      </c>
      <c r="C22" s="9" t="s">
        <v>1857</v>
      </c>
      <c r="D22" s="8" t="s">
        <v>1858</v>
      </c>
      <c r="E22" s="9" t="s">
        <v>1859</v>
      </c>
      <c r="F22" s="8" t="s">
        <v>1860</v>
      </c>
      <c r="G22" s="8" t="s">
        <v>1861</v>
      </c>
      <c r="H22" s="8" t="s">
        <v>1453</v>
      </c>
      <c r="I22" s="9" t="s">
        <v>1862</v>
      </c>
      <c r="J22" s="9" t="s">
        <v>1863</v>
      </c>
      <c r="K22" s="8" t="s">
        <v>1864</v>
      </c>
      <c r="L22" s="9" t="s">
        <v>1865</v>
      </c>
      <c r="M22" s="9" t="s">
        <v>1866</v>
      </c>
    </row>
    <row r="24" customFormat="false" ht="18" hidden="false" customHeight="true" outlineLevel="0" collapsed="false">
      <c r="A24" s="4" t="s">
        <v>1867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9.5" hidden="false" customHeight="true" outlineLevel="0" collapsed="false">
      <c r="A25" s="23" t="s">
        <v>86</v>
      </c>
      <c r="B25" s="24" t="s">
        <v>1868</v>
      </c>
      <c r="C25" s="24" t="s">
        <v>1869</v>
      </c>
      <c r="D25" s="24" t="s">
        <v>1870</v>
      </c>
      <c r="E25" s="24" t="s">
        <v>1871</v>
      </c>
    </row>
    <row r="26" customFormat="false" ht="29.25" hidden="false" customHeight="true" outlineLevel="0" collapsed="false">
      <c r="A26" s="25" t="n">
        <v>1</v>
      </c>
      <c r="B26" s="9" t="s">
        <v>1696</v>
      </c>
      <c r="C26" s="9" t="s">
        <v>1872</v>
      </c>
      <c r="D26" s="9" t="s">
        <v>1873</v>
      </c>
      <c r="E26" s="9" t="s">
        <v>1874</v>
      </c>
    </row>
    <row r="27" customFormat="false" ht="29.25" hidden="false" customHeight="true" outlineLevel="0" collapsed="false">
      <c r="A27" s="25" t="n">
        <v>2</v>
      </c>
      <c r="B27" s="9" t="s">
        <v>1730</v>
      </c>
      <c r="C27" s="8" t="s">
        <v>1875</v>
      </c>
      <c r="D27" s="9" t="s">
        <v>1876</v>
      </c>
      <c r="E27" s="8" t="s">
        <v>1877</v>
      </c>
    </row>
    <row r="28" customFormat="false" ht="29.25" hidden="false" customHeight="true" outlineLevel="0" collapsed="false">
      <c r="A28" s="25" t="n">
        <v>3</v>
      </c>
      <c r="B28" s="9" t="s">
        <v>439</v>
      </c>
      <c r="C28" s="9" t="s">
        <v>1878</v>
      </c>
      <c r="D28" s="9" t="s">
        <v>1879</v>
      </c>
      <c r="E28" s="9" t="s">
        <v>1880</v>
      </c>
    </row>
    <row r="29" customFormat="false" ht="42" hidden="false" customHeight="true" outlineLevel="0" collapsed="false">
      <c r="A29" s="25" t="n">
        <v>4</v>
      </c>
      <c r="B29" s="9" t="s">
        <v>1881</v>
      </c>
      <c r="C29" s="9" t="s">
        <v>1882</v>
      </c>
      <c r="D29" s="9" t="s">
        <v>1883</v>
      </c>
      <c r="E29" s="9" t="s">
        <v>1884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Q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15" min="3" style="1" width="6"/>
    <col collapsed="false" customWidth="true" hidden="false" outlineLevel="0" max="17" min="16" style="1" width="10"/>
  </cols>
  <sheetData>
    <row r="1" customFormat="false" ht="24" hidden="false" customHeight="true" outlineLevel="0" collapsed="false">
      <c r="A1" s="22" t="s">
        <v>1885</v>
      </c>
    </row>
    <row r="2" customFormat="false" ht="15" hidden="false" customHeight="true" outlineLevel="0" collapsed="false">
      <c r="A2" s="3" t="s">
        <v>1886</v>
      </c>
    </row>
    <row r="4" customFormat="false" ht="21.75" hidden="false" customHeight="true" outlineLevel="0" collapsed="false">
      <c r="A4" s="23" t="s">
        <v>1651</v>
      </c>
      <c r="B4" s="24" t="s">
        <v>50</v>
      </c>
      <c r="C4" s="23" t="s">
        <v>319</v>
      </c>
      <c r="D4" s="23" t="s">
        <v>320</v>
      </c>
      <c r="E4" s="23" t="s">
        <v>321</v>
      </c>
      <c r="F4" s="23" t="s">
        <v>322</v>
      </c>
      <c r="G4" s="23" t="s">
        <v>323</v>
      </c>
      <c r="H4" s="23" t="s">
        <v>324</v>
      </c>
      <c r="I4" s="23" t="s">
        <v>325</v>
      </c>
      <c r="J4" s="23" t="s">
        <v>326</v>
      </c>
      <c r="K4" s="23" t="s">
        <v>327</v>
      </c>
      <c r="L4" s="23" t="s">
        <v>328</v>
      </c>
      <c r="M4" s="23" t="s">
        <v>329</v>
      </c>
      <c r="N4" s="23" t="s">
        <v>330</v>
      </c>
      <c r="O4" s="23" t="s">
        <v>707</v>
      </c>
      <c r="P4" s="24" t="s">
        <v>1887</v>
      </c>
      <c r="Q4" s="24" t="s">
        <v>1888</v>
      </c>
    </row>
    <row r="5" customFormat="false" ht="15" hidden="false" customHeight="true" outlineLevel="0" collapsed="false">
      <c r="A5" s="47" t="s">
        <v>1175</v>
      </c>
      <c r="B5" s="65" t="s">
        <v>1889</v>
      </c>
      <c r="C5" s="29"/>
      <c r="D5" s="29"/>
      <c r="E5" s="29"/>
      <c r="F5" s="29"/>
      <c r="G5" s="29"/>
      <c r="H5" s="29"/>
      <c r="I5" s="29" t="s">
        <v>1890</v>
      </c>
      <c r="J5" s="29" t="s">
        <v>1890</v>
      </c>
      <c r="K5" s="29"/>
      <c r="L5" s="29"/>
      <c r="M5" s="29"/>
      <c r="N5" s="29" t="s">
        <v>1891</v>
      </c>
      <c r="O5" s="29" t="s">
        <v>1890</v>
      </c>
      <c r="P5" s="30" t="n">
        <f aca="false">COUNTIF(C5:O5,"●")</f>
        <v>1</v>
      </c>
      <c r="Q5" s="30" t="n">
        <f aca="false">COUNTIF(C5:O5,"○")</f>
        <v>3</v>
      </c>
    </row>
    <row r="6" customFormat="false" ht="15" hidden="false" customHeight="true" outlineLevel="0" collapsed="false">
      <c r="A6" s="47" t="s">
        <v>1673</v>
      </c>
      <c r="B6" s="65" t="s">
        <v>1892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 t="s">
        <v>1891</v>
      </c>
      <c r="O6" s="29" t="s">
        <v>1890</v>
      </c>
      <c r="P6" s="30" t="n">
        <f aca="false">COUNTIF(C6:O6,"●")</f>
        <v>1</v>
      </c>
      <c r="Q6" s="30" t="n">
        <f aca="false">COUNTIF(C6:O6,"○")</f>
        <v>1</v>
      </c>
    </row>
    <row r="7" customFormat="false" ht="15" hidden="false" customHeight="true" outlineLevel="0" collapsed="false">
      <c r="A7" s="47" t="s">
        <v>913</v>
      </c>
      <c r="B7" s="65" t="s">
        <v>1893</v>
      </c>
      <c r="C7" s="29"/>
      <c r="D7" s="29" t="s">
        <v>1890</v>
      </c>
      <c r="E7" s="29" t="s">
        <v>1890</v>
      </c>
      <c r="F7" s="29" t="s">
        <v>1890</v>
      </c>
      <c r="G7" s="29"/>
      <c r="H7" s="29"/>
      <c r="I7" s="29" t="s">
        <v>1891</v>
      </c>
      <c r="J7" s="29"/>
      <c r="K7" s="29" t="s">
        <v>1891</v>
      </c>
      <c r="L7" s="29"/>
      <c r="M7" s="29"/>
      <c r="N7" s="29" t="s">
        <v>1890</v>
      </c>
      <c r="O7" s="29"/>
      <c r="P7" s="30" t="n">
        <f aca="false">COUNTIF(C7:O7,"●")</f>
        <v>2</v>
      </c>
      <c r="Q7" s="30" t="n">
        <f aca="false">COUNTIF(C7:O7,"○")</f>
        <v>4</v>
      </c>
    </row>
    <row r="8" customFormat="false" ht="15" hidden="false" customHeight="true" outlineLevel="0" collapsed="false">
      <c r="A8" s="47" t="s">
        <v>739</v>
      </c>
      <c r="B8" s="65" t="s">
        <v>1894</v>
      </c>
      <c r="C8" s="29" t="s">
        <v>1890</v>
      </c>
      <c r="D8" s="29" t="s">
        <v>1891</v>
      </c>
      <c r="E8" s="29"/>
      <c r="F8" s="29"/>
      <c r="G8" s="29"/>
      <c r="H8" s="29" t="s">
        <v>1891</v>
      </c>
      <c r="I8" s="29" t="s">
        <v>1890</v>
      </c>
      <c r="J8" s="29" t="s">
        <v>1890</v>
      </c>
      <c r="K8" s="29"/>
      <c r="L8" s="29"/>
      <c r="M8" s="29" t="s">
        <v>1891</v>
      </c>
      <c r="N8" s="29"/>
      <c r="O8" s="29" t="s">
        <v>1890</v>
      </c>
      <c r="P8" s="30" t="n">
        <f aca="false">COUNTIF(C8:O8,"●")</f>
        <v>3</v>
      </c>
      <c r="Q8" s="30" t="n">
        <f aca="false">COUNTIF(C8:O8,"○")</f>
        <v>4</v>
      </c>
    </row>
    <row r="9" customFormat="false" ht="15" hidden="false" customHeight="true" outlineLevel="0" collapsed="false">
      <c r="A9" s="47" t="s">
        <v>1010</v>
      </c>
      <c r="B9" s="65" t="s">
        <v>1895</v>
      </c>
      <c r="C9" s="29" t="s">
        <v>1890</v>
      </c>
      <c r="D9" s="29"/>
      <c r="E9" s="29"/>
      <c r="F9" s="29"/>
      <c r="G9" s="29" t="s">
        <v>1891</v>
      </c>
      <c r="H9" s="29"/>
      <c r="I9" s="29"/>
      <c r="J9" s="29" t="s">
        <v>1890</v>
      </c>
      <c r="K9" s="29"/>
      <c r="L9" s="29"/>
      <c r="M9" s="29"/>
      <c r="N9" s="29" t="s">
        <v>1890</v>
      </c>
      <c r="O9" s="29" t="s">
        <v>1890</v>
      </c>
      <c r="P9" s="30" t="n">
        <f aca="false">COUNTIF(C9:O9,"●")</f>
        <v>1</v>
      </c>
      <c r="Q9" s="30" t="n">
        <f aca="false">COUNTIF(C9:O9,"○")</f>
        <v>4</v>
      </c>
    </row>
    <row r="10" customFormat="false" ht="15" hidden="false" customHeight="true" outlineLevel="0" collapsed="false">
      <c r="A10" s="47" t="s">
        <v>789</v>
      </c>
      <c r="B10" s="65" t="s">
        <v>1896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 t="s">
        <v>1891</v>
      </c>
      <c r="N10" s="29" t="s">
        <v>1891</v>
      </c>
      <c r="O10" s="29" t="s">
        <v>1890</v>
      </c>
      <c r="P10" s="30" t="n">
        <f aca="false">COUNTIF(C10:O10,"●")</f>
        <v>2</v>
      </c>
      <c r="Q10" s="30" t="n">
        <f aca="false">COUNTIF(C10:O10,"○")</f>
        <v>1</v>
      </c>
    </row>
    <row r="11" customFormat="false" ht="15" hidden="false" customHeight="true" outlineLevel="0" collapsed="false">
      <c r="A11" s="47" t="s">
        <v>752</v>
      </c>
      <c r="B11" s="65" t="s">
        <v>1897</v>
      </c>
      <c r="C11" s="29" t="s">
        <v>1890</v>
      </c>
      <c r="D11" s="29"/>
      <c r="E11" s="29"/>
      <c r="F11" s="29"/>
      <c r="G11" s="29" t="s">
        <v>1890</v>
      </c>
      <c r="H11" s="29" t="s">
        <v>1890</v>
      </c>
      <c r="I11" s="29" t="s">
        <v>1890</v>
      </c>
      <c r="J11" s="29" t="s">
        <v>1890</v>
      </c>
      <c r="K11" s="29"/>
      <c r="L11" s="29"/>
      <c r="M11" s="29"/>
      <c r="N11" s="29"/>
      <c r="O11" s="29" t="s">
        <v>1891</v>
      </c>
      <c r="P11" s="30" t="n">
        <f aca="false">COUNTIF(C11:O11,"●")</f>
        <v>1</v>
      </c>
      <c r="Q11" s="30" t="n">
        <f aca="false">COUNTIF(C11:O11,"○")</f>
        <v>5</v>
      </c>
    </row>
    <row r="12" customFormat="false" ht="15" hidden="false" customHeight="true" outlineLevel="0" collapsed="false">
      <c r="A12" s="47" t="s">
        <v>776</v>
      </c>
      <c r="B12" s="65" t="s">
        <v>1898</v>
      </c>
      <c r="C12" s="29" t="s">
        <v>1890</v>
      </c>
      <c r="D12" s="29"/>
      <c r="E12" s="29" t="s">
        <v>1890</v>
      </c>
      <c r="F12" s="29"/>
      <c r="G12" s="29"/>
      <c r="H12" s="29" t="s">
        <v>1891</v>
      </c>
      <c r="I12" s="29" t="s">
        <v>1891</v>
      </c>
      <c r="J12" s="29" t="s">
        <v>1890</v>
      </c>
      <c r="K12" s="29"/>
      <c r="L12" s="29"/>
      <c r="M12" s="29" t="s">
        <v>1891</v>
      </c>
      <c r="N12" s="29"/>
      <c r="O12" s="29"/>
      <c r="P12" s="30" t="n">
        <f aca="false">COUNTIF(C12:O12,"●")</f>
        <v>3</v>
      </c>
      <c r="Q12" s="30" t="n">
        <f aca="false">COUNTIF(C12:O12,"○")</f>
        <v>3</v>
      </c>
    </row>
    <row r="13" customFormat="false" ht="15" hidden="false" customHeight="true" outlineLevel="0" collapsed="false">
      <c r="A13" s="47" t="s">
        <v>896</v>
      </c>
      <c r="B13" s="65" t="s">
        <v>1899</v>
      </c>
      <c r="C13" s="29"/>
      <c r="D13" s="29"/>
      <c r="E13" s="29" t="s">
        <v>1890</v>
      </c>
      <c r="F13" s="29"/>
      <c r="G13" s="29"/>
      <c r="H13" s="29"/>
      <c r="I13" s="29"/>
      <c r="J13" s="29"/>
      <c r="K13" s="29" t="s">
        <v>1891</v>
      </c>
      <c r="L13" s="29"/>
      <c r="M13" s="29"/>
      <c r="N13" s="29"/>
      <c r="O13" s="29" t="s">
        <v>1890</v>
      </c>
      <c r="P13" s="30" t="n">
        <f aca="false">COUNTIF(C13:O13,"●")</f>
        <v>1</v>
      </c>
      <c r="Q13" s="30" t="n">
        <f aca="false">COUNTIF(C13:O13,"○")</f>
        <v>2</v>
      </c>
    </row>
    <row r="14" customFormat="false" ht="15" hidden="false" customHeight="true" outlineLevel="0" collapsed="false">
      <c r="A14" s="47" t="s">
        <v>928</v>
      </c>
      <c r="B14" s="65" t="s">
        <v>1900</v>
      </c>
      <c r="C14" s="29"/>
      <c r="D14" s="29"/>
      <c r="E14" s="29" t="s">
        <v>1891</v>
      </c>
      <c r="F14" s="29"/>
      <c r="G14" s="29"/>
      <c r="H14" s="29"/>
      <c r="I14" s="29"/>
      <c r="J14" s="29"/>
      <c r="K14" s="29"/>
      <c r="L14" s="29"/>
      <c r="M14" s="29"/>
      <c r="N14" s="29" t="s">
        <v>1890</v>
      </c>
      <c r="O14" s="29" t="s">
        <v>1890</v>
      </c>
      <c r="P14" s="30" t="n">
        <f aca="false">COUNTIF(C14:O14,"●")</f>
        <v>1</v>
      </c>
      <c r="Q14" s="30" t="n">
        <f aca="false">COUNTIF(C14:O14,"○")</f>
        <v>2</v>
      </c>
    </row>
    <row r="15" customFormat="false" ht="15" hidden="false" customHeight="true" outlineLevel="0" collapsed="false">
      <c r="A15" s="47" t="s">
        <v>1775</v>
      </c>
      <c r="B15" s="65" t="s">
        <v>1901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 t="s">
        <v>1891</v>
      </c>
      <c r="O15" s="29" t="s">
        <v>1890</v>
      </c>
      <c r="P15" s="30" t="n">
        <f aca="false">COUNTIF(C15:O15,"●")</f>
        <v>1</v>
      </c>
      <c r="Q15" s="30" t="n">
        <f aca="false">COUNTIF(C15:O15,"○")</f>
        <v>1</v>
      </c>
    </row>
    <row r="16" customFormat="false" ht="15" hidden="false" customHeight="true" outlineLevel="0" collapsed="false">
      <c r="A16" s="47" t="s">
        <v>1256</v>
      </c>
      <c r="B16" s="65" t="s">
        <v>1902</v>
      </c>
      <c r="C16" s="29"/>
      <c r="D16" s="29"/>
      <c r="E16" s="29"/>
      <c r="F16" s="29"/>
      <c r="G16" s="29"/>
      <c r="H16" s="29"/>
      <c r="I16" s="29"/>
      <c r="J16" s="29"/>
      <c r="K16" s="29" t="s">
        <v>1891</v>
      </c>
      <c r="L16" s="29"/>
      <c r="M16" s="29"/>
      <c r="N16" s="29"/>
      <c r="O16" s="29" t="s">
        <v>1890</v>
      </c>
      <c r="P16" s="30" t="n">
        <f aca="false">COUNTIF(C16:O16,"●")</f>
        <v>1</v>
      </c>
      <c r="Q16" s="30" t="n">
        <f aca="false">COUNTIF(C16:O16,"○")</f>
        <v>1</v>
      </c>
    </row>
    <row r="17" customFormat="false" ht="15" hidden="false" customHeight="true" outlineLevel="0" collapsed="false">
      <c r="A17" s="47" t="s">
        <v>1403</v>
      </c>
      <c r="B17" s="66" t="s">
        <v>1903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 t="s">
        <v>1891</v>
      </c>
      <c r="N17" s="29" t="s">
        <v>1890</v>
      </c>
      <c r="O17" s="29" t="s">
        <v>1890</v>
      </c>
      <c r="P17" s="30" t="n">
        <f aca="false">COUNTIF(C17:O17,"●")</f>
        <v>1</v>
      </c>
      <c r="Q17" s="30" t="n">
        <f aca="false">COUNTIF(C17:O17,"○")</f>
        <v>2</v>
      </c>
    </row>
    <row r="18" customFormat="false" ht="15" hidden="false" customHeight="true" outlineLevel="0" collapsed="false">
      <c r="A18" s="47" t="s">
        <v>1129</v>
      </c>
      <c r="B18" s="65" t="s">
        <v>1904</v>
      </c>
      <c r="C18" s="29"/>
      <c r="D18" s="29"/>
      <c r="E18" s="29"/>
      <c r="F18" s="29"/>
      <c r="G18" s="29"/>
      <c r="H18" s="29"/>
      <c r="I18" s="29" t="s">
        <v>1891</v>
      </c>
      <c r="J18" s="29" t="s">
        <v>1890</v>
      </c>
      <c r="K18" s="29"/>
      <c r="L18" s="29"/>
      <c r="M18" s="29"/>
      <c r="N18" s="29"/>
      <c r="O18" s="29"/>
      <c r="P18" s="30" t="n">
        <f aca="false">COUNTIF(C18:O18,"●")</f>
        <v>1</v>
      </c>
      <c r="Q18" s="30" t="n">
        <f aca="false">COUNTIF(C18:O18,"○")</f>
        <v>1</v>
      </c>
    </row>
    <row r="19" customFormat="false" ht="15" hidden="false" customHeight="true" outlineLevel="0" collapsed="false">
      <c r="A19" s="47" t="s">
        <v>1822</v>
      </c>
      <c r="B19" s="65" t="s">
        <v>1905</v>
      </c>
      <c r="C19" s="29"/>
      <c r="D19" s="29"/>
      <c r="E19" s="29"/>
      <c r="F19" s="29"/>
      <c r="G19" s="29"/>
      <c r="H19" s="29"/>
      <c r="I19" s="29"/>
      <c r="J19" s="29"/>
      <c r="K19" s="29"/>
      <c r="L19" s="29" t="s">
        <v>1891</v>
      </c>
      <c r="M19" s="29" t="s">
        <v>1890</v>
      </c>
      <c r="N19" s="29" t="s">
        <v>1890</v>
      </c>
      <c r="O19" s="29"/>
      <c r="P19" s="30" t="n">
        <f aca="false">COUNTIF(C19:O19,"●")</f>
        <v>1</v>
      </c>
      <c r="Q19" s="30" t="n">
        <f aca="false">COUNTIF(C19:O19,"○")</f>
        <v>2</v>
      </c>
    </row>
    <row r="20" customFormat="false" ht="15" hidden="false" customHeight="true" outlineLevel="0" collapsed="false">
      <c r="A20" s="47" t="s">
        <v>1442</v>
      </c>
      <c r="B20" s="65" t="s">
        <v>1906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 t="s">
        <v>1891</v>
      </c>
      <c r="O20" s="29"/>
      <c r="P20" s="30" t="n">
        <f aca="false">COUNTIF(C20:O20,"●")</f>
        <v>1</v>
      </c>
      <c r="Q20" s="30" t="n">
        <f aca="false">COUNTIF(C20:O20,"○")</f>
        <v>0</v>
      </c>
    </row>
    <row r="21" customFormat="false" ht="15" hidden="false" customHeight="true" outlineLevel="0" collapsed="false">
      <c r="A21" s="47" t="s">
        <v>1448</v>
      </c>
      <c r="B21" s="65" t="s">
        <v>1907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 t="s">
        <v>1891</v>
      </c>
      <c r="O21" s="29"/>
      <c r="P21" s="30" t="n">
        <f aca="false">COUNTIF(C21:O21,"●")</f>
        <v>1</v>
      </c>
      <c r="Q21" s="30" t="n">
        <f aca="false">COUNTIF(C21:O21,"○")</f>
        <v>0</v>
      </c>
    </row>
    <row r="22" customFormat="false" ht="15" hidden="false" customHeight="true" outlineLevel="0" collapsed="false">
      <c r="A22" s="47" t="s">
        <v>1454</v>
      </c>
      <c r="B22" s="65" t="s">
        <v>1908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 t="s">
        <v>1891</v>
      </c>
      <c r="O22" s="29"/>
      <c r="P22" s="30" t="n">
        <f aca="false">COUNTIF(C22:O22,"●")</f>
        <v>1</v>
      </c>
      <c r="Q22" s="30" t="n">
        <f aca="false">COUNTIF(C22:O22,"○")</f>
        <v>0</v>
      </c>
    </row>
    <row r="23" customFormat="false" ht="15" hidden="false" customHeight="true" outlineLevel="0" collapsed="false">
      <c r="A23" s="67"/>
      <c r="B23" s="44" t="s">
        <v>1909</v>
      </c>
      <c r="C23" s="50" t="n">
        <f aca="false">COUNTIF(C5:C22,"●")</f>
        <v>0</v>
      </c>
      <c r="D23" s="50" t="n">
        <f aca="false">COUNTIF(D5:D22,"●")</f>
        <v>1</v>
      </c>
      <c r="E23" s="50" t="n">
        <f aca="false">COUNTIF(E5:E22,"●")</f>
        <v>1</v>
      </c>
      <c r="F23" s="50" t="n">
        <f aca="false">COUNTIF(F5:F22,"●")</f>
        <v>0</v>
      </c>
      <c r="G23" s="50" t="n">
        <f aca="false">COUNTIF(G5:G22,"●")</f>
        <v>1</v>
      </c>
      <c r="H23" s="50" t="n">
        <f aca="false">COUNTIF(H5:H22,"●")</f>
        <v>2</v>
      </c>
      <c r="I23" s="50" t="n">
        <f aca="false">COUNTIF(I5:I22,"●")</f>
        <v>3</v>
      </c>
      <c r="J23" s="50" t="n">
        <f aca="false">COUNTIF(J5:J22,"●")</f>
        <v>0</v>
      </c>
      <c r="K23" s="50" t="n">
        <f aca="false">COUNTIF(K5:K22,"●")</f>
        <v>3</v>
      </c>
      <c r="L23" s="50" t="n">
        <f aca="false">COUNTIF(L5:L22,"●")</f>
        <v>1</v>
      </c>
      <c r="M23" s="50" t="n">
        <f aca="false">COUNTIF(M5:M22,"●")</f>
        <v>4</v>
      </c>
      <c r="N23" s="50" t="n">
        <f aca="false">COUNTIF(N5:N22,"●")</f>
        <v>7</v>
      </c>
      <c r="O23" s="50" t="n">
        <f aca="false">COUNTIF(O5:O22,"●")</f>
        <v>1</v>
      </c>
      <c r="P23" s="50" t="n">
        <f aca="false">SUM(P5:P22)</f>
        <v>24</v>
      </c>
      <c r="Q23" s="67"/>
    </row>
    <row r="24" customFormat="false" ht="15" hidden="false" customHeight="true" outlineLevel="0" collapsed="false">
      <c r="A24" s="67"/>
      <c r="B24" s="44" t="s">
        <v>1910</v>
      </c>
      <c r="C24" s="50" t="n">
        <f aca="false">COUNTIF(C5:C22,"○")</f>
        <v>4</v>
      </c>
      <c r="D24" s="50" t="n">
        <f aca="false">COUNTIF(D5:D22,"○")</f>
        <v>1</v>
      </c>
      <c r="E24" s="50" t="n">
        <f aca="false">COUNTIF(E5:E22,"○")</f>
        <v>3</v>
      </c>
      <c r="F24" s="50" t="n">
        <f aca="false">COUNTIF(F5:F22,"○")</f>
        <v>1</v>
      </c>
      <c r="G24" s="50" t="n">
        <f aca="false">COUNTIF(G5:G22,"○")</f>
        <v>1</v>
      </c>
      <c r="H24" s="50" t="n">
        <f aca="false">COUNTIF(H5:H22,"○")</f>
        <v>1</v>
      </c>
      <c r="I24" s="50" t="n">
        <f aca="false">COUNTIF(I5:I22,"○")</f>
        <v>3</v>
      </c>
      <c r="J24" s="50" t="n">
        <f aca="false">COUNTIF(J5:J22,"○")</f>
        <v>6</v>
      </c>
      <c r="K24" s="50" t="n">
        <f aca="false">COUNTIF(K5:K22,"○")</f>
        <v>0</v>
      </c>
      <c r="L24" s="50" t="n">
        <f aca="false">COUNTIF(L5:L22,"○")</f>
        <v>0</v>
      </c>
      <c r="M24" s="50" t="n">
        <f aca="false">COUNTIF(M5:M22,"○")</f>
        <v>1</v>
      </c>
      <c r="N24" s="50" t="n">
        <f aca="false">COUNTIF(N5:N22,"○")</f>
        <v>5</v>
      </c>
      <c r="O24" s="50" t="n">
        <f aca="false">COUNTIF(O5:O22,"○")</f>
        <v>10</v>
      </c>
      <c r="P24" s="67"/>
      <c r="Q24" s="50" t="n">
        <f aca="false">SUM(Q5:Q22)</f>
        <v>36</v>
      </c>
    </row>
    <row r="26" customFormat="false" ht="29.25" hidden="false" customHeight="true" outlineLevel="0" collapsed="false">
      <c r="A26" s="58" t="s">
        <v>1911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customFormat="false" ht="16.5" hidden="false" customHeight="true" outlineLevel="0" collapsed="false">
      <c r="A27" s="58" t="s">
        <v>1912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</row>
  </sheetData>
  <mergeCells count="2">
    <mergeCell ref="A26:Q26"/>
    <mergeCell ref="A27:Q27"/>
  </mergeCells>
  <conditionalFormatting sqref="C5:O22">
    <cfRule type="cellIs" priority="2" operator="equal" aboveAverage="0" equalAverage="0" bottom="0" percent="0" rank="0" text="" dxfId="3">
      <formula>"●"</formula>
    </cfRule>
    <cfRule type="cellIs" priority="3" operator="equal" aboveAverage="0" equalAverage="0" bottom="0" percent="0" rank="0" text="" dxfId="4">
      <formula>"○"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62"/>
    <col collapsed="false" customWidth="true" hidden="false" outlineLevel="0" max="4" min="4" style="1" width="34"/>
    <col collapsed="false" customWidth="true" hidden="false" outlineLevel="0" max="5" min="5" style="1" width="20"/>
    <col collapsed="false" customWidth="true" hidden="false" outlineLevel="0" max="6" min="6" style="1" width="38"/>
    <col collapsed="false" customWidth="true" hidden="false" outlineLevel="0" max="7" min="7" style="1" width="18"/>
  </cols>
  <sheetData>
    <row r="1" customFormat="false" ht="24" hidden="false" customHeight="true" outlineLevel="0" collapsed="false">
      <c r="A1" s="22" t="s">
        <v>1913</v>
      </c>
    </row>
    <row r="2" customFormat="false" ht="15" hidden="false" customHeight="true" outlineLevel="0" collapsed="false">
      <c r="A2" s="3" t="s">
        <v>1914</v>
      </c>
    </row>
    <row r="4" customFormat="false" ht="19.5" hidden="false" customHeight="true" outlineLevel="0" collapsed="false">
      <c r="A4" s="24" t="s">
        <v>1915</v>
      </c>
      <c r="B4" s="24" t="s">
        <v>1916</v>
      </c>
      <c r="C4" s="24" t="s">
        <v>388</v>
      </c>
      <c r="D4" s="24" t="s">
        <v>1917</v>
      </c>
      <c r="E4" s="24" t="s">
        <v>1918</v>
      </c>
      <c r="F4" s="24" t="s">
        <v>1659</v>
      </c>
      <c r="G4" s="24" t="s">
        <v>1919</v>
      </c>
    </row>
    <row r="5" customFormat="false" ht="42" hidden="false" customHeight="true" outlineLevel="0" collapsed="false">
      <c r="A5" s="6" t="s">
        <v>1920</v>
      </c>
      <c r="B5" s="9" t="s">
        <v>1921</v>
      </c>
      <c r="C5" s="9" t="s">
        <v>1922</v>
      </c>
      <c r="D5" s="9" t="s">
        <v>1923</v>
      </c>
      <c r="E5" s="8" t="s">
        <v>1924</v>
      </c>
      <c r="F5" s="8" t="s">
        <v>1925</v>
      </c>
      <c r="G5" s="9" t="s">
        <v>1926</v>
      </c>
    </row>
    <row r="6" customFormat="false" ht="29.25" hidden="false" customHeight="true" outlineLevel="0" collapsed="false">
      <c r="A6" s="6" t="s">
        <v>1920</v>
      </c>
      <c r="B6" s="9" t="s">
        <v>1927</v>
      </c>
      <c r="C6" s="9" t="s">
        <v>1928</v>
      </c>
      <c r="D6" s="9" t="s">
        <v>1929</v>
      </c>
      <c r="E6" s="8" t="s">
        <v>1930</v>
      </c>
      <c r="F6" s="8" t="s">
        <v>1931</v>
      </c>
      <c r="G6" s="9" t="s">
        <v>1926</v>
      </c>
    </row>
    <row r="7" customFormat="false" ht="42" hidden="false" customHeight="true" outlineLevel="0" collapsed="false">
      <c r="A7" s="6" t="s">
        <v>1920</v>
      </c>
      <c r="B7" s="9" t="s">
        <v>1932</v>
      </c>
      <c r="C7" s="9" t="s">
        <v>1933</v>
      </c>
      <c r="D7" s="9" t="s">
        <v>1934</v>
      </c>
      <c r="E7" s="8" t="s">
        <v>1935</v>
      </c>
      <c r="F7" s="8" t="s">
        <v>1936</v>
      </c>
      <c r="G7" s="9" t="s">
        <v>1926</v>
      </c>
    </row>
    <row r="8" customFormat="false" ht="29.25" hidden="false" customHeight="true" outlineLevel="0" collapsed="false">
      <c r="A8" s="6" t="s">
        <v>1920</v>
      </c>
      <c r="B8" s="9" t="s">
        <v>1937</v>
      </c>
      <c r="C8" s="9" t="s">
        <v>1938</v>
      </c>
      <c r="D8" s="9" t="s">
        <v>1939</v>
      </c>
      <c r="E8" s="8" t="s">
        <v>1940</v>
      </c>
      <c r="F8" s="8" t="s">
        <v>1941</v>
      </c>
      <c r="G8" s="9" t="s">
        <v>1926</v>
      </c>
    </row>
    <row r="9" customFormat="false" ht="29.25" hidden="false" customHeight="true" outlineLevel="0" collapsed="false">
      <c r="A9" s="6" t="s">
        <v>1920</v>
      </c>
      <c r="B9" s="9" t="s">
        <v>1942</v>
      </c>
      <c r="C9" s="9" t="s">
        <v>1943</v>
      </c>
      <c r="D9" s="9" t="s">
        <v>1944</v>
      </c>
      <c r="E9" s="8" t="s">
        <v>1945</v>
      </c>
      <c r="F9" s="8" t="s">
        <v>1946</v>
      </c>
      <c r="G9" s="9" t="s">
        <v>1926</v>
      </c>
    </row>
    <row r="10" customFormat="false" ht="67.5" hidden="false" customHeight="true" outlineLevel="0" collapsed="false">
      <c r="A10" s="6" t="s">
        <v>1920</v>
      </c>
      <c r="B10" s="9" t="s">
        <v>1947</v>
      </c>
      <c r="C10" s="9" t="s">
        <v>1948</v>
      </c>
      <c r="D10" s="9" t="s">
        <v>1949</v>
      </c>
      <c r="E10" s="8" t="s">
        <v>1950</v>
      </c>
      <c r="F10" s="8" t="s">
        <v>1951</v>
      </c>
      <c r="G10" s="9" t="s">
        <v>1952</v>
      </c>
    </row>
    <row r="11" customFormat="false" ht="42" hidden="false" customHeight="true" outlineLevel="0" collapsed="false">
      <c r="A11" s="6" t="s">
        <v>1920</v>
      </c>
      <c r="B11" s="9" t="s">
        <v>1953</v>
      </c>
      <c r="C11" s="9" t="s">
        <v>1954</v>
      </c>
      <c r="D11" s="9" t="s">
        <v>1955</v>
      </c>
      <c r="E11" s="8" t="s">
        <v>1956</v>
      </c>
      <c r="F11" s="8" t="s">
        <v>1957</v>
      </c>
      <c r="G11" s="9" t="s">
        <v>1926</v>
      </c>
    </row>
    <row r="12" customFormat="false" ht="29.25" hidden="false" customHeight="true" outlineLevel="0" collapsed="false">
      <c r="A12" s="6" t="s">
        <v>1920</v>
      </c>
      <c r="B12" s="9" t="s">
        <v>1958</v>
      </c>
      <c r="C12" s="9" t="s">
        <v>1959</v>
      </c>
      <c r="D12" s="9" t="s">
        <v>1960</v>
      </c>
      <c r="E12" s="8" t="s">
        <v>1961</v>
      </c>
      <c r="F12" s="8" t="s">
        <v>1962</v>
      </c>
      <c r="G12" s="9" t="s">
        <v>1926</v>
      </c>
    </row>
    <row r="13" customFormat="false" ht="42" hidden="false" customHeight="true" outlineLevel="0" collapsed="false">
      <c r="A13" s="6" t="s">
        <v>1920</v>
      </c>
      <c r="B13" s="9" t="s">
        <v>1963</v>
      </c>
      <c r="C13" s="9" t="s">
        <v>1964</v>
      </c>
      <c r="D13" s="9" t="s">
        <v>1965</v>
      </c>
      <c r="E13" s="8" t="s">
        <v>1966</v>
      </c>
      <c r="F13" s="8" t="s">
        <v>1967</v>
      </c>
      <c r="G13" s="9" t="s">
        <v>1926</v>
      </c>
    </row>
    <row r="14" customFormat="false" ht="29.25" hidden="false" customHeight="true" outlineLevel="0" collapsed="false">
      <c r="A14" s="6" t="s">
        <v>1920</v>
      </c>
      <c r="B14" s="9" t="s">
        <v>1968</v>
      </c>
      <c r="C14" s="9" t="s">
        <v>1969</v>
      </c>
      <c r="D14" s="9" t="s">
        <v>1970</v>
      </c>
      <c r="E14" s="8" t="s">
        <v>1971</v>
      </c>
      <c r="F14" s="8" t="s">
        <v>1972</v>
      </c>
      <c r="G14" s="9" t="s">
        <v>1926</v>
      </c>
    </row>
    <row r="15" customFormat="false" ht="29.25" hidden="false" customHeight="true" outlineLevel="0" collapsed="false">
      <c r="A15" s="6" t="s">
        <v>1920</v>
      </c>
      <c r="B15" s="9" t="s">
        <v>1973</v>
      </c>
      <c r="C15" s="9" t="s">
        <v>1974</v>
      </c>
      <c r="D15" s="9" t="s">
        <v>1975</v>
      </c>
      <c r="E15" s="8" t="s">
        <v>1976</v>
      </c>
      <c r="F15" s="8" t="s">
        <v>1977</v>
      </c>
      <c r="G15" s="9" t="s">
        <v>1926</v>
      </c>
    </row>
    <row r="16" customFormat="false" ht="29.25" hidden="false" customHeight="true" outlineLevel="0" collapsed="false">
      <c r="A16" s="6" t="s">
        <v>1920</v>
      </c>
      <c r="B16" s="9" t="s">
        <v>1978</v>
      </c>
      <c r="C16" s="9" t="s">
        <v>1979</v>
      </c>
      <c r="D16" s="9" t="s">
        <v>1980</v>
      </c>
      <c r="E16" s="8" t="s">
        <v>1981</v>
      </c>
      <c r="F16" s="8" t="s">
        <v>1982</v>
      </c>
      <c r="G16" s="9" t="s">
        <v>1926</v>
      </c>
    </row>
    <row r="17" customFormat="false" ht="29.25" hidden="false" customHeight="true" outlineLevel="0" collapsed="false">
      <c r="A17" s="6" t="s">
        <v>1920</v>
      </c>
      <c r="B17" s="9" t="s">
        <v>1983</v>
      </c>
      <c r="C17" s="9" t="s">
        <v>1984</v>
      </c>
      <c r="D17" s="9" t="s">
        <v>1985</v>
      </c>
      <c r="E17" s="8" t="s">
        <v>1986</v>
      </c>
      <c r="F17" s="8" t="s">
        <v>1987</v>
      </c>
      <c r="G17" s="9" t="s">
        <v>1926</v>
      </c>
    </row>
    <row r="18" customFormat="false" ht="42" hidden="false" customHeight="true" outlineLevel="0" collapsed="false">
      <c r="A18" s="6" t="s">
        <v>1920</v>
      </c>
      <c r="B18" s="8" t="s">
        <v>1988</v>
      </c>
      <c r="C18" s="9" t="s">
        <v>1989</v>
      </c>
      <c r="D18" s="9" t="s">
        <v>1990</v>
      </c>
      <c r="E18" s="8" t="s">
        <v>1991</v>
      </c>
      <c r="F18" s="8" t="s">
        <v>1992</v>
      </c>
      <c r="G18" s="9" t="s">
        <v>1926</v>
      </c>
    </row>
    <row r="19" customFormat="false" ht="54.75" hidden="false" customHeight="true" outlineLevel="0" collapsed="false">
      <c r="A19" s="6" t="s">
        <v>1920</v>
      </c>
      <c r="B19" s="9" t="s">
        <v>1993</v>
      </c>
      <c r="C19" s="9" t="s">
        <v>1994</v>
      </c>
      <c r="D19" s="17" t="s">
        <v>1995</v>
      </c>
      <c r="E19" s="8" t="s">
        <v>1996</v>
      </c>
      <c r="F19" s="8" t="s">
        <v>1997</v>
      </c>
      <c r="G19" s="9" t="s">
        <v>1926</v>
      </c>
    </row>
    <row r="20" customFormat="false" ht="42" hidden="false" customHeight="true" outlineLevel="0" collapsed="false">
      <c r="A20" s="6" t="s">
        <v>1998</v>
      </c>
      <c r="B20" s="9" t="s">
        <v>1999</v>
      </c>
      <c r="C20" s="9" t="s">
        <v>2000</v>
      </c>
      <c r="D20" s="9" t="s">
        <v>2001</v>
      </c>
      <c r="E20" s="8" t="s">
        <v>2002</v>
      </c>
      <c r="F20" s="8" t="s">
        <v>2003</v>
      </c>
      <c r="G20" s="9" t="s">
        <v>1926</v>
      </c>
    </row>
    <row r="21" customFormat="false" ht="29.25" hidden="false" customHeight="true" outlineLevel="0" collapsed="false">
      <c r="A21" s="6" t="s">
        <v>1998</v>
      </c>
      <c r="B21" s="9" t="s">
        <v>2004</v>
      </c>
      <c r="C21" s="9" t="s">
        <v>2005</v>
      </c>
      <c r="D21" s="9" t="s">
        <v>2006</v>
      </c>
      <c r="E21" s="8" t="s">
        <v>2007</v>
      </c>
      <c r="F21" s="8" t="s">
        <v>2008</v>
      </c>
      <c r="G21" s="9" t="s">
        <v>1926</v>
      </c>
    </row>
    <row r="22" customFormat="false" ht="42" hidden="false" customHeight="true" outlineLevel="0" collapsed="false">
      <c r="A22" s="6" t="s">
        <v>1998</v>
      </c>
      <c r="B22" s="9" t="s">
        <v>2009</v>
      </c>
      <c r="C22" s="9" t="s">
        <v>2010</v>
      </c>
      <c r="D22" s="9" t="s">
        <v>2011</v>
      </c>
      <c r="E22" s="8" t="s">
        <v>2012</v>
      </c>
      <c r="F22" s="8" t="s">
        <v>2013</v>
      </c>
      <c r="G22" s="9" t="s">
        <v>1926</v>
      </c>
    </row>
    <row r="23" customFormat="false" ht="42" hidden="false" customHeight="true" outlineLevel="0" collapsed="false">
      <c r="A23" s="6" t="s">
        <v>1998</v>
      </c>
      <c r="B23" s="9" t="s">
        <v>2014</v>
      </c>
      <c r="C23" s="9" t="s">
        <v>2015</v>
      </c>
      <c r="D23" s="9" t="s">
        <v>2016</v>
      </c>
      <c r="E23" s="8" t="s">
        <v>2017</v>
      </c>
      <c r="F23" s="8" t="s">
        <v>2018</v>
      </c>
      <c r="G23" s="9" t="s">
        <v>1926</v>
      </c>
    </row>
    <row r="24" customFormat="false" ht="29.25" hidden="false" customHeight="true" outlineLevel="0" collapsed="false">
      <c r="A24" s="6" t="s">
        <v>1998</v>
      </c>
      <c r="B24" s="9" t="s">
        <v>2019</v>
      </c>
      <c r="C24" s="9" t="s">
        <v>2020</v>
      </c>
      <c r="D24" s="9" t="s">
        <v>2021</v>
      </c>
      <c r="E24" s="8" t="s">
        <v>2022</v>
      </c>
      <c r="F24" s="8" t="s">
        <v>2023</v>
      </c>
      <c r="G24" s="9" t="s">
        <v>1926</v>
      </c>
    </row>
    <row r="25" customFormat="false" ht="29.25" hidden="false" customHeight="true" outlineLevel="0" collapsed="false">
      <c r="A25" s="6" t="s">
        <v>1998</v>
      </c>
      <c r="B25" s="9" t="s">
        <v>2024</v>
      </c>
      <c r="C25" s="9" t="s">
        <v>2025</v>
      </c>
      <c r="D25" s="9" t="s">
        <v>2026</v>
      </c>
      <c r="E25" s="8" t="s">
        <v>2027</v>
      </c>
      <c r="F25" s="8" t="s">
        <v>2028</v>
      </c>
      <c r="G25" s="9" t="s">
        <v>1926</v>
      </c>
    </row>
    <row r="26" customFormat="false" ht="80.25" hidden="false" customHeight="true" outlineLevel="0" collapsed="false">
      <c r="A26" s="6" t="s">
        <v>1998</v>
      </c>
      <c r="B26" s="9" t="s">
        <v>2029</v>
      </c>
      <c r="C26" s="9" t="s">
        <v>2030</v>
      </c>
      <c r="D26" s="9" t="s">
        <v>2031</v>
      </c>
      <c r="E26" s="8" t="s">
        <v>2002</v>
      </c>
      <c r="F26" s="8" t="s">
        <v>2032</v>
      </c>
      <c r="G26" s="9" t="s">
        <v>1926</v>
      </c>
    </row>
    <row r="27" customFormat="false" ht="42" hidden="false" customHeight="true" outlineLevel="0" collapsed="false">
      <c r="A27" s="6" t="s">
        <v>1998</v>
      </c>
      <c r="B27" s="9" t="s">
        <v>2033</v>
      </c>
      <c r="C27" s="9" t="s">
        <v>2034</v>
      </c>
      <c r="D27" s="9" t="s">
        <v>2035</v>
      </c>
      <c r="E27" s="8" t="s">
        <v>2036</v>
      </c>
      <c r="F27" s="8" t="s">
        <v>2037</v>
      </c>
      <c r="G27" s="9" t="s">
        <v>1926</v>
      </c>
    </row>
    <row r="28" customFormat="false" ht="42" hidden="false" customHeight="true" outlineLevel="0" collapsed="false">
      <c r="A28" s="6" t="s">
        <v>2038</v>
      </c>
      <c r="B28" s="9" t="s">
        <v>2039</v>
      </c>
      <c r="C28" s="9" t="s">
        <v>2040</v>
      </c>
      <c r="D28" s="9" t="s">
        <v>2041</v>
      </c>
      <c r="E28" s="8" t="s">
        <v>2042</v>
      </c>
      <c r="F28" s="8" t="s">
        <v>2043</v>
      </c>
      <c r="G28" s="9" t="s">
        <v>1926</v>
      </c>
    </row>
    <row r="29" customFormat="false" ht="54.75" hidden="false" customHeight="true" outlineLevel="0" collapsed="false">
      <c r="A29" s="6" t="s">
        <v>2038</v>
      </c>
      <c r="B29" s="9" t="s">
        <v>2044</v>
      </c>
      <c r="C29" s="9" t="s">
        <v>2045</v>
      </c>
      <c r="D29" s="9" t="s">
        <v>2046</v>
      </c>
      <c r="E29" s="8" t="s">
        <v>2047</v>
      </c>
      <c r="F29" s="8" t="s">
        <v>2048</v>
      </c>
      <c r="G29" s="9" t="s">
        <v>1926</v>
      </c>
    </row>
    <row r="30" customFormat="false" ht="29.25" hidden="false" customHeight="true" outlineLevel="0" collapsed="false">
      <c r="A30" s="6" t="s">
        <v>2038</v>
      </c>
      <c r="B30" s="9" t="s">
        <v>2049</v>
      </c>
      <c r="C30" s="9" t="s">
        <v>2050</v>
      </c>
      <c r="D30" s="9" t="s">
        <v>2051</v>
      </c>
      <c r="E30" s="8" t="s">
        <v>2052</v>
      </c>
      <c r="F30" s="8" t="s">
        <v>2053</v>
      </c>
      <c r="G30" s="9" t="s">
        <v>1926</v>
      </c>
    </row>
    <row r="31" customFormat="false" ht="29.25" hidden="false" customHeight="true" outlineLevel="0" collapsed="false">
      <c r="A31" s="6" t="s">
        <v>2038</v>
      </c>
      <c r="B31" s="9" t="s">
        <v>2054</v>
      </c>
      <c r="C31" s="9" t="s">
        <v>2055</v>
      </c>
      <c r="D31" s="9" t="s">
        <v>2056</v>
      </c>
      <c r="E31" s="8" t="s">
        <v>2057</v>
      </c>
      <c r="F31" s="8" t="s">
        <v>2058</v>
      </c>
      <c r="G31" s="9" t="s">
        <v>1926</v>
      </c>
    </row>
    <row r="32" customFormat="false" ht="42" hidden="false" customHeight="true" outlineLevel="0" collapsed="false">
      <c r="A32" s="6" t="s">
        <v>2038</v>
      </c>
      <c r="B32" s="9" t="s">
        <v>1346</v>
      </c>
      <c r="C32" s="9" t="s">
        <v>2059</v>
      </c>
      <c r="D32" s="17" t="s">
        <v>2060</v>
      </c>
      <c r="E32" s="8" t="s">
        <v>2061</v>
      </c>
      <c r="F32" s="8" t="s">
        <v>2062</v>
      </c>
      <c r="G32" s="9" t="s">
        <v>1926</v>
      </c>
    </row>
    <row r="33" customFormat="false" ht="54.75" hidden="false" customHeight="true" outlineLevel="0" collapsed="false">
      <c r="A33" s="6" t="s">
        <v>2038</v>
      </c>
      <c r="B33" s="9" t="s">
        <v>2063</v>
      </c>
      <c r="C33" s="9" t="s">
        <v>2064</v>
      </c>
      <c r="D33" s="8" t="s">
        <v>2065</v>
      </c>
      <c r="E33" s="8" t="s">
        <v>2066</v>
      </c>
      <c r="F33" s="8" t="s">
        <v>2067</v>
      </c>
      <c r="G33" s="9" t="s">
        <v>1926</v>
      </c>
    </row>
    <row r="34" customFormat="false" ht="42" hidden="false" customHeight="true" outlineLevel="0" collapsed="false">
      <c r="A34" s="6" t="s">
        <v>2038</v>
      </c>
      <c r="B34" s="9" t="s">
        <v>2068</v>
      </c>
      <c r="C34" s="9" t="s">
        <v>2069</v>
      </c>
      <c r="D34" s="9" t="s">
        <v>2070</v>
      </c>
      <c r="E34" s="8" t="s">
        <v>2071</v>
      </c>
      <c r="F34" s="8" t="s">
        <v>2072</v>
      </c>
      <c r="G34" s="9" t="s">
        <v>1926</v>
      </c>
    </row>
    <row r="35" customFormat="false" ht="42" hidden="false" customHeight="true" outlineLevel="0" collapsed="false">
      <c r="A35" s="6" t="s">
        <v>2073</v>
      </c>
      <c r="B35" s="9" t="s">
        <v>2074</v>
      </c>
      <c r="C35" s="9" t="s">
        <v>2075</v>
      </c>
      <c r="D35" s="9" t="s">
        <v>2076</v>
      </c>
      <c r="E35" s="8" t="s">
        <v>2077</v>
      </c>
      <c r="F35" s="8" t="s">
        <v>2078</v>
      </c>
      <c r="G35" s="9" t="s">
        <v>1926</v>
      </c>
    </row>
    <row r="36" customFormat="false" ht="42" hidden="false" customHeight="true" outlineLevel="0" collapsed="false">
      <c r="A36" s="6" t="s">
        <v>2073</v>
      </c>
      <c r="B36" s="17" t="s">
        <v>2079</v>
      </c>
      <c r="C36" s="9" t="s">
        <v>2080</v>
      </c>
      <c r="D36" s="17" t="s">
        <v>2081</v>
      </c>
      <c r="E36" s="8" t="s">
        <v>2082</v>
      </c>
      <c r="F36" s="8" t="s">
        <v>2083</v>
      </c>
      <c r="G36" s="9" t="s">
        <v>1926</v>
      </c>
    </row>
    <row r="37" customFormat="false" ht="29.25" hidden="false" customHeight="true" outlineLevel="0" collapsed="false">
      <c r="A37" s="6" t="s">
        <v>2073</v>
      </c>
      <c r="B37" s="9" t="s">
        <v>2084</v>
      </c>
      <c r="C37" s="9" t="s">
        <v>2085</v>
      </c>
      <c r="D37" s="9" t="s">
        <v>2086</v>
      </c>
      <c r="E37" s="8" t="s">
        <v>2087</v>
      </c>
      <c r="F37" s="8" t="s">
        <v>2088</v>
      </c>
      <c r="G37" s="9" t="s">
        <v>1926</v>
      </c>
    </row>
    <row r="38" customFormat="false" ht="29.25" hidden="false" customHeight="true" outlineLevel="0" collapsed="false">
      <c r="A38" s="6" t="s">
        <v>2073</v>
      </c>
      <c r="B38" s="9" t="s">
        <v>2089</v>
      </c>
      <c r="C38" s="9" t="s">
        <v>2090</v>
      </c>
      <c r="D38" s="9" t="s">
        <v>2091</v>
      </c>
      <c r="E38" s="8" t="s">
        <v>2092</v>
      </c>
      <c r="F38" s="8" t="s">
        <v>2093</v>
      </c>
      <c r="G38" s="9" t="s">
        <v>1926</v>
      </c>
    </row>
    <row r="39" customFormat="false" ht="29.25" hidden="false" customHeight="true" outlineLevel="0" collapsed="false">
      <c r="A39" s="6" t="s">
        <v>2073</v>
      </c>
      <c r="B39" s="9" t="s">
        <v>2094</v>
      </c>
      <c r="C39" s="9" t="s">
        <v>2095</v>
      </c>
      <c r="D39" s="9" t="s">
        <v>2096</v>
      </c>
      <c r="E39" s="8" t="s">
        <v>2097</v>
      </c>
      <c r="F39" s="8" t="s">
        <v>2098</v>
      </c>
      <c r="G39" s="9" t="s">
        <v>1926</v>
      </c>
    </row>
    <row r="40" customFormat="false" ht="29.25" hidden="false" customHeight="true" outlineLevel="0" collapsed="false">
      <c r="A40" s="6" t="s">
        <v>2099</v>
      </c>
      <c r="B40" s="9" t="s">
        <v>2100</v>
      </c>
      <c r="C40" s="9" t="s">
        <v>2101</v>
      </c>
      <c r="D40" s="9" t="s">
        <v>2102</v>
      </c>
      <c r="E40" s="8" t="s">
        <v>2103</v>
      </c>
      <c r="F40" s="8" t="s">
        <v>2104</v>
      </c>
      <c r="G40" s="9" t="s">
        <v>1926</v>
      </c>
    </row>
    <row r="41" customFormat="false" ht="42" hidden="false" customHeight="true" outlineLevel="0" collapsed="false">
      <c r="A41" s="6" t="s">
        <v>2105</v>
      </c>
      <c r="B41" s="9" t="s">
        <v>2106</v>
      </c>
      <c r="C41" s="9" t="s">
        <v>2107</v>
      </c>
      <c r="D41" s="8" t="s">
        <v>2108</v>
      </c>
      <c r="E41" s="8" t="s">
        <v>2109</v>
      </c>
      <c r="F41" s="8" t="s">
        <v>2110</v>
      </c>
      <c r="G41" s="9" t="s">
        <v>1926</v>
      </c>
    </row>
    <row r="42" customFormat="false" ht="67.5" hidden="false" customHeight="true" outlineLevel="0" collapsed="false">
      <c r="A42" s="6" t="s">
        <v>2099</v>
      </c>
      <c r="B42" s="9" t="s">
        <v>2111</v>
      </c>
      <c r="C42" s="9" t="s">
        <v>2112</v>
      </c>
      <c r="D42" s="8" t="s">
        <v>2113</v>
      </c>
      <c r="E42" s="8" t="s">
        <v>2114</v>
      </c>
      <c r="F42" s="8" t="s">
        <v>2115</v>
      </c>
      <c r="G42" s="9" t="s">
        <v>1926</v>
      </c>
    </row>
    <row r="43" customFormat="false" ht="42" hidden="false" customHeight="true" outlineLevel="0" collapsed="false">
      <c r="A43" s="6" t="s">
        <v>2099</v>
      </c>
      <c r="B43" s="9" t="s">
        <v>2116</v>
      </c>
      <c r="C43" s="9" t="s">
        <v>2117</v>
      </c>
      <c r="D43" s="9" t="s">
        <v>2118</v>
      </c>
      <c r="E43" s="8" t="s">
        <v>2119</v>
      </c>
      <c r="F43" s="8" t="s">
        <v>2120</v>
      </c>
      <c r="G43" s="9" t="s">
        <v>1926</v>
      </c>
    </row>
    <row r="44" customFormat="false" ht="42" hidden="false" customHeight="true" outlineLevel="0" collapsed="false">
      <c r="A44" s="6" t="s">
        <v>2099</v>
      </c>
      <c r="B44" s="9" t="s">
        <v>2121</v>
      </c>
      <c r="C44" s="9" t="s">
        <v>2122</v>
      </c>
      <c r="D44" s="9" t="s">
        <v>2123</v>
      </c>
      <c r="E44" s="8" t="s">
        <v>2124</v>
      </c>
      <c r="F44" s="8" t="s">
        <v>2125</v>
      </c>
      <c r="G44" s="9" t="s">
        <v>1926</v>
      </c>
    </row>
    <row r="45" customFormat="false" ht="42" hidden="false" customHeight="true" outlineLevel="0" collapsed="false">
      <c r="A45" s="6" t="s">
        <v>2099</v>
      </c>
      <c r="B45" s="9" t="s">
        <v>2126</v>
      </c>
      <c r="C45" s="9" t="s">
        <v>2127</v>
      </c>
      <c r="D45" s="9" t="s">
        <v>2128</v>
      </c>
      <c r="E45" s="8" t="s">
        <v>2129</v>
      </c>
      <c r="F45" s="8" t="s">
        <v>2130</v>
      </c>
      <c r="G45" s="9" t="s">
        <v>1926</v>
      </c>
    </row>
    <row r="46" customFormat="false" ht="29.25" hidden="false" customHeight="true" outlineLevel="0" collapsed="false">
      <c r="A46" s="6" t="s">
        <v>1730</v>
      </c>
      <c r="B46" s="9" t="s">
        <v>2131</v>
      </c>
      <c r="C46" s="9" t="s">
        <v>2132</v>
      </c>
      <c r="D46" s="9" t="s">
        <v>2133</v>
      </c>
      <c r="E46" s="8" t="s">
        <v>2134</v>
      </c>
      <c r="F46" s="8" t="s">
        <v>2135</v>
      </c>
      <c r="G46" s="9" t="s">
        <v>1926</v>
      </c>
    </row>
    <row r="47" customFormat="false" ht="42" hidden="false" customHeight="true" outlineLevel="0" collapsed="false">
      <c r="A47" s="6" t="s">
        <v>1730</v>
      </c>
      <c r="B47" s="9" t="s">
        <v>2136</v>
      </c>
      <c r="C47" s="9" t="s">
        <v>2137</v>
      </c>
      <c r="D47" s="8" t="s">
        <v>2138</v>
      </c>
      <c r="E47" s="8" t="s">
        <v>2139</v>
      </c>
      <c r="F47" s="8" t="s">
        <v>2140</v>
      </c>
      <c r="G47" s="9" t="s">
        <v>1926</v>
      </c>
    </row>
    <row r="48" customFormat="false" ht="80.25" hidden="false" customHeight="true" outlineLevel="0" collapsed="false">
      <c r="A48" s="6" t="s">
        <v>2141</v>
      </c>
      <c r="B48" s="9" t="s">
        <v>2142</v>
      </c>
      <c r="C48" s="9" t="s">
        <v>2143</v>
      </c>
      <c r="D48" s="9" t="s">
        <v>2144</v>
      </c>
      <c r="E48" s="8" t="s">
        <v>2145</v>
      </c>
      <c r="F48" s="8" t="s">
        <v>2146</v>
      </c>
      <c r="G48" s="9" t="s">
        <v>1926</v>
      </c>
    </row>
    <row r="49" customFormat="false" ht="29.25" hidden="false" customHeight="true" outlineLevel="0" collapsed="false">
      <c r="A49" s="6" t="s">
        <v>2147</v>
      </c>
      <c r="B49" s="17" t="s">
        <v>2148</v>
      </c>
      <c r="C49" s="17" t="s">
        <v>2149</v>
      </c>
      <c r="D49" s="8" t="s">
        <v>2150</v>
      </c>
      <c r="E49" s="8" t="s">
        <v>2151</v>
      </c>
      <c r="F49" s="8" t="s">
        <v>2152</v>
      </c>
      <c r="G49" s="9" t="s">
        <v>2153</v>
      </c>
    </row>
    <row r="50" customFormat="false" ht="42" hidden="false" customHeight="true" outlineLevel="0" collapsed="false">
      <c r="A50" s="6" t="s">
        <v>1787</v>
      </c>
      <c r="B50" s="9" t="s">
        <v>2154</v>
      </c>
      <c r="C50" s="9" t="s">
        <v>2155</v>
      </c>
      <c r="D50" s="17" t="s">
        <v>2156</v>
      </c>
      <c r="E50" s="8" t="s">
        <v>2157</v>
      </c>
      <c r="F50" s="8" t="s">
        <v>2158</v>
      </c>
      <c r="G50" s="9" t="s">
        <v>1926</v>
      </c>
    </row>
    <row r="51" customFormat="false" ht="29.25" hidden="false" customHeight="true" outlineLevel="0" collapsed="false">
      <c r="A51" s="6" t="s">
        <v>1787</v>
      </c>
      <c r="B51" s="9" t="s">
        <v>2159</v>
      </c>
      <c r="C51" s="9" t="s">
        <v>2160</v>
      </c>
      <c r="D51" s="9" t="s">
        <v>2161</v>
      </c>
      <c r="E51" s="8" t="s">
        <v>2162</v>
      </c>
      <c r="F51" s="8" t="s">
        <v>2163</v>
      </c>
      <c r="G51" s="9" t="s">
        <v>1926</v>
      </c>
    </row>
    <row r="52" customFormat="false" ht="29.25" hidden="false" customHeight="true" outlineLevel="0" collapsed="false">
      <c r="A52" s="6"/>
      <c r="B52" s="9"/>
      <c r="C52" s="9"/>
      <c r="D52" s="8"/>
      <c r="E52" s="8"/>
      <c r="F52" s="8"/>
      <c r="G52" s="9"/>
    </row>
    <row r="54" customFormat="false" ht="16.5" hidden="false" customHeight="true" outlineLevel="0" collapsed="false">
      <c r="A54" s="58" t="s">
        <v>2164</v>
      </c>
      <c r="B54" s="58"/>
      <c r="C54" s="58"/>
      <c r="D54" s="58"/>
      <c r="E54" s="58"/>
      <c r="F54" s="58"/>
      <c r="G54" s="58"/>
    </row>
  </sheetData>
  <mergeCells count="1">
    <mergeCell ref="A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F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46"/>
    <col collapsed="false" customWidth="true" hidden="false" outlineLevel="0" max="4" min="4" style="1" width="54"/>
    <col collapsed="false" customWidth="true" hidden="false" outlineLevel="0" max="5" min="5" style="1" width="26"/>
    <col collapsed="false" customWidth="true" hidden="false" outlineLevel="0" max="6" min="6" style="1" width="6"/>
  </cols>
  <sheetData>
    <row r="1" customFormat="false" ht="24" hidden="false" customHeight="true" outlineLevel="0" collapsed="false">
      <c r="A1" s="22" t="s">
        <v>2165</v>
      </c>
    </row>
    <row r="2" customFormat="false" ht="15" hidden="false" customHeight="true" outlineLevel="0" collapsed="false">
      <c r="A2" s="21" t="s">
        <v>2166</v>
      </c>
    </row>
    <row r="4" customFormat="false" ht="18" hidden="false" customHeight="true" outlineLevel="0" collapsed="false">
      <c r="A4" s="37" t="s">
        <v>2167</v>
      </c>
      <c r="B4" s="5"/>
      <c r="C4" s="5"/>
      <c r="D4" s="5"/>
      <c r="E4" s="5"/>
      <c r="F4" s="5"/>
    </row>
    <row r="5" customFormat="false" ht="19.5" hidden="false" customHeight="true" outlineLevel="0" collapsed="false">
      <c r="A5" s="24" t="s">
        <v>2168</v>
      </c>
      <c r="B5" s="24" t="s">
        <v>2169</v>
      </c>
      <c r="C5" s="24" t="s">
        <v>2170</v>
      </c>
      <c r="D5" s="24" t="s">
        <v>1916</v>
      </c>
      <c r="E5" s="24" t="s">
        <v>1919</v>
      </c>
    </row>
    <row r="6" customFormat="false" ht="29.25" hidden="false" customHeight="true" outlineLevel="0" collapsed="false">
      <c r="A6" s="25" t="s">
        <v>2171</v>
      </c>
      <c r="B6" s="25" t="s">
        <v>2172</v>
      </c>
      <c r="C6" s="8" t="s">
        <v>2173</v>
      </c>
      <c r="D6" s="9" t="s">
        <v>2174</v>
      </c>
      <c r="E6" s="9" t="s">
        <v>2175</v>
      </c>
    </row>
    <row r="7" customFormat="false" ht="29.25" hidden="false" customHeight="true" outlineLevel="0" collapsed="false">
      <c r="A7" s="25" t="s">
        <v>2176</v>
      </c>
      <c r="B7" s="25" t="s">
        <v>2177</v>
      </c>
      <c r="C7" s="9" t="s">
        <v>2178</v>
      </c>
      <c r="D7" s="9" t="s">
        <v>2179</v>
      </c>
      <c r="E7" s="9" t="s">
        <v>2175</v>
      </c>
    </row>
    <row r="8" customFormat="false" ht="29.25" hidden="false" customHeight="true" outlineLevel="0" collapsed="false">
      <c r="A8" s="25" t="s">
        <v>2180</v>
      </c>
      <c r="B8" s="25" t="s">
        <v>2181</v>
      </c>
      <c r="C8" s="9" t="s">
        <v>2182</v>
      </c>
      <c r="D8" s="9" t="s">
        <v>2183</v>
      </c>
      <c r="E8" s="9" t="s">
        <v>2184</v>
      </c>
    </row>
    <row r="9" customFormat="false" ht="16.5" hidden="false" customHeight="true" outlineLevel="0" collapsed="false">
      <c r="A9" s="25" t="s">
        <v>2185</v>
      </c>
      <c r="B9" s="25" t="s">
        <v>2186</v>
      </c>
      <c r="C9" s="17" t="s">
        <v>2187</v>
      </c>
      <c r="D9" s="9" t="s">
        <v>2188</v>
      </c>
      <c r="E9" s="9" t="s">
        <v>2175</v>
      </c>
    </row>
    <row r="10" customFormat="false" ht="42" hidden="false" customHeight="true" outlineLevel="0" collapsed="false">
      <c r="A10" s="25" t="s">
        <v>2189</v>
      </c>
      <c r="B10" s="25" t="s">
        <v>2190</v>
      </c>
      <c r="C10" s="8" t="s">
        <v>2191</v>
      </c>
      <c r="D10" s="9" t="s">
        <v>2192</v>
      </c>
      <c r="E10" s="9" t="s">
        <v>2175</v>
      </c>
    </row>
    <row r="11" customFormat="false" ht="29.25" hidden="false" customHeight="true" outlineLevel="0" collapsed="false">
      <c r="A11" s="25" t="s">
        <v>2193</v>
      </c>
      <c r="B11" s="25" t="s">
        <v>2194</v>
      </c>
      <c r="C11" s="9" t="s">
        <v>2195</v>
      </c>
      <c r="D11" s="9" t="s">
        <v>2196</v>
      </c>
      <c r="E11" s="9" t="s">
        <v>2175</v>
      </c>
    </row>
    <row r="12" customFormat="false" ht="29.25" hidden="false" customHeight="true" outlineLevel="0" collapsed="false">
      <c r="A12" s="25" t="s">
        <v>2197</v>
      </c>
      <c r="B12" s="25" t="s">
        <v>2198</v>
      </c>
      <c r="C12" s="9" t="s">
        <v>2199</v>
      </c>
      <c r="D12" s="9" t="s">
        <v>2200</v>
      </c>
      <c r="E12" s="9" t="s">
        <v>2175</v>
      </c>
    </row>
    <row r="13" customFormat="false" ht="16.5" hidden="false" customHeight="true" outlineLevel="0" collapsed="false">
      <c r="A13" s="25" t="s">
        <v>2201</v>
      </c>
      <c r="B13" s="25" t="s">
        <v>2202</v>
      </c>
      <c r="C13" s="17" t="s">
        <v>2203</v>
      </c>
      <c r="D13" s="9" t="s">
        <v>2204</v>
      </c>
      <c r="E13" s="9" t="s">
        <v>2175</v>
      </c>
    </row>
    <row r="14" customFormat="false" ht="29.25" hidden="false" customHeight="true" outlineLevel="0" collapsed="false">
      <c r="A14" s="25" t="s">
        <v>2205</v>
      </c>
      <c r="B14" s="25" t="s">
        <v>1961</v>
      </c>
      <c r="C14" s="9" t="s">
        <v>2206</v>
      </c>
      <c r="D14" s="9" t="s">
        <v>2207</v>
      </c>
      <c r="E14" s="9" t="s">
        <v>2208</v>
      </c>
    </row>
    <row r="15" customFormat="false" ht="29.25" hidden="false" customHeight="true" outlineLevel="0" collapsed="false">
      <c r="A15" s="25" t="s">
        <v>2209</v>
      </c>
      <c r="B15" s="25" t="s">
        <v>2210</v>
      </c>
      <c r="C15" s="17" t="s">
        <v>2211</v>
      </c>
      <c r="D15" s="9" t="s">
        <v>2212</v>
      </c>
      <c r="E15" s="9" t="s">
        <v>2175</v>
      </c>
    </row>
    <row r="16" customFormat="false" ht="29.25" hidden="false" customHeight="true" outlineLevel="0" collapsed="false">
      <c r="A16" s="25" t="s">
        <v>2213</v>
      </c>
      <c r="B16" s="25" t="s">
        <v>2214</v>
      </c>
      <c r="C16" s="9" t="s">
        <v>2215</v>
      </c>
      <c r="D16" s="9" t="s">
        <v>2216</v>
      </c>
      <c r="E16" s="9" t="s">
        <v>2208</v>
      </c>
    </row>
    <row r="17" customFormat="false" ht="16.5" hidden="false" customHeight="true" outlineLevel="0" collapsed="false">
      <c r="A17" s="25" t="s">
        <v>2217</v>
      </c>
      <c r="B17" s="25" t="s">
        <v>2061</v>
      </c>
      <c r="C17" s="9" t="s">
        <v>2218</v>
      </c>
      <c r="D17" s="9" t="s">
        <v>2219</v>
      </c>
      <c r="E17" s="8" t="s">
        <v>288</v>
      </c>
    </row>
    <row r="18" customFormat="false" ht="29.25" hidden="false" customHeight="true" outlineLevel="0" collapsed="false">
      <c r="A18" s="25" t="s">
        <v>2220</v>
      </c>
      <c r="B18" s="25" t="s">
        <v>2042</v>
      </c>
      <c r="C18" s="8" t="s">
        <v>2221</v>
      </c>
      <c r="D18" s="9" t="s">
        <v>2222</v>
      </c>
      <c r="E18" s="9" t="s">
        <v>2175</v>
      </c>
    </row>
    <row r="19" customFormat="false" ht="16.5" hidden="false" customHeight="true" outlineLevel="0" collapsed="false">
      <c r="A19" s="25" t="s">
        <v>2223</v>
      </c>
      <c r="B19" s="25" t="s">
        <v>2224</v>
      </c>
      <c r="C19" s="9" t="s">
        <v>2225</v>
      </c>
      <c r="D19" s="9" t="s">
        <v>2226</v>
      </c>
      <c r="E19" s="9" t="s">
        <v>2175</v>
      </c>
    </row>
    <row r="20" customFormat="false" ht="29.25" hidden="false" customHeight="true" outlineLevel="0" collapsed="false">
      <c r="A20" s="25" t="s">
        <v>2227</v>
      </c>
      <c r="B20" s="25" t="s">
        <v>2228</v>
      </c>
      <c r="C20" s="9" t="s">
        <v>2229</v>
      </c>
      <c r="D20" s="9" t="s">
        <v>2230</v>
      </c>
      <c r="E20" s="9" t="s">
        <v>2175</v>
      </c>
    </row>
    <row r="21" customFormat="false" ht="16.5" hidden="false" customHeight="true" outlineLevel="0" collapsed="false">
      <c r="A21" s="25" t="s">
        <v>2231</v>
      </c>
      <c r="B21" s="25" t="s">
        <v>2232</v>
      </c>
      <c r="C21" s="17" t="s">
        <v>2233</v>
      </c>
      <c r="D21" s="9" t="s">
        <v>2234</v>
      </c>
      <c r="E21" s="9" t="s">
        <v>2175</v>
      </c>
    </row>
    <row r="22" customFormat="false" ht="29.25" hidden="false" customHeight="true" outlineLevel="0" collapsed="false">
      <c r="A22" s="25" t="s">
        <v>2235</v>
      </c>
      <c r="B22" s="25" t="s">
        <v>2057</v>
      </c>
      <c r="C22" s="9" t="s">
        <v>2236</v>
      </c>
      <c r="D22" s="9" t="s">
        <v>2237</v>
      </c>
      <c r="E22" s="9" t="s">
        <v>2175</v>
      </c>
    </row>
    <row r="23" customFormat="false" ht="29.25" hidden="false" customHeight="true" outlineLevel="0" collapsed="false">
      <c r="A23" s="25" t="s">
        <v>2238</v>
      </c>
      <c r="B23" s="25" t="s">
        <v>2097</v>
      </c>
      <c r="C23" s="9" t="s">
        <v>2239</v>
      </c>
      <c r="D23" s="8" t="s">
        <v>2240</v>
      </c>
      <c r="E23" s="9" t="s">
        <v>2175</v>
      </c>
    </row>
    <row r="24" customFormat="false" ht="16.5" hidden="false" customHeight="true" outlineLevel="0" collapsed="false">
      <c r="A24" s="25" t="s">
        <v>2241</v>
      </c>
      <c r="B24" s="25" t="s">
        <v>2242</v>
      </c>
      <c r="C24" s="9" t="s">
        <v>2243</v>
      </c>
      <c r="D24" s="9" t="s">
        <v>2244</v>
      </c>
      <c r="E24" s="9" t="s">
        <v>2175</v>
      </c>
    </row>
    <row r="26" customFormat="false" ht="18" hidden="false" customHeight="true" outlineLevel="0" collapsed="false">
      <c r="A26" s="37" t="s">
        <v>2245</v>
      </c>
      <c r="B26" s="5"/>
      <c r="C26" s="5"/>
      <c r="D26" s="5"/>
      <c r="E26" s="5"/>
      <c r="F26" s="5"/>
    </row>
    <row r="27" customFormat="false" ht="19.5" hidden="false" customHeight="true" outlineLevel="0" collapsed="false">
      <c r="A27" s="24" t="s">
        <v>89</v>
      </c>
      <c r="B27" s="24" t="s">
        <v>2246</v>
      </c>
      <c r="C27" s="24" t="s">
        <v>2247</v>
      </c>
      <c r="D27" s="24" t="s">
        <v>2248</v>
      </c>
    </row>
    <row r="28" customFormat="false" ht="16.5" hidden="false" customHeight="true" outlineLevel="0" collapsed="false">
      <c r="A28" s="11" t="s">
        <v>2249</v>
      </c>
      <c r="B28" s="8" t="s">
        <v>2250</v>
      </c>
      <c r="C28" s="9" t="s">
        <v>2251</v>
      </c>
      <c r="D28" s="9" t="s">
        <v>2252</v>
      </c>
    </row>
    <row r="29" customFormat="false" ht="16.5" hidden="false" customHeight="true" outlineLevel="0" collapsed="false">
      <c r="A29" s="11" t="s">
        <v>2253</v>
      </c>
      <c r="B29" s="8" t="s">
        <v>2254</v>
      </c>
      <c r="C29" s="9" t="s">
        <v>2255</v>
      </c>
      <c r="D29" s="9" t="s">
        <v>2256</v>
      </c>
    </row>
    <row r="30" customFormat="false" ht="29.25" hidden="false" customHeight="true" outlineLevel="0" collapsed="false">
      <c r="A30" s="11" t="s">
        <v>2257</v>
      </c>
      <c r="B30" s="8" t="s">
        <v>2258</v>
      </c>
      <c r="C30" s="9" t="s">
        <v>2259</v>
      </c>
      <c r="D30" s="9" t="s">
        <v>2260</v>
      </c>
    </row>
    <row r="31" customFormat="false" ht="16.5" hidden="false" customHeight="true" outlineLevel="0" collapsed="false">
      <c r="A31" s="11" t="s">
        <v>2261</v>
      </c>
      <c r="B31" s="8" t="s">
        <v>2262</v>
      </c>
      <c r="C31" s="9" t="s">
        <v>2263</v>
      </c>
      <c r="D31" s="9" t="s">
        <v>2264</v>
      </c>
    </row>
    <row r="32" customFormat="false" ht="16.5" hidden="false" customHeight="true" outlineLevel="0" collapsed="false">
      <c r="A32" s="11" t="s">
        <v>2265</v>
      </c>
      <c r="B32" s="8" t="s">
        <v>2266</v>
      </c>
      <c r="C32" s="9" t="s">
        <v>2267</v>
      </c>
      <c r="D32" s="17" t="s">
        <v>2268</v>
      </c>
    </row>
    <row r="33" customFormat="false" ht="16.5" hidden="false" customHeight="true" outlineLevel="0" collapsed="false">
      <c r="A33" s="11" t="s">
        <v>2269</v>
      </c>
      <c r="B33" s="8" t="s">
        <v>2270</v>
      </c>
      <c r="C33" s="9" t="s">
        <v>2271</v>
      </c>
      <c r="D33" s="17" t="s">
        <v>2272</v>
      </c>
    </row>
    <row r="35" customFormat="false" ht="18" hidden="false" customHeight="true" outlineLevel="0" collapsed="false">
      <c r="A35" s="37" t="s">
        <v>2273</v>
      </c>
    </row>
    <row r="36" customFormat="false" ht="31.5" hidden="false" customHeight="true" outlineLevel="0" collapsed="false">
      <c r="A36" s="24" t="s">
        <v>2274</v>
      </c>
      <c r="B36" s="24" t="s">
        <v>2275</v>
      </c>
      <c r="C36" s="24" t="s">
        <v>2276</v>
      </c>
      <c r="D36" s="24" t="s">
        <v>2277</v>
      </c>
      <c r="E36" s="24" t="s">
        <v>2278</v>
      </c>
    </row>
    <row r="37" customFormat="false" ht="15" hidden="false" customHeight="true" outlineLevel="0" collapsed="false">
      <c r="A37" s="47" t="s">
        <v>2279</v>
      </c>
      <c r="B37" s="68" t="n">
        <v>45.08</v>
      </c>
      <c r="C37" s="31" t="n">
        <f aca="false">B37/$B$43</f>
        <v>0.382033898305085</v>
      </c>
      <c r="D37" s="69" t="n">
        <f aca="false">RANK(B37,$B$37:$B$42)</f>
        <v>1</v>
      </c>
      <c r="E37" s="70" t="s">
        <v>2280</v>
      </c>
    </row>
    <row r="38" customFormat="false" ht="15" hidden="false" customHeight="true" outlineLevel="0" collapsed="false">
      <c r="A38" s="47" t="s">
        <v>2281</v>
      </c>
      <c r="B38" s="68" t="n">
        <v>35.52</v>
      </c>
      <c r="C38" s="31" t="n">
        <f aca="false">B38/$B$43</f>
        <v>0.301016949152542</v>
      </c>
      <c r="D38" s="69" t="n">
        <f aca="false">RANK(B38,$B$37:$B$42)</f>
        <v>2</v>
      </c>
      <c r="E38" s="70" t="s">
        <v>2282</v>
      </c>
    </row>
    <row r="39" customFormat="false" ht="15" hidden="false" customHeight="true" outlineLevel="0" collapsed="false">
      <c r="A39" s="47" t="s">
        <v>2283</v>
      </c>
      <c r="B39" s="68" t="n">
        <v>29.62</v>
      </c>
      <c r="C39" s="31" t="n">
        <f aca="false">B39/$B$43</f>
        <v>0.251016949152542</v>
      </c>
      <c r="D39" s="69" t="n">
        <f aca="false">RANK(B39,$B$37:$B$42)</f>
        <v>3</v>
      </c>
      <c r="E39" s="70" t="s">
        <v>2284</v>
      </c>
    </row>
    <row r="40" customFormat="false" ht="15" hidden="false" customHeight="true" outlineLevel="0" collapsed="false">
      <c r="A40" s="47" t="s">
        <v>2285</v>
      </c>
      <c r="B40" s="68" t="n">
        <v>4.37</v>
      </c>
      <c r="C40" s="31" t="n">
        <f aca="false">B40/$B$43</f>
        <v>0.0370338983050847</v>
      </c>
      <c r="D40" s="69" t="n">
        <f aca="false">RANK(B40,$B$37:$B$42)</f>
        <v>4</v>
      </c>
      <c r="E40" s="70" t="s">
        <v>2286</v>
      </c>
    </row>
    <row r="41" customFormat="false" ht="15" hidden="false" customHeight="true" outlineLevel="0" collapsed="false">
      <c r="A41" s="47" t="s">
        <v>2287</v>
      </c>
      <c r="B41" s="68" t="n">
        <v>2.24</v>
      </c>
      <c r="C41" s="31" t="n">
        <f aca="false">B41/$B$43</f>
        <v>0.0189830508474576</v>
      </c>
      <c r="D41" s="69" t="n">
        <f aca="false">RANK(B41,$B$37:$B$42)</f>
        <v>5</v>
      </c>
      <c r="E41" s="70" t="s">
        <v>2288</v>
      </c>
    </row>
    <row r="42" customFormat="false" ht="15" hidden="false" customHeight="true" outlineLevel="0" collapsed="false">
      <c r="A42" s="71" t="s">
        <v>2289</v>
      </c>
      <c r="B42" s="68" t="n">
        <v>1.17</v>
      </c>
      <c r="C42" s="31" t="n">
        <f aca="false">B42/$B$43</f>
        <v>0.00991525423728814</v>
      </c>
      <c r="D42" s="69" t="n">
        <f aca="false">RANK(B42,$B$37:$B$42)</f>
        <v>6</v>
      </c>
      <c r="E42" s="70" t="s">
        <v>2290</v>
      </c>
    </row>
    <row r="43" customFormat="false" ht="15" hidden="false" customHeight="true" outlineLevel="0" collapsed="false">
      <c r="A43" s="72" t="s">
        <v>2291</v>
      </c>
      <c r="B43" s="73" t="n">
        <f aca="false">SUM(B37:B42)</f>
        <v>118</v>
      </c>
      <c r="C43" s="74"/>
      <c r="D43" s="74"/>
      <c r="E43" s="75" t="s">
        <v>2292</v>
      </c>
    </row>
    <row r="44" customFormat="false" ht="15" hidden="false" customHeight="true" outlineLevel="0" collapsed="false">
      <c r="A44" s="72" t="s">
        <v>2293</v>
      </c>
      <c r="B44" s="73" t="n">
        <f aca="false">B43/2</f>
        <v>59</v>
      </c>
      <c r="C44" s="74"/>
      <c r="D44" s="74"/>
      <c r="E44" s="75" t="s">
        <v>2294</v>
      </c>
    </row>
    <row r="45" customFormat="false" ht="15" hidden="false" customHeight="true" outlineLevel="0" collapsed="false">
      <c r="A45" s="76" t="s">
        <v>2295</v>
      </c>
      <c r="B45" s="74" t="str">
        <f aca="false">INDEX(A37:A42,MATCH(MAX(B37:B42),B37:B42,0))</f>
        <v>UCN 후보</v>
      </c>
      <c r="C45" s="74"/>
      <c r="D45" s="74"/>
      <c r="E45" s="74"/>
    </row>
    <row r="46" customFormat="false" ht="15" hidden="false" customHeight="true" outlineLevel="0" collapsed="false">
      <c r="A46" s="76" t="s">
        <v>2296</v>
      </c>
      <c r="B46" s="74" t="str">
        <f aca="false">INDEX(A37:A42,MATCH(LARGE(B37:B42,2),B37:B42,0))</f>
        <v>Rafael (CC)</v>
      </c>
      <c r="C46" s="74"/>
      <c r="D46" s="74"/>
      <c r="E46" s="74"/>
    </row>
    <row r="47" customFormat="false" ht="15" hidden="false" customHeight="true" outlineLevel="0" collapsed="false">
      <c r="A47" s="76" t="s">
        <v>2297</v>
      </c>
      <c r="B47" s="77" t="n">
        <f aca="false">MAX(B37:B42)/B43</f>
        <v>0.382033898305085</v>
      </c>
      <c r="C47" s="74"/>
      <c r="D47" s="74"/>
      <c r="E47" s="74"/>
    </row>
    <row r="48" customFormat="false" ht="29.25" hidden="false" customHeight="true" outlineLevel="0" collapsed="false">
      <c r="A48" s="72" t="s">
        <v>2298</v>
      </c>
      <c r="B48" s="74" t="str">
        <f aca="false">IF(MAX(B37:B42)&gt;B44,"1차 당선","결선 투표 (상위 2인)")</f>
        <v>결선 투표 (상위 2인)</v>
      </c>
      <c r="C48" s="74"/>
      <c r="D48" s="74"/>
      <c r="E48" s="74" t="s">
        <v>2299</v>
      </c>
    </row>
    <row r="49" customFormat="false" ht="15" hidden="false" customHeight="true" outlineLevel="0" collapsed="false">
      <c r="A49" s="76" t="s">
        <v>2300</v>
      </c>
      <c r="B49" s="77" t="n">
        <f aca="false">(MAX(B37:B42)-LARGE(B37:B42,2))/B43</f>
        <v>0.0810169491525423</v>
      </c>
      <c r="C49" s="74"/>
      <c r="D49" s="74"/>
      <c r="E49" s="74"/>
    </row>
    <row r="50" customFormat="false" ht="48" hidden="false" customHeight="true" outlineLevel="0" collapsed="false">
      <c r="A50" s="58" t="s">
        <v>2301</v>
      </c>
      <c r="B50" s="58"/>
      <c r="C50" s="58"/>
      <c r="D50" s="58"/>
      <c r="E50" s="58"/>
      <c r="F50" s="58"/>
    </row>
    <row r="52" customFormat="false" ht="18" hidden="false" customHeight="true" outlineLevel="0" collapsed="false">
      <c r="A52" s="37" t="s">
        <v>2302</v>
      </c>
    </row>
    <row r="53" customFormat="false" ht="31.5" hidden="false" customHeight="true" outlineLevel="0" collapsed="false">
      <c r="A53" s="78" t="s">
        <v>2303</v>
      </c>
      <c r="B53" s="78" t="s">
        <v>2304</v>
      </c>
      <c r="C53" s="78" t="s">
        <v>2305</v>
      </c>
      <c r="D53" s="78" t="s">
        <v>2306</v>
      </c>
      <c r="E53" s="24" t="s">
        <v>2307</v>
      </c>
      <c r="F53" s="24" t="s">
        <v>2278</v>
      </c>
    </row>
    <row r="54" customFormat="false" ht="15" hidden="false" customHeight="true" outlineLevel="0" collapsed="false">
      <c r="A54" s="47" t="s">
        <v>2281</v>
      </c>
      <c r="B54" s="79" t="n">
        <f aca="false">B38</f>
        <v>35.52</v>
      </c>
      <c r="C54" s="42" t="n">
        <v>1</v>
      </c>
      <c r="D54" s="42" t="n">
        <v>0</v>
      </c>
      <c r="E54" s="80" t="n">
        <f aca="false">1-C54-D54</f>
        <v>0</v>
      </c>
      <c r="F54" s="70"/>
    </row>
    <row r="55" customFormat="false" ht="15" hidden="false" customHeight="true" outlineLevel="0" collapsed="false">
      <c r="A55" s="47" t="s">
        <v>2279</v>
      </c>
      <c r="B55" s="79" t="n">
        <f aca="false">B37</f>
        <v>45.08</v>
      </c>
      <c r="C55" s="42" t="n">
        <v>0</v>
      </c>
      <c r="D55" s="42" t="n">
        <v>1</v>
      </c>
      <c r="E55" s="80" t="n">
        <f aca="false">1-C55-D55</f>
        <v>0</v>
      </c>
      <c r="F55" s="70"/>
    </row>
    <row r="56" customFormat="false" ht="15" hidden="false" customHeight="true" outlineLevel="0" collapsed="false">
      <c r="A56" s="47" t="s">
        <v>2283</v>
      </c>
      <c r="B56" s="79" t="n">
        <f aca="false">B39</f>
        <v>29.62</v>
      </c>
      <c r="C56" s="42" t="n">
        <v>0.66</v>
      </c>
      <c r="D56" s="42" t="n">
        <v>0.165</v>
      </c>
      <c r="E56" s="80" t="n">
        <f aca="false">1-C56-D56</f>
        <v>0.175</v>
      </c>
      <c r="F56" s="70"/>
    </row>
    <row r="57" customFormat="false" ht="15" hidden="false" customHeight="true" outlineLevel="0" collapsed="false">
      <c r="A57" s="47" t="s">
        <v>2285</v>
      </c>
      <c r="B57" s="79" t="n">
        <f aca="false">B40</f>
        <v>4.37</v>
      </c>
      <c r="C57" s="42" t="n">
        <v>0.05</v>
      </c>
      <c r="D57" s="42" t="n">
        <v>0.82</v>
      </c>
      <c r="E57" s="80" t="n">
        <f aca="false">1-C57-D57</f>
        <v>0.13</v>
      </c>
      <c r="F57" s="70"/>
    </row>
    <row r="58" customFormat="false" ht="15" hidden="false" customHeight="true" outlineLevel="0" collapsed="false">
      <c r="A58" s="47" t="s">
        <v>2287</v>
      </c>
      <c r="B58" s="79" t="n">
        <f aca="false">B41</f>
        <v>2.24</v>
      </c>
      <c r="C58" s="42" t="n">
        <v>0.4</v>
      </c>
      <c r="D58" s="42" t="n">
        <v>0.38</v>
      </c>
      <c r="E58" s="80" t="n">
        <f aca="false">1-C58-D58</f>
        <v>0.22</v>
      </c>
      <c r="F58" s="70"/>
    </row>
    <row r="59" customFormat="false" ht="15" hidden="false" customHeight="true" outlineLevel="0" collapsed="false">
      <c r="A59" s="71" t="s">
        <v>2289</v>
      </c>
      <c r="B59" s="79" t="n">
        <f aca="false">B42</f>
        <v>1.17</v>
      </c>
      <c r="C59" s="42" t="n">
        <v>0.3</v>
      </c>
      <c r="D59" s="42" t="n">
        <v>0.3</v>
      </c>
      <c r="E59" s="80" t="n">
        <f aca="false">1-C59-D59</f>
        <v>0.4</v>
      </c>
      <c r="F59" s="70"/>
    </row>
    <row r="60" customFormat="false" ht="15" hidden="false" customHeight="true" outlineLevel="0" collapsed="false">
      <c r="A60" s="76" t="s">
        <v>2308</v>
      </c>
      <c r="B60" s="73" t="n">
        <f aca="false">SUMPRODUCT(B54:B59,C54:C59)</f>
        <v>56.5347</v>
      </c>
      <c r="C60" s="74"/>
      <c r="D60" s="74"/>
      <c r="E60" s="74"/>
      <c r="F60" s="74"/>
    </row>
    <row r="61" customFormat="false" ht="15" hidden="false" customHeight="true" outlineLevel="0" collapsed="false">
      <c r="A61" s="76" t="s">
        <v>2309</v>
      </c>
      <c r="B61" s="73" t="n">
        <f aca="false">SUMPRODUCT(B54:B59,D54:D59)</f>
        <v>54.7529</v>
      </c>
      <c r="C61" s="74"/>
      <c r="D61" s="74"/>
      <c r="E61" s="74"/>
      <c r="F61" s="74"/>
    </row>
    <row r="62" customFormat="false" ht="15" hidden="false" customHeight="true" outlineLevel="0" collapsed="false">
      <c r="A62" s="72" t="s">
        <v>2310</v>
      </c>
      <c r="B62" s="73" t="n">
        <f aca="false">SUMPRODUCT(B54:B59,E54:E59)</f>
        <v>6.7124</v>
      </c>
      <c r="C62" s="74"/>
      <c r="D62" s="74"/>
      <c r="E62" s="74"/>
      <c r="F62" s="74"/>
    </row>
    <row r="63" customFormat="false" ht="15" hidden="false" customHeight="true" outlineLevel="0" collapsed="false">
      <c r="A63" s="76" t="s">
        <v>2311</v>
      </c>
      <c r="B63" s="77" t="n">
        <f aca="false">B60/(B60+B61)</f>
        <v>0.508005384247661</v>
      </c>
      <c r="C63" s="74"/>
      <c r="D63" s="74"/>
      <c r="E63" s="74"/>
      <c r="F63" s="74"/>
    </row>
    <row r="64" customFormat="false" ht="15" hidden="false" customHeight="true" outlineLevel="0" collapsed="false">
      <c r="A64" s="76" t="s">
        <v>2312</v>
      </c>
      <c r="B64" s="77" t="n">
        <f aca="false">B61/(B60+B61)</f>
        <v>0.491994615752339</v>
      </c>
      <c r="C64" s="74"/>
      <c r="D64" s="74"/>
      <c r="E64" s="74"/>
      <c r="F64" s="74"/>
    </row>
    <row r="65" customFormat="false" ht="29.25" hidden="false" customHeight="true" outlineLevel="0" collapsed="false">
      <c r="A65" s="72" t="s">
        <v>2298</v>
      </c>
      <c r="B65" s="74" t="str">
        <f aca="false">IF(B60&gt;B61,"Rafael (CC) 당선","UCN 후보 당선")</f>
        <v>Rafael (CC) 당선</v>
      </c>
      <c r="C65" s="74"/>
      <c r="D65" s="74"/>
      <c r="E65" s="74"/>
      <c r="F65" s="74"/>
    </row>
    <row r="66" customFormat="false" ht="15" hidden="false" customHeight="true" outlineLevel="0" collapsed="false">
      <c r="A66" s="72" t="s">
        <v>2313</v>
      </c>
      <c r="B66" s="73" t="n">
        <f aca="false">ABS(B60-B61)</f>
        <v>1.78180000000001</v>
      </c>
      <c r="C66" s="74"/>
      <c r="D66" s="74"/>
      <c r="E66" s="74"/>
      <c r="F66" s="74"/>
    </row>
    <row r="67" customFormat="false" ht="48" hidden="false" customHeight="true" outlineLevel="0" collapsed="false">
      <c r="A67" s="58" t="s">
        <v>2314</v>
      </c>
      <c r="B67" s="58"/>
      <c r="C67" s="58"/>
      <c r="D67" s="58"/>
      <c r="E67" s="58"/>
      <c r="F67" s="58"/>
    </row>
    <row r="69" customFormat="false" ht="18" hidden="false" customHeight="true" outlineLevel="0" collapsed="false">
      <c r="A69" s="37" t="s">
        <v>2315</v>
      </c>
    </row>
    <row r="70" customFormat="false" ht="31.5" hidden="false" customHeight="true" outlineLevel="0" collapsed="false">
      <c r="A70" s="24" t="s">
        <v>2316</v>
      </c>
      <c r="B70" s="24" t="s">
        <v>2317</v>
      </c>
      <c r="C70" s="24" t="s">
        <v>2318</v>
      </c>
      <c r="D70" s="24" t="s">
        <v>2319</v>
      </c>
      <c r="E70" s="24" t="s">
        <v>2278</v>
      </c>
      <c r="F70" s="24"/>
    </row>
    <row r="71" customFormat="false" ht="15" hidden="false" customHeight="true" outlineLevel="0" collapsed="false">
      <c r="A71" s="47" t="s">
        <v>2253</v>
      </c>
      <c r="B71" s="81" t="n">
        <v>132</v>
      </c>
      <c r="C71" s="29" t="s">
        <v>2320</v>
      </c>
      <c r="D71" s="82" t="s">
        <v>2321</v>
      </c>
      <c r="E71" s="70" t="s">
        <v>2322</v>
      </c>
      <c r="F71" s="70"/>
    </row>
    <row r="72" customFormat="false" ht="15" hidden="false" customHeight="true" outlineLevel="0" collapsed="false">
      <c r="A72" s="47" t="s">
        <v>2323</v>
      </c>
      <c r="B72" s="81" t="n">
        <v>60</v>
      </c>
      <c r="C72" s="29" t="s">
        <v>2320</v>
      </c>
      <c r="D72" s="82" t="s">
        <v>2321</v>
      </c>
      <c r="E72" s="70" t="s">
        <v>2324</v>
      </c>
      <c r="F72" s="70"/>
    </row>
    <row r="73" customFormat="false" ht="15" hidden="false" customHeight="true" outlineLevel="0" collapsed="false">
      <c r="A73" s="47" t="s">
        <v>2265</v>
      </c>
      <c r="B73" s="81" t="n">
        <v>40</v>
      </c>
      <c r="C73" s="29" t="s">
        <v>2320</v>
      </c>
      <c r="D73" s="82" t="s">
        <v>2321</v>
      </c>
      <c r="E73" s="70"/>
      <c r="F73" s="70"/>
    </row>
    <row r="74" customFormat="false" ht="15" hidden="false" customHeight="true" outlineLevel="0" collapsed="false">
      <c r="A74" s="47" t="s">
        <v>2325</v>
      </c>
      <c r="B74" s="81" t="n">
        <v>90</v>
      </c>
      <c r="C74" s="29" t="s">
        <v>2326</v>
      </c>
      <c r="D74" s="82" t="s">
        <v>2327</v>
      </c>
      <c r="E74" s="70" t="s">
        <v>2328</v>
      </c>
      <c r="F74" s="70"/>
    </row>
    <row r="75" customFormat="false" ht="15" hidden="false" customHeight="true" outlineLevel="0" collapsed="false">
      <c r="A75" s="47" t="s">
        <v>2257</v>
      </c>
      <c r="B75" s="81" t="n">
        <v>98</v>
      </c>
      <c r="C75" s="29" t="s">
        <v>2326</v>
      </c>
      <c r="D75" s="82" t="s">
        <v>2327</v>
      </c>
      <c r="E75" s="70" t="s">
        <v>2329</v>
      </c>
      <c r="F75" s="70"/>
    </row>
    <row r="76" customFormat="false" ht="15" hidden="false" customHeight="true" outlineLevel="0" collapsed="false">
      <c r="A76" s="47" t="s">
        <v>2249</v>
      </c>
      <c r="B76" s="81" t="n">
        <v>48</v>
      </c>
      <c r="C76" s="29" t="s">
        <v>2326</v>
      </c>
      <c r="D76" s="82" t="s">
        <v>2327</v>
      </c>
      <c r="E76" s="70" t="s">
        <v>2330</v>
      </c>
      <c r="F76" s="70"/>
    </row>
    <row r="77" customFormat="false" ht="15" hidden="false" customHeight="true" outlineLevel="0" collapsed="false">
      <c r="A77" s="47" t="s">
        <v>2331</v>
      </c>
      <c r="B77" s="81" t="n">
        <v>25</v>
      </c>
      <c r="C77" s="29" t="s">
        <v>2326</v>
      </c>
      <c r="D77" s="82" t="s">
        <v>2327</v>
      </c>
      <c r="E77" s="70" t="s">
        <v>2332</v>
      </c>
      <c r="F77" s="70"/>
    </row>
    <row r="78" customFormat="false" ht="15" hidden="false" customHeight="true" outlineLevel="0" collapsed="false">
      <c r="A78" s="47" t="s">
        <v>2333</v>
      </c>
      <c r="B78" s="81" t="n">
        <v>20</v>
      </c>
      <c r="C78" s="29" t="s">
        <v>2334</v>
      </c>
      <c r="D78" s="82" t="s">
        <v>2335</v>
      </c>
      <c r="E78" s="70" t="s">
        <v>2336</v>
      </c>
      <c r="F78" s="70"/>
    </row>
    <row r="79" customFormat="false" ht="15" hidden="false" customHeight="true" outlineLevel="0" collapsed="false">
      <c r="A79" s="72" t="s">
        <v>2337</v>
      </c>
      <c r="B79" s="83" t="n">
        <f aca="false">SUM(B71:B78)</f>
        <v>513</v>
      </c>
      <c r="C79" s="74"/>
      <c r="D79" s="74"/>
      <c r="E79" s="74" t="str">
        <f aca="false">IF(B79=513,"513석 OK","513석과 불일치")</f>
        <v>513석 OK</v>
      </c>
      <c r="F79" s="74"/>
    </row>
    <row r="80" customFormat="false" ht="15" hidden="false" customHeight="true" outlineLevel="0" collapsed="false">
      <c r="A80" s="72" t="s">
        <v>2338</v>
      </c>
      <c r="B80" s="83" t="n">
        <f aca="false">ROUNDUP(B79*2/3,0)</f>
        <v>342</v>
      </c>
      <c r="C80" s="74"/>
      <c r="D80" s="74"/>
      <c r="E80" s="75" t="s">
        <v>2339</v>
      </c>
      <c r="F80" s="74"/>
    </row>
    <row r="81" customFormat="false" ht="15" hidden="false" customHeight="true" outlineLevel="0" collapsed="false">
      <c r="A81" s="72" t="s">
        <v>2340</v>
      </c>
      <c r="B81" s="83" t="n">
        <f aca="false">SUMIF(C71:C78,"Sim",B71:B78)</f>
        <v>232</v>
      </c>
      <c r="C81" s="74"/>
      <c r="D81" s="74"/>
      <c r="E81" s="74"/>
      <c r="F81" s="74"/>
    </row>
    <row r="82" customFormat="false" ht="15" hidden="false" customHeight="true" outlineLevel="0" collapsed="false">
      <c r="A82" s="72" t="s">
        <v>2341</v>
      </c>
      <c r="B82" s="83" t="n">
        <f aca="false">SUMIF(C71:C78,"Não",B71:B78)</f>
        <v>261</v>
      </c>
      <c r="C82" s="74"/>
      <c r="D82" s="74"/>
      <c r="E82" s="74"/>
      <c r="F82" s="74"/>
    </row>
    <row r="83" customFormat="false" ht="15" hidden="false" customHeight="true" outlineLevel="0" collapsed="false">
      <c r="A83" s="72" t="s">
        <v>2342</v>
      </c>
      <c r="B83" s="83" t="n">
        <f aca="false">SUMIF(C71:C78,"Abst",B71:B78)</f>
        <v>20</v>
      </c>
      <c r="C83" s="74"/>
      <c r="D83" s="74"/>
      <c r="E83" s="75" t="s">
        <v>2343</v>
      </c>
      <c r="F83" s="74"/>
    </row>
    <row r="84" customFormat="false" ht="15" hidden="false" customHeight="true" outlineLevel="0" collapsed="false">
      <c r="A84" s="72" t="s">
        <v>2298</v>
      </c>
      <c r="B84" s="74" t="str">
        <f aca="false">IF(B81&gt;=B80,"개시 승인 → 상원 심판","부결 → 청구 기각")</f>
        <v>부결 → 청구 기각</v>
      </c>
      <c r="C84" s="74"/>
      <c r="D84" s="74"/>
      <c r="E84" s="74"/>
      <c r="F84" s="74"/>
    </row>
    <row r="85" customFormat="false" ht="29.25" hidden="false" customHeight="true" outlineLevel="0" collapsed="false">
      <c r="A85" s="72" t="s">
        <v>2344</v>
      </c>
      <c r="B85" s="83" t="n">
        <f aca="false">B79-B80+1</f>
        <v>172</v>
      </c>
      <c r="C85" s="74"/>
      <c r="D85" s="74"/>
      <c r="E85" s="75" t="s">
        <v>2345</v>
      </c>
      <c r="F85" s="74"/>
    </row>
    <row r="86" customFormat="false" ht="15" hidden="false" customHeight="false" outlineLevel="0" collapsed="false">
      <c r="A86" s="72" t="s">
        <v>2346</v>
      </c>
      <c r="B86" s="83" t="n">
        <f aca="false">SUMIF(D71:D78,"여당",B71:B78)</f>
        <v>261</v>
      </c>
      <c r="C86" s="74"/>
      <c r="D86" s="74"/>
      <c r="E86" s="74" t="str">
        <f aca="false">IF(B86&gt;=308,"개헌(308)도 가능",IF(B86&gt;=257,"과반(257) — 개헌은 불가","과반 미달"))</f>
        <v>과반(257) — 개헌은 불가</v>
      </c>
      <c r="F86" s="74"/>
    </row>
    <row r="87" customFormat="false" ht="18" hidden="false" customHeight="true" outlineLevel="0" collapsed="false"/>
    <row r="88" customFormat="false" ht="48" hidden="false" customHeight="true" outlineLevel="0" collapsed="false">
      <c r="A88" s="58" t="s">
        <v>2347</v>
      </c>
      <c r="B88" s="58"/>
      <c r="C88" s="58"/>
      <c r="D88" s="58"/>
      <c r="E88" s="58"/>
      <c r="F88" s="58"/>
    </row>
    <row r="90" customFormat="false" ht="15" hidden="false" customHeight="false" outlineLevel="0" collapsed="false">
      <c r="A90" s="37" t="s">
        <v>2348</v>
      </c>
      <c r="B90" s="37"/>
      <c r="C90" s="37"/>
      <c r="D90" s="37"/>
      <c r="E90" s="37"/>
      <c r="F90" s="37"/>
    </row>
    <row r="91" customFormat="false" ht="45" hidden="false" customHeight="true" outlineLevel="0" collapsed="false">
      <c r="A91" s="36" t="s">
        <v>2349</v>
      </c>
      <c r="B91" s="36"/>
      <c r="C91" s="36"/>
      <c r="D91" s="36"/>
      <c r="E91" s="36"/>
      <c r="F91" s="36"/>
    </row>
  </sheetData>
  <mergeCells count="4">
    <mergeCell ref="A50:F50"/>
    <mergeCell ref="A67:F67"/>
    <mergeCell ref="A88:F88"/>
    <mergeCell ref="A91:F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5" min="5" style="1" width="52"/>
  </cols>
  <sheetData>
    <row r="1" customFormat="false" ht="24" hidden="false" customHeight="true" outlineLevel="0" collapsed="false">
      <c r="A1" s="22" t="s">
        <v>2350</v>
      </c>
    </row>
    <row r="2" customFormat="false" ht="15" hidden="false" customHeight="true" outlineLevel="0" collapsed="false">
      <c r="A2" s="21" t="s">
        <v>2351</v>
      </c>
    </row>
    <row r="4" customFormat="false" ht="19.5" hidden="false" customHeight="true" outlineLevel="0" collapsed="false">
      <c r="A4" s="24" t="s">
        <v>2352</v>
      </c>
      <c r="B4" s="23" t="s">
        <v>2353</v>
      </c>
      <c r="C4" s="23" t="s">
        <v>2354</v>
      </c>
      <c r="D4" s="23" t="s">
        <v>2355</v>
      </c>
      <c r="E4" s="24" t="s">
        <v>2278</v>
      </c>
    </row>
    <row r="5" customFormat="false" ht="29.25" hidden="false" customHeight="true" outlineLevel="0" collapsed="false">
      <c r="A5" s="6" t="s">
        <v>2356</v>
      </c>
      <c r="B5" s="8" t="s">
        <v>2357</v>
      </c>
      <c r="C5" s="8" t="s">
        <v>2358</v>
      </c>
      <c r="D5" s="8" t="s">
        <v>2357</v>
      </c>
      <c r="E5" s="8" t="s">
        <v>2359</v>
      </c>
    </row>
    <row r="6" customFormat="false" ht="16.5" hidden="false" customHeight="true" outlineLevel="0" collapsed="false">
      <c r="A6" s="6" t="s">
        <v>2360</v>
      </c>
      <c r="B6" s="8" t="s">
        <v>2357</v>
      </c>
      <c r="C6" s="8" t="s">
        <v>2361</v>
      </c>
      <c r="D6" s="8" t="s">
        <v>2357</v>
      </c>
      <c r="E6" s="8"/>
    </row>
    <row r="7" customFormat="false" ht="42" hidden="false" customHeight="true" outlineLevel="0" collapsed="false">
      <c r="A7" s="11" t="s">
        <v>2362</v>
      </c>
      <c r="B7" s="8" t="s">
        <v>2363</v>
      </c>
      <c r="C7" s="8" t="s">
        <v>2364</v>
      </c>
      <c r="D7" s="8" t="s">
        <v>2365</v>
      </c>
      <c r="E7" s="8" t="s">
        <v>2366</v>
      </c>
    </row>
    <row r="8" customFormat="false" ht="54.75" hidden="false" customHeight="true" outlineLevel="0" collapsed="false">
      <c r="A8" s="11" t="s">
        <v>2367</v>
      </c>
      <c r="B8" s="8" t="s">
        <v>2368</v>
      </c>
      <c r="C8" s="8" t="s">
        <v>2368</v>
      </c>
      <c r="D8" s="8" t="s">
        <v>2369</v>
      </c>
      <c r="E8" s="8" t="s">
        <v>2370</v>
      </c>
    </row>
    <row r="9" customFormat="false" ht="16.5" hidden="false" customHeight="true" outlineLevel="0" collapsed="false">
      <c r="A9" s="11" t="s">
        <v>2371</v>
      </c>
      <c r="B9" s="8" t="s">
        <v>2368</v>
      </c>
      <c r="C9" s="9" t="s">
        <v>2372</v>
      </c>
      <c r="D9" s="8" t="s">
        <v>2373</v>
      </c>
      <c r="E9" s="8"/>
    </row>
    <row r="10" customFormat="false" ht="16.5" hidden="false" customHeight="true" outlineLevel="0" collapsed="false">
      <c r="A10" s="11" t="s">
        <v>2374</v>
      </c>
      <c r="B10" s="8" t="s">
        <v>2375</v>
      </c>
      <c r="C10" s="9" t="s">
        <v>2372</v>
      </c>
      <c r="D10" s="8" t="s">
        <v>2357</v>
      </c>
      <c r="E10" s="9" t="s">
        <v>2376</v>
      </c>
    </row>
    <row r="11" customFormat="false" ht="29.25" hidden="false" customHeight="true" outlineLevel="0" collapsed="false">
      <c r="A11" s="11" t="s">
        <v>2377</v>
      </c>
      <c r="B11" s="8" t="s">
        <v>2378</v>
      </c>
      <c r="C11" s="8" t="s">
        <v>2379</v>
      </c>
      <c r="D11" s="8" t="s">
        <v>2379</v>
      </c>
      <c r="E11" s="9" t="s">
        <v>2380</v>
      </c>
    </row>
    <row r="12" customFormat="false" ht="16.5" hidden="false" customHeight="true" outlineLevel="0" collapsed="false">
      <c r="A12" s="11" t="s">
        <v>2381</v>
      </c>
      <c r="B12" s="8" t="s">
        <v>2363</v>
      </c>
      <c r="C12" s="8" t="s">
        <v>2363</v>
      </c>
      <c r="D12" s="9" t="s">
        <v>2382</v>
      </c>
      <c r="E12" s="8"/>
    </row>
    <row r="13" customFormat="false" ht="16.5" hidden="false" customHeight="true" outlineLevel="0" collapsed="false">
      <c r="A13" s="11" t="s">
        <v>2383</v>
      </c>
      <c r="B13" s="8" t="s">
        <v>2384</v>
      </c>
      <c r="C13" s="8" t="s">
        <v>2385</v>
      </c>
      <c r="D13" s="9" t="s">
        <v>2386</v>
      </c>
      <c r="E13" s="8"/>
    </row>
    <row r="14" customFormat="false" ht="16.5" hidden="false" customHeight="true" outlineLevel="0" collapsed="false">
      <c r="A14" s="11" t="s">
        <v>2387</v>
      </c>
      <c r="B14" s="8" t="s">
        <v>2357</v>
      </c>
      <c r="C14" s="8" t="s">
        <v>2357</v>
      </c>
      <c r="D14" s="8" t="s">
        <v>2357</v>
      </c>
      <c r="E14" s="9" t="s">
        <v>2388</v>
      </c>
    </row>
    <row r="15" customFormat="false" ht="16.5" hidden="false" customHeight="true" outlineLevel="0" collapsed="false">
      <c r="A15" s="11" t="s">
        <v>2389</v>
      </c>
      <c r="B15" s="8" t="s">
        <v>2357</v>
      </c>
      <c r="C15" s="8" t="s">
        <v>2357</v>
      </c>
      <c r="D15" s="8" t="s">
        <v>2357</v>
      </c>
      <c r="E15" s="8" t="s">
        <v>2390</v>
      </c>
    </row>
    <row r="16" customFormat="false" ht="16.5" hidden="false" customHeight="true" outlineLevel="0" collapsed="false">
      <c r="A16" s="11" t="s">
        <v>2391</v>
      </c>
      <c r="B16" s="8" t="s">
        <v>2392</v>
      </c>
      <c r="C16" s="8" t="s">
        <v>2363</v>
      </c>
      <c r="D16" s="9" t="s">
        <v>2393</v>
      </c>
      <c r="E16" s="8"/>
    </row>
    <row r="17" customFormat="false" ht="16.5" hidden="false" customHeight="true" outlineLevel="0" collapsed="false">
      <c r="A17" s="6" t="s">
        <v>2394</v>
      </c>
      <c r="B17" s="8" t="s">
        <v>2395</v>
      </c>
      <c r="C17" s="8" t="s">
        <v>2395</v>
      </c>
      <c r="D17" s="8" t="s">
        <v>2395</v>
      </c>
      <c r="E17" s="9" t="s">
        <v>2396</v>
      </c>
    </row>
    <row r="18" customFormat="false" ht="29.25" hidden="false" customHeight="true" outlineLevel="0" collapsed="false">
      <c r="A18" s="6" t="s">
        <v>2397</v>
      </c>
      <c r="B18" s="8" t="s">
        <v>288</v>
      </c>
      <c r="C18" s="8" t="s">
        <v>288</v>
      </c>
      <c r="D18" s="8" t="s">
        <v>2398</v>
      </c>
      <c r="E18" s="8" t="s">
        <v>2399</v>
      </c>
    </row>
    <row r="19" customFormat="false" ht="42" hidden="false" customHeight="true" outlineLevel="0" collapsed="false">
      <c r="A19" s="6" t="s">
        <v>2400</v>
      </c>
      <c r="B19" s="8" t="s">
        <v>288</v>
      </c>
      <c r="C19" s="8" t="s">
        <v>288</v>
      </c>
      <c r="D19" s="8" t="s">
        <v>2401</v>
      </c>
      <c r="E19" s="9" t="s">
        <v>2402</v>
      </c>
    </row>
    <row r="20" customFormat="false" ht="29.25" hidden="false" customHeight="true" outlineLevel="0" collapsed="false">
      <c r="A20" s="6" t="s">
        <v>2403</v>
      </c>
      <c r="B20" s="8" t="s">
        <v>288</v>
      </c>
      <c r="C20" s="8" t="s">
        <v>288</v>
      </c>
      <c r="D20" s="8" t="s">
        <v>2404</v>
      </c>
      <c r="E20" s="9" t="s">
        <v>2405</v>
      </c>
    </row>
    <row r="21" customFormat="false" ht="29.25" hidden="false" customHeight="true" outlineLevel="0" collapsed="false">
      <c r="A21" s="6" t="s">
        <v>2406</v>
      </c>
      <c r="B21" s="8" t="s">
        <v>288</v>
      </c>
      <c r="C21" s="8" t="s">
        <v>288</v>
      </c>
      <c r="D21" s="8" t="s">
        <v>2407</v>
      </c>
      <c r="E21" s="17" t="s">
        <v>2408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6"/>
    <col collapsed="false" customWidth="true" hidden="false" outlineLevel="0" max="3" min="3" style="1" width="32"/>
    <col collapsed="false" customWidth="true" hidden="false" outlineLevel="0" max="4" min="4" style="1" width="34"/>
    <col collapsed="false" customWidth="true" hidden="false" outlineLevel="0" max="5" min="5" style="1" width="48"/>
  </cols>
  <sheetData>
    <row r="1" customFormat="false" ht="24" hidden="false" customHeight="true" outlineLevel="0" collapsed="false">
      <c r="A1" s="2" t="s">
        <v>2409</v>
      </c>
    </row>
    <row r="2" customFormat="false" ht="15" hidden="false" customHeight="true" outlineLevel="0" collapsed="false">
      <c r="A2" s="21" t="s">
        <v>2410</v>
      </c>
    </row>
    <row r="4" customFormat="false" ht="18" hidden="false" customHeight="true" outlineLevel="0" collapsed="false">
      <c r="A4" s="37" t="s">
        <v>2411</v>
      </c>
      <c r="B4" s="5"/>
      <c r="C4" s="5"/>
      <c r="D4" s="5"/>
      <c r="E4" s="5"/>
    </row>
    <row r="5" customFormat="false" ht="19.5" hidden="false" customHeight="true" outlineLevel="0" collapsed="false">
      <c r="A5" s="24" t="s">
        <v>2412</v>
      </c>
      <c r="B5" s="24" t="s">
        <v>2413</v>
      </c>
      <c r="C5" s="24" t="s">
        <v>2247</v>
      </c>
      <c r="D5" s="24" t="s">
        <v>2414</v>
      </c>
      <c r="E5" s="24" t="s">
        <v>2415</v>
      </c>
    </row>
    <row r="6" customFormat="false" ht="42" hidden="false" customHeight="true" outlineLevel="0" collapsed="false">
      <c r="A6" s="11" t="s">
        <v>2416</v>
      </c>
      <c r="B6" s="8" t="s">
        <v>2417</v>
      </c>
      <c r="C6" s="9" t="s">
        <v>2418</v>
      </c>
      <c r="D6" s="8" t="s">
        <v>2419</v>
      </c>
      <c r="E6" s="9" t="s">
        <v>2420</v>
      </c>
    </row>
    <row r="7" customFormat="false" ht="42" hidden="false" customHeight="true" outlineLevel="0" collapsed="false">
      <c r="A7" s="11" t="s">
        <v>2421</v>
      </c>
      <c r="B7" s="8" t="s">
        <v>2422</v>
      </c>
      <c r="C7" s="9" t="s">
        <v>2423</v>
      </c>
      <c r="D7" s="8" t="s">
        <v>2424</v>
      </c>
      <c r="E7" s="9" t="s">
        <v>2425</v>
      </c>
    </row>
    <row r="8" customFormat="false" ht="29.25" hidden="false" customHeight="true" outlineLevel="0" collapsed="false">
      <c r="A8" s="6" t="s">
        <v>2426</v>
      </c>
      <c r="B8" s="8" t="s">
        <v>2427</v>
      </c>
      <c r="C8" s="9" t="s">
        <v>2428</v>
      </c>
      <c r="D8" s="8" t="s">
        <v>2429</v>
      </c>
      <c r="E8" s="9" t="s">
        <v>2430</v>
      </c>
    </row>
    <row r="10" customFormat="false" ht="18" hidden="false" customHeight="true" outlineLevel="0" collapsed="false">
      <c r="A10" s="37" t="s">
        <v>2431</v>
      </c>
      <c r="B10" s="5"/>
      <c r="C10" s="5"/>
      <c r="D10" s="5"/>
      <c r="E10" s="5"/>
    </row>
    <row r="11" customFormat="false" ht="19.5" hidden="false" customHeight="true" outlineLevel="0" collapsed="false">
      <c r="A11" s="24" t="s">
        <v>2168</v>
      </c>
      <c r="B11" s="24" t="s">
        <v>2432</v>
      </c>
      <c r="C11" s="24" t="s">
        <v>386</v>
      </c>
      <c r="D11" s="24" t="s">
        <v>2433</v>
      </c>
      <c r="E11" s="24" t="s">
        <v>2434</v>
      </c>
    </row>
    <row r="12" customFormat="false" ht="16.5" hidden="false" customHeight="true" outlineLevel="0" collapsed="false">
      <c r="A12" s="11" t="s">
        <v>2435</v>
      </c>
      <c r="B12" s="8" t="s">
        <v>2436</v>
      </c>
      <c r="C12" s="9" t="s">
        <v>2437</v>
      </c>
      <c r="D12" s="9" t="s">
        <v>2438</v>
      </c>
      <c r="E12" s="9" t="s">
        <v>2439</v>
      </c>
    </row>
    <row r="13" customFormat="false" ht="29.25" hidden="false" customHeight="true" outlineLevel="0" collapsed="false">
      <c r="A13" s="11" t="s">
        <v>2440</v>
      </c>
      <c r="B13" s="8" t="s">
        <v>2441</v>
      </c>
      <c r="C13" s="9" t="s">
        <v>2442</v>
      </c>
      <c r="D13" s="9" t="s">
        <v>2443</v>
      </c>
      <c r="E13" s="8" t="s">
        <v>2444</v>
      </c>
    </row>
    <row r="14" customFormat="false" ht="16.5" hidden="false" customHeight="true" outlineLevel="0" collapsed="false">
      <c r="A14" s="11" t="s">
        <v>2445</v>
      </c>
      <c r="B14" s="8" t="s">
        <v>2446</v>
      </c>
      <c r="C14" s="9" t="s">
        <v>2447</v>
      </c>
      <c r="D14" s="9" t="s">
        <v>2448</v>
      </c>
      <c r="E14" s="8" t="s">
        <v>2449</v>
      </c>
    </row>
    <row r="16" customFormat="false" ht="18" hidden="false" customHeight="true" outlineLevel="0" collapsed="false">
      <c r="A16" s="37" t="s">
        <v>2450</v>
      </c>
      <c r="B16" s="5"/>
      <c r="C16" s="5"/>
      <c r="D16" s="5"/>
      <c r="E16" s="5"/>
    </row>
    <row r="17" customFormat="false" ht="19.5" hidden="false" customHeight="true" outlineLevel="0" collapsed="false">
      <c r="A17" s="24" t="s">
        <v>317</v>
      </c>
      <c r="B17" s="24" t="s">
        <v>2451</v>
      </c>
      <c r="C17" s="24" t="s">
        <v>386</v>
      </c>
      <c r="D17" s="24" t="s">
        <v>2452</v>
      </c>
      <c r="E17" s="24" t="s">
        <v>2278</v>
      </c>
    </row>
    <row r="18" customFormat="false" ht="16.5" hidden="false" customHeight="true" outlineLevel="0" collapsed="false">
      <c r="A18" s="11" t="s">
        <v>120</v>
      </c>
      <c r="B18" s="8" t="s">
        <v>2453</v>
      </c>
      <c r="C18" s="9" t="s">
        <v>2454</v>
      </c>
      <c r="D18" s="8" t="s">
        <v>288</v>
      </c>
      <c r="E18" s="8" t="s">
        <v>2455</v>
      </c>
    </row>
    <row r="19" customFormat="false" ht="29.25" hidden="false" customHeight="true" outlineLevel="0" collapsed="false">
      <c r="A19" s="11" t="s">
        <v>213</v>
      </c>
      <c r="B19" s="8" t="s">
        <v>2456</v>
      </c>
      <c r="C19" s="9" t="s">
        <v>2457</v>
      </c>
      <c r="D19" s="9" t="s">
        <v>2458</v>
      </c>
      <c r="E19" s="9" t="s">
        <v>2459</v>
      </c>
    </row>
    <row r="20" customFormat="false" ht="29.25" hidden="false" customHeight="true" outlineLevel="0" collapsed="false">
      <c r="A20" s="11" t="s">
        <v>179</v>
      </c>
      <c r="B20" s="8" t="s">
        <v>2460</v>
      </c>
      <c r="C20" s="9" t="s">
        <v>2461</v>
      </c>
      <c r="D20" s="8" t="s">
        <v>2462</v>
      </c>
      <c r="E20" s="8"/>
    </row>
    <row r="21" customFormat="false" ht="29.25" hidden="false" customHeight="true" outlineLevel="0" collapsed="false">
      <c r="A21" s="11" t="s">
        <v>201</v>
      </c>
      <c r="B21" s="8" t="s">
        <v>2463</v>
      </c>
      <c r="C21" s="9" t="s">
        <v>2464</v>
      </c>
      <c r="D21" s="9" t="s">
        <v>2465</v>
      </c>
      <c r="E21" s="9" t="s">
        <v>2466</v>
      </c>
    </row>
    <row r="23" customFormat="false" ht="18" hidden="false" customHeight="true" outlineLevel="0" collapsed="false">
      <c r="A23" s="37" t="s">
        <v>2467</v>
      </c>
      <c r="B23" s="5"/>
      <c r="C23" s="5"/>
      <c r="D23" s="5"/>
      <c r="E23" s="5"/>
    </row>
    <row r="24" customFormat="false" ht="19.5" hidden="false" customHeight="true" outlineLevel="0" collapsed="false">
      <c r="A24" s="24" t="s">
        <v>317</v>
      </c>
      <c r="B24" s="24" t="s">
        <v>2468</v>
      </c>
      <c r="C24" s="24" t="s">
        <v>2469</v>
      </c>
      <c r="D24" s="24" t="s">
        <v>2470</v>
      </c>
      <c r="E24" s="24" t="s">
        <v>2278</v>
      </c>
    </row>
    <row r="25" customFormat="false" ht="29.25" hidden="false" customHeight="true" outlineLevel="0" collapsed="false">
      <c r="A25" s="11" t="s">
        <v>155</v>
      </c>
      <c r="B25" s="8" t="s">
        <v>2471</v>
      </c>
      <c r="C25" s="9" t="s">
        <v>2472</v>
      </c>
      <c r="D25" s="8" t="s">
        <v>2473</v>
      </c>
      <c r="E25" s="8" t="s">
        <v>2474</v>
      </c>
    </row>
    <row r="26" customFormat="false" ht="29.25" hidden="false" customHeight="true" outlineLevel="0" collapsed="false">
      <c r="A26" s="11" t="s">
        <v>179</v>
      </c>
      <c r="B26" s="8" t="s">
        <v>2475</v>
      </c>
      <c r="C26" s="9" t="s">
        <v>2476</v>
      </c>
      <c r="D26" s="8" t="s">
        <v>2477</v>
      </c>
      <c r="E26" s="8" t="s">
        <v>2478</v>
      </c>
    </row>
    <row r="27" customFormat="false" ht="16.5" hidden="false" customHeight="true" outlineLevel="0" collapsed="false">
      <c r="A27" s="11" t="s">
        <v>224</v>
      </c>
      <c r="B27" s="8" t="s">
        <v>2479</v>
      </c>
      <c r="C27" s="9" t="s">
        <v>2480</v>
      </c>
      <c r="D27" s="8" t="s">
        <v>2481</v>
      </c>
      <c r="E27" s="8" t="s">
        <v>2482</v>
      </c>
    </row>
    <row r="28" customFormat="false" ht="16.5" hidden="false" customHeight="true" outlineLevel="0" collapsed="false">
      <c r="A28" s="11" t="s">
        <v>213</v>
      </c>
      <c r="B28" s="8" t="s">
        <v>2483</v>
      </c>
      <c r="C28" s="9" t="s">
        <v>2484</v>
      </c>
      <c r="D28" s="8" t="s">
        <v>2477</v>
      </c>
      <c r="E28" s="8"/>
    </row>
    <row r="29" customFormat="false" ht="16.5" hidden="false" customHeight="true" outlineLevel="0" collapsed="false">
      <c r="A29" s="11" t="s">
        <v>201</v>
      </c>
      <c r="B29" s="9" t="s">
        <v>2485</v>
      </c>
      <c r="C29" s="9" t="s">
        <v>2486</v>
      </c>
      <c r="D29" s="8" t="s">
        <v>288</v>
      </c>
      <c r="E29" s="8" t="s">
        <v>2487</v>
      </c>
    </row>
    <row r="31" customFormat="false" ht="18" hidden="false" customHeight="true" outlineLevel="0" collapsed="false">
      <c r="A31" s="37" t="s">
        <v>2488</v>
      </c>
      <c r="B31" s="5"/>
      <c r="C31" s="5"/>
      <c r="D31" s="5"/>
      <c r="E31" s="5"/>
    </row>
    <row r="32" customFormat="false" ht="29.25" hidden="false" customHeight="true" outlineLevel="0" collapsed="false">
      <c r="A32" s="36" t="s">
        <v>2489</v>
      </c>
      <c r="B32" s="36"/>
      <c r="C32" s="36"/>
      <c r="D32" s="36"/>
      <c r="E32" s="36"/>
    </row>
    <row r="33" customFormat="false" ht="16.5" hidden="false" customHeight="true" outlineLevel="0" collapsed="false">
      <c r="A33" s="36" t="s">
        <v>2490</v>
      </c>
      <c r="B33" s="36"/>
      <c r="C33" s="36"/>
      <c r="D33" s="36"/>
      <c r="E33" s="36"/>
    </row>
    <row r="34" customFormat="false" ht="16.5" hidden="false" customHeight="true" outlineLevel="0" collapsed="false">
      <c r="A34" s="36" t="s">
        <v>2491</v>
      </c>
      <c r="B34" s="36"/>
      <c r="C34" s="36"/>
      <c r="D34" s="36"/>
      <c r="E34" s="36"/>
    </row>
    <row r="35" customFormat="false" ht="16.5" hidden="false" customHeight="true" outlineLevel="0" collapsed="false">
      <c r="A35" s="36" t="s">
        <v>2492</v>
      </c>
      <c r="B35" s="36"/>
      <c r="C35" s="36"/>
      <c r="D35" s="36"/>
      <c r="E35" s="36"/>
    </row>
  </sheetData>
  <mergeCells count="4"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6"/>
    <col collapsed="false" customWidth="true" hidden="false" outlineLevel="0" max="3" min="3" style="1" width="38"/>
    <col collapsed="false" customWidth="true" hidden="false" outlineLevel="0" max="4" min="4" style="1" width="40"/>
    <col collapsed="false" customWidth="true" hidden="false" outlineLevel="0" max="5" min="5" style="1" width="34"/>
  </cols>
  <sheetData>
    <row r="1" customFormat="false" ht="24" hidden="false" customHeight="true" outlineLevel="0" collapsed="false">
      <c r="A1" s="2" t="s">
        <v>2493</v>
      </c>
    </row>
    <row r="2" customFormat="false" ht="15" hidden="false" customHeight="true" outlineLevel="0" collapsed="false">
      <c r="A2" s="3" t="s">
        <v>2494</v>
      </c>
    </row>
    <row r="4" customFormat="false" ht="18" hidden="false" customHeight="true" outlineLevel="0" collapsed="false">
      <c r="A4" s="37" t="s">
        <v>310</v>
      </c>
      <c r="B4" s="5"/>
      <c r="C4" s="5"/>
      <c r="D4" s="5"/>
      <c r="E4" s="5"/>
    </row>
    <row r="5" customFormat="false" ht="19.5" hidden="false" customHeight="true" outlineLevel="0" collapsed="false">
      <c r="A5" s="24" t="s">
        <v>1869</v>
      </c>
      <c r="B5" s="24" t="s">
        <v>2495</v>
      </c>
      <c r="C5" s="24"/>
      <c r="D5" s="24"/>
      <c r="E5" s="24"/>
    </row>
    <row r="6" customFormat="false" ht="29.25" hidden="false" customHeight="true" outlineLevel="0" collapsed="false">
      <c r="A6" s="6" t="s">
        <v>2496</v>
      </c>
      <c r="B6" s="8" t="str">
        <f aca="false">"1부 "&amp;INDEX(캐릭터!$E$5:$E$18,MATCH("Dom Pedro",캐릭터!$D$5:$D$18,0))&amp;"세 → 11부 약 "&amp;INDEX(캐릭터!$F$5:$F$18,MATCH("Dom Pedro",캐릭터!$D$5:$D$18,0))&amp;"세 (경과 연수 가정 "&amp;개요!$C$11&amp;"년)"</f>
        <v>1부 65세 → 11부 약 71세 (경과 연수 가정 6년)</v>
      </c>
      <c r="C6" s="8"/>
      <c r="D6" s="8"/>
      <c r="E6" s="8"/>
    </row>
    <row r="7" customFormat="false" ht="16.5" hidden="false" customHeight="true" outlineLevel="0" collapsed="false">
      <c r="A7" s="6" t="s">
        <v>2247</v>
      </c>
      <c r="B7" s="9" t="s">
        <v>2497</v>
      </c>
      <c r="C7" s="9"/>
      <c r="D7" s="9"/>
      <c r="E7" s="9"/>
    </row>
    <row r="8" customFormat="false" ht="29.25" hidden="false" customHeight="true" outlineLevel="0" collapsed="false">
      <c r="A8" s="6" t="s">
        <v>2498</v>
      </c>
      <c r="B8" s="9" t="s">
        <v>2499</v>
      </c>
      <c r="C8" s="9"/>
      <c r="D8" s="9"/>
      <c r="E8" s="9"/>
    </row>
    <row r="9" customFormat="false" ht="29.25" hidden="false" customHeight="true" outlineLevel="0" collapsed="false">
      <c r="A9" s="6" t="s">
        <v>2500</v>
      </c>
      <c r="B9" s="9" t="s">
        <v>2501</v>
      </c>
      <c r="C9" s="9"/>
      <c r="D9" s="9"/>
      <c r="E9" s="9"/>
    </row>
    <row r="10" customFormat="false" ht="16.5" hidden="false" customHeight="true" outlineLevel="0" collapsed="false">
      <c r="A10" s="6" t="s">
        <v>2502</v>
      </c>
      <c r="B10" s="9" t="s">
        <v>2503</v>
      </c>
      <c r="C10" s="9"/>
      <c r="D10" s="9"/>
      <c r="E10" s="9"/>
    </row>
    <row r="11" customFormat="false" ht="16.5" hidden="false" customHeight="true" outlineLevel="0" collapsed="false">
      <c r="A11" s="6" t="s">
        <v>2504</v>
      </c>
      <c r="B11" s="9" t="s">
        <v>2505</v>
      </c>
      <c r="C11" s="9"/>
      <c r="D11" s="9"/>
      <c r="E11" s="9"/>
    </row>
    <row r="12" customFormat="false" ht="29.25" hidden="false" customHeight="true" outlineLevel="0" collapsed="false">
      <c r="A12" s="11" t="s">
        <v>2506</v>
      </c>
      <c r="B12" s="9" t="s">
        <v>2507</v>
      </c>
      <c r="C12" s="9"/>
      <c r="D12" s="9"/>
      <c r="E12" s="9"/>
    </row>
    <row r="13" customFormat="false" ht="16.5" hidden="false" customHeight="true" outlineLevel="0" collapsed="false">
      <c r="A13" s="6" t="s">
        <v>2508</v>
      </c>
      <c r="B13" s="8" t="s">
        <v>2509</v>
      </c>
      <c r="C13" s="8"/>
      <c r="D13" s="8"/>
      <c r="E13" s="8"/>
    </row>
    <row r="14" customFormat="false" ht="16.5" hidden="false" customHeight="true" outlineLevel="0" collapsed="false">
      <c r="A14" s="6" t="s">
        <v>2510</v>
      </c>
      <c r="B14" s="9" t="s">
        <v>2511</v>
      </c>
      <c r="C14" s="9"/>
      <c r="D14" s="9"/>
      <c r="E14" s="9"/>
    </row>
    <row r="15" customFormat="false" ht="16.5" hidden="false" customHeight="true" outlineLevel="0" collapsed="false">
      <c r="A15" s="6" t="s">
        <v>2512</v>
      </c>
      <c r="B15" s="8" t="s">
        <v>2513</v>
      </c>
      <c r="C15" s="8"/>
      <c r="D15" s="8"/>
      <c r="E15" s="8"/>
    </row>
    <row r="17" customFormat="false" ht="18" hidden="false" customHeight="true" outlineLevel="0" collapsed="false">
      <c r="A17" s="37" t="s">
        <v>2514</v>
      </c>
      <c r="B17" s="5"/>
      <c r="C17" s="5"/>
      <c r="D17" s="5"/>
      <c r="E17" s="5"/>
    </row>
    <row r="18" customFormat="false" ht="19.5" hidden="false" customHeight="true" outlineLevel="0" collapsed="false">
      <c r="A18" s="24" t="s">
        <v>2169</v>
      </c>
      <c r="B18" s="24" t="s">
        <v>1566</v>
      </c>
      <c r="C18" s="24" t="s">
        <v>2515</v>
      </c>
      <c r="D18" s="24" t="s">
        <v>2516</v>
      </c>
      <c r="E18" s="24" t="s">
        <v>2517</v>
      </c>
    </row>
    <row r="19" customFormat="false" ht="42" hidden="false" customHeight="true" outlineLevel="0" collapsed="false">
      <c r="A19" s="11" t="s">
        <v>2518</v>
      </c>
      <c r="B19" s="8" t="s">
        <v>2519</v>
      </c>
      <c r="C19" s="9" t="s">
        <v>2520</v>
      </c>
      <c r="D19" s="8" t="s">
        <v>2521</v>
      </c>
      <c r="E19" s="8" t="s">
        <v>2522</v>
      </c>
    </row>
    <row r="20" customFormat="false" ht="29.25" hidden="false" customHeight="true" outlineLevel="0" collapsed="false">
      <c r="A20" s="11" t="s">
        <v>2523</v>
      </c>
      <c r="B20" s="9" t="s">
        <v>2524</v>
      </c>
      <c r="C20" s="8" t="s">
        <v>2525</v>
      </c>
      <c r="D20" s="8" t="s">
        <v>2526</v>
      </c>
      <c r="E20" s="8" t="s">
        <v>2527</v>
      </c>
    </row>
    <row r="21" customFormat="false" ht="29.25" hidden="false" customHeight="true" outlineLevel="0" collapsed="false">
      <c r="A21" s="11" t="s">
        <v>348</v>
      </c>
      <c r="B21" s="8" t="s">
        <v>2528</v>
      </c>
      <c r="C21" s="9" t="s">
        <v>2529</v>
      </c>
      <c r="D21" s="8" t="s">
        <v>2530</v>
      </c>
      <c r="E21" s="8" t="s">
        <v>2531</v>
      </c>
    </row>
    <row r="22" customFormat="false" ht="29.25" hidden="false" customHeight="true" outlineLevel="0" collapsed="false">
      <c r="A22" s="11" t="s">
        <v>350</v>
      </c>
      <c r="B22" s="8" t="s">
        <v>2532</v>
      </c>
      <c r="C22" s="9" t="s">
        <v>2533</v>
      </c>
      <c r="D22" s="8" t="s">
        <v>2534</v>
      </c>
      <c r="E22" s="8" t="s">
        <v>2535</v>
      </c>
    </row>
    <row r="23" customFormat="false" ht="42" hidden="false" customHeight="true" outlineLevel="0" collapsed="false">
      <c r="A23" s="11" t="s">
        <v>2536</v>
      </c>
      <c r="B23" s="9" t="s">
        <v>2537</v>
      </c>
      <c r="C23" s="8" t="s">
        <v>2538</v>
      </c>
      <c r="D23" s="8" t="s">
        <v>2539</v>
      </c>
      <c r="E23" s="8" t="s">
        <v>2540</v>
      </c>
    </row>
    <row r="24" customFormat="false" ht="80.25" hidden="false" customHeight="true" outlineLevel="0" collapsed="false">
      <c r="A24" s="11" t="s">
        <v>2541</v>
      </c>
      <c r="B24" s="9" t="s">
        <v>2542</v>
      </c>
      <c r="C24" s="9" t="s">
        <v>2543</v>
      </c>
      <c r="D24" s="8" t="s">
        <v>2544</v>
      </c>
      <c r="E24" s="8" t="s">
        <v>2545</v>
      </c>
    </row>
    <row r="25" customFormat="false" ht="29.25" hidden="false" customHeight="true" outlineLevel="0" collapsed="false">
      <c r="A25" s="11" t="s">
        <v>2546</v>
      </c>
      <c r="B25" s="9" t="s">
        <v>2547</v>
      </c>
      <c r="C25" s="8" t="s">
        <v>2548</v>
      </c>
      <c r="D25" s="8" t="s">
        <v>2549</v>
      </c>
      <c r="E25" s="8" t="s">
        <v>2550</v>
      </c>
    </row>
    <row r="26" customFormat="false" ht="29.25" hidden="false" customHeight="true" outlineLevel="0" collapsed="false">
      <c r="A26" s="11" t="s">
        <v>2551</v>
      </c>
      <c r="B26" s="9" t="s">
        <v>2552</v>
      </c>
      <c r="C26" s="9" t="s">
        <v>2553</v>
      </c>
      <c r="D26" s="8" t="s">
        <v>2554</v>
      </c>
      <c r="E26" s="8" t="s">
        <v>2555</v>
      </c>
    </row>
    <row r="27" customFormat="false" ht="42" hidden="false" customHeight="true" outlineLevel="0" collapsed="false">
      <c r="A27" s="11" t="s">
        <v>2556</v>
      </c>
      <c r="B27" s="9" t="s">
        <v>2557</v>
      </c>
      <c r="C27" s="9" t="s">
        <v>2558</v>
      </c>
      <c r="D27" s="8" t="s">
        <v>2559</v>
      </c>
      <c r="E27" s="8" t="s">
        <v>2560</v>
      </c>
    </row>
    <row r="28" customFormat="false" ht="42" hidden="false" customHeight="true" outlineLevel="0" collapsed="false">
      <c r="A28" s="11" t="s">
        <v>2561</v>
      </c>
      <c r="B28" s="9" t="s">
        <v>2562</v>
      </c>
      <c r="C28" s="9" t="s">
        <v>2563</v>
      </c>
      <c r="D28" s="8" t="s">
        <v>2564</v>
      </c>
      <c r="E28" s="8" t="s">
        <v>1425</v>
      </c>
    </row>
    <row r="29" customFormat="false" ht="29.25" hidden="false" customHeight="true" outlineLevel="0" collapsed="false">
      <c r="A29" s="11" t="s">
        <v>2565</v>
      </c>
      <c r="B29" s="9" t="s">
        <v>2566</v>
      </c>
      <c r="C29" s="8" t="s">
        <v>2567</v>
      </c>
      <c r="D29" s="8" t="s">
        <v>2568</v>
      </c>
      <c r="E29" s="8" t="s">
        <v>2569</v>
      </c>
    </row>
    <row r="30" customFormat="false" ht="42" hidden="false" customHeight="true" outlineLevel="0" collapsed="false">
      <c r="A30" s="11" t="s">
        <v>2570</v>
      </c>
      <c r="B30" s="8" t="s">
        <v>2571</v>
      </c>
      <c r="C30" s="9" t="s">
        <v>2572</v>
      </c>
      <c r="D30" s="8" t="s">
        <v>2573</v>
      </c>
      <c r="E30" s="8" t="s">
        <v>2574</v>
      </c>
    </row>
    <row r="31" customFormat="false" ht="42" hidden="false" customHeight="true" outlineLevel="0" collapsed="false">
      <c r="A31" s="11" t="s">
        <v>2575</v>
      </c>
      <c r="B31" s="9" t="s">
        <v>2576</v>
      </c>
      <c r="C31" s="9" t="s">
        <v>2577</v>
      </c>
      <c r="D31" s="8" t="s">
        <v>2578</v>
      </c>
      <c r="E31" s="8" t="s">
        <v>2579</v>
      </c>
    </row>
    <row r="32" customFormat="false" ht="29.25" hidden="false" customHeight="true" outlineLevel="0" collapsed="false">
      <c r="A32" s="11" t="s">
        <v>2580</v>
      </c>
      <c r="B32" s="8" t="s">
        <v>2581</v>
      </c>
      <c r="C32" s="9" t="s">
        <v>2582</v>
      </c>
      <c r="D32" s="8" t="s">
        <v>2583</v>
      </c>
      <c r="E32" s="8" t="s">
        <v>2584</v>
      </c>
    </row>
  </sheetData>
  <mergeCells count="11"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40"/>
    <col collapsed="false" customWidth="true" hidden="false" outlineLevel="0" max="6" min="6" style="1" width="18"/>
  </cols>
  <sheetData>
    <row r="1" customFormat="false" ht="24" hidden="false" customHeight="true" outlineLevel="0" collapsed="false">
      <c r="A1" s="2" t="s">
        <v>2585</v>
      </c>
    </row>
    <row r="2" customFormat="false" ht="15" hidden="false" customHeight="true" outlineLevel="0" collapsed="false">
      <c r="A2" s="21" t="s">
        <v>2586</v>
      </c>
    </row>
    <row r="4" customFormat="false" ht="18" hidden="false" customHeight="true" outlineLevel="0" collapsed="false">
      <c r="A4" s="37" t="s">
        <v>2587</v>
      </c>
      <c r="B4" s="5"/>
      <c r="C4" s="5"/>
      <c r="D4" s="5"/>
      <c r="E4" s="5"/>
      <c r="F4" s="5"/>
    </row>
    <row r="5" customFormat="false" ht="19.5" hidden="false" customHeight="true" outlineLevel="0" collapsed="false">
      <c r="A5" s="24" t="s">
        <v>1869</v>
      </c>
      <c r="B5" s="24" t="s">
        <v>2495</v>
      </c>
      <c r="C5" s="24"/>
      <c r="D5" s="24"/>
      <c r="E5" s="24"/>
      <c r="F5" s="24"/>
    </row>
    <row r="6" customFormat="false" ht="16.5" hidden="false" customHeight="true" outlineLevel="0" collapsed="false">
      <c r="A6" s="6" t="s">
        <v>2588</v>
      </c>
      <c r="B6" s="9" t="s">
        <v>2589</v>
      </c>
      <c r="C6" s="9"/>
      <c r="D6" s="9"/>
      <c r="E6" s="9"/>
      <c r="F6" s="9"/>
    </row>
    <row r="7" customFormat="false" ht="16.5" hidden="false" customHeight="true" outlineLevel="0" collapsed="false">
      <c r="A7" s="6" t="s">
        <v>2590</v>
      </c>
      <c r="B7" s="8" t="s">
        <v>2591</v>
      </c>
      <c r="C7" s="8"/>
      <c r="D7" s="8"/>
      <c r="E7" s="8"/>
      <c r="F7" s="8"/>
    </row>
    <row r="8" customFormat="false" ht="16.5" hidden="false" customHeight="true" outlineLevel="0" collapsed="false">
      <c r="A8" s="6" t="s">
        <v>2592</v>
      </c>
      <c r="B8" s="9" t="s">
        <v>2593</v>
      </c>
      <c r="C8" s="9"/>
      <c r="D8" s="9"/>
      <c r="E8" s="9"/>
      <c r="F8" s="9"/>
    </row>
    <row r="9" customFormat="false" ht="16.5" hidden="false" customHeight="true" outlineLevel="0" collapsed="false">
      <c r="A9" s="6" t="s">
        <v>1570</v>
      </c>
      <c r="B9" s="9" t="s">
        <v>2594</v>
      </c>
      <c r="C9" s="9"/>
      <c r="D9" s="9"/>
      <c r="E9" s="9"/>
      <c r="F9" s="9"/>
    </row>
    <row r="10" customFormat="false" ht="16.5" hidden="false" customHeight="true" outlineLevel="0" collapsed="false">
      <c r="A10" s="11" t="s">
        <v>2595</v>
      </c>
      <c r="B10" s="8" t="s">
        <v>2596</v>
      </c>
      <c r="C10" s="8"/>
      <c r="D10" s="8"/>
      <c r="E10" s="8"/>
      <c r="F10" s="8"/>
    </row>
    <row r="11" customFormat="false" ht="16.5" hidden="false" customHeight="true" outlineLevel="0" collapsed="false">
      <c r="A11" s="6" t="s">
        <v>2597</v>
      </c>
      <c r="B11" s="9" t="s">
        <v>2598</v>
      </c>
      <c r="C11" s="9"/>
      <c r="D11" s="9"/>
      <c r="E11" s="9"/>
      <c r="F11" s="9"/>
    </row>
    <row r="12" customFormat="false" ht="16.5" hidden="false" customHeight="true" outlineLevel="0" collapsed="false">
      <c r="A12" s="6" t="s">
        <v>2599</v>
      </c>
      <c r="B12" s="9" t="s">
        <v>2600</v>
      </c>
      <c r="C12" s="9"/>
      <c r="D12" s="9"/>
      <c r="E12" s="9"/>
      <c r="F12" s="9"/>
    </row>
    <row r="14" customFormat="false" ht="18" hidden="false" customHeight="true" outlineLevel="0" collapsed="false">
      <c r="A14" s="37" t="s">
        <v>2601</v>
      </c>
      <c r="B14" s="5"/>
      <c r="C14" s="5"/>
      <c r="D14" s="5"/>
      <c r="E14" s="5"/>
      <c r="F14" s="5"/>
    </row>
    <row r="15" customFormat="false" ht="19.5" hidden="false" customHeight="true" outlineLevel="0" collapsed="false">
      <c r="A15" s="24" t="s">
        <v>2602</v>
      </c>
      <c r="B15" s="24" t="s">
        <v>2495</v>
      </c>
      <c r="C15" s="24" t="s">
        <v>2603</v>
      </c>
    </row>
    <row r="16" customFormat="false" ht="16.5" hidden="false" customHeight="true" outlineLevel="0" collapsed="false">
      <c r="A16" s="6" t="s">
        <v>2604</v>
      </c>
      <c r="B16" s="9" t="s">
        <v>2605</v>
      </c>
      <c r="C16" s="8" t="s">
        <v>2606</v>
      </c>
    </row>
    <row r="17" customFormat="false" ht="29.25" hidden="false" customHeight="true" outlineLevel="0" collapsed="false">
      <c r="A17" s="6" t="s">
        <v>2607</v>
      </c>
      <c r="B17" s="9" t="s">
        <v>2608</v>
      </c>
      <c r="C17" s="9" t="s">
        <v>2609</v>
      </c>
    </row>
    <row r="18" customFormat="false" ht="29.25" hidden="false" customHeight="true" outlineLevel="0" collapsed="false">
      <c r="A18" s="6" t="s">
        <v>2610</v>
      </c>
      <c r="B18" s="9" t="s">
        <v>2611</v>
      </c>
      <c r="C18" s="9" t="s">
        <v>2612</v>
      </c>
    </row>
    <row r="19" customFormat="false" ht="29.25" hidden="false" customHeight="true" outlineLevel="0" collapsed="false">
      <c r="A19" s="6" t="s">
        <v>2613</v>
      </c>
      <c r="B19" s="9" t="s">
        <v>2614</v>
      </c>
      <c r="C19" s="9" t="s">
        <v>2615</v>
      </c>
    </row>
    <row r="21" customFormat="false" ht="18" hidden="false" customHeight="true" outlineLevel="0" collapsed="false">
      <c r="A21" s="37" t="s">
        <v>2616</v>
      </c>
      <c r="B21" s="5"/>
      <c r="C21" s="5"/>
      <c r="D21" s="5"/>
      <c r="E21" s="5"/>
      <c r="F21" s="5"/>
    </row>
    <row r="22" customFormat="false" ht="19.5" hidden="false" customHeight="true" outlineLevel="0" collapsed="false">
      <c r="A22" s="24" t="s">
        <v>2617</v>
      </c>
      <c r="B22" s="24" t="s">
        <v>2618</v>
      </c>
      <c r="C22" s="23" t="s">
        <v>2619</v>
      </c>
      <c r="D22" s="24" t="s">
        <v>2620</v>
      </c>
      <c r="E22" s="24" t="s">
        <v>2621</v>
      </c>
      <c r="F22" s="24" t="s">
        <v>2622</v>
      </c>
    </row>
    <row r="23" customFormat="false" ht="29.25" hidden="false" customHeight="true" outlineLevel="0" collapsed="false">
      <c r="A23" s="6" t="s">
        <v>2623</v>
      </c>
      <c r="B23" s="8" t="s">
        <v>2624</v>
      </c>
      <c r="C23" s="8" t="s">
        <v>2625</v>
      </c>
      <c r="D23" s="9" t="s">
        <v>2626</v>
      </c>
      <c r="E23" s="8" t="s">
        <v>2627</v>
      </c>
      <c r="F23" s="9" t="s">
        <v>2604</v>
      </c>
    </row>
    <row r="24" customFormat="false" ht="42" hidden="false" customHeight="true" outlineLevel="0" collapsed="false">
      <c r="A24" s="6" t="s">
        <v>2628</v>
      </c>
      <c r="B24" s="8" t="s">
        <v>2119</v>
      </c>
      <c r="C24" s="8" t="s">
        <v>2629</v>
      </c>
      <c r="D24" s="9" t="s">
        <v>2630</v>
      </c>
      <c r="E24" s="8" t="s">
        <v>2631</v>
      </c>
      <c r="F24" s="9" t="s">
        <v>2604</v>
      </c>
    </row>
    <row r="25" customFormat="false" ht="42" hidden="false" customHeight="true" outlineLevel="0" collapsed="false">
      <c r="A25" s="6" t="s">
        <v>2632</v>
      </c>
      <c r="B25" s="17" t="s">
        <v>2633</v>
      </c>
      <c r="C25" s="8" t="s">
        <v>2634</v>
      </c>
      <c r="D25" s="9" t="s">
        <v>2635</v>
      </c>
      <c r="E25" s="8" t="s">
        <v>2636</v>
      </c>
      <c r="F25" s="9" t="s">
        <v>2604</v>
      </c>
    </row>
    <row r="26" customFormat="false" ht="42" hidden="false" customHeight="true" outlineLevel="0" collapsed="false">
      <c r="A26" s="6" t="s">
        <v>2637</v>
      </c>
      <c r="B26" s="8" t="s">
        <v>2638</v>
      </c>
      <c r="C26" s="8" t="s">
        <v>2639</v>
      </c>
      <c r="D26" s="9" t="s">
        <v>2640</v>
      </c>
      <c r="E26" s="8" t="s">
        <v>2641</v>
      </c>
      <c r="F26" s="9" t="s">
        <v>2604</v>
      </c>
    </row>
    <row r="27" customFormat="false" ht="42" hidden="false" customHeight="true" outlineLevel="0" collapsed="false">
      <c r="A27" s="6" t="s">
        <v>2642</v>
      </c>
      <c r="B27" s="8" t="s">
        <v>2643</v>
      </c>
      <c r="C27" s="8" t="s">
        <v>2644</v>
      </c>
      <c r="D27" s="9" t="s">
        <v>2645</v>
      </c>
      <c r="E27" s="8" t="s">
        <v>2646</v>
      </c>
      <c r="F27" s="9" t="s">
        <v>2647</v>
      </c>
    </row>
    <row r="28" customFormat="false" ht="42" hidden="false" customHeight="true" outlineLevel="0" collapsed="false">
      <c r="A28" s="6" t="s">
        <v>2648</v>
      </c>
      <c r="B28" s="8" t="s">
        <v>2649</v>
      </c>
      <c r="C28" s="8" t="s">
        <v>2650</v>
      </c>
      <c r="D28" s="9" t="s">
        <v>2651</v>
      </c>
      <c r="E28" s="8" t="s">
        <v>2652</v>
      </c>
      <c r="F28" s="9" t="s">
        <v>2604</v>
      </c>
    </row>
    <row r="29" customFormat="false" ht="29.25" hidden="false" customHeight="true" outlineLevel="0" collapsed="false">
      <c r="A29" s="6" t="s">
        <v>2653</v>
      </c>
      <c r="B29" s="8" t="s">
        <v>2654</v>
      </c>
      <c r="C29" s="8" t="s">
        <v>2655</v>
      </c>
      <c r="D29" s="9" t="s">
        <v>2656</v>
      </c>
      <c r="E29" s="8" t="s">
        <v>2657</v>
      </c>
      <c r="F29" s="9" t="s">
        <v>2658</v>
      </c>
    </row>
    <row r="30" customFormat="false" ht="29.25" hidden="false" customHeight="true" outlineLevel="0" collapsed="false">
      <c r="A30" s="6" t="s">
        <v>2659</v>
      </c>
      <c r="B30" s="8" t="s">
        <v>2022</v>
      </c>
      <c r="C30" s="8" t="s">
        <v>2660</v>
      </c>
      <c r="D30" s="9" t="s">
        <v>2661</v>
      </c>
      <c r="E30" s="8" t="s">
        <v>2662</v>
      </c>
      <c r="F30" s="9" t="s">
        <v>2604</v>
      </c>
    </row>
    <row r="31" customFormat="false" ht="29.25" hidden="false" customHeight="true" outlineLevel="0" collapsed="false">
      <c r="A31" s="11" t="s">
        <v>2663</v>
      </c>
      <c r="B31" s="8" t="s">
        <v>2664</v>
      </c>
      <c r="C31" s="8" t="s">
        <v>2665</v>
      </c>
      <c r="D31" s="17" t="s">
        <v>2666</v>
      </c>
      <c r="E31" s="8" t="s">
        <v>2667</v>
      </c>
      <c r="F31" s="9" t="s">
        <v>2604</v>
      </c>
    </row>
    <row r="32" customFormat="false" ht="29.25" hidden="false" customHeight="true" outlineLevel="0" collapsed="false">
      <c r="A32" s="6" t="s">
        <v>2668</v>
      </c>
      <c r="B32" s="8" t="s">
        <v>2669</v>
      </c>
      <c r="C32" s="8" t="s">
        <v>2670</v>
      </c>
      <c r="D32" s="17" t="s">
        <v>2671</v>
      </c>
      <c r="E32" s="8" t="s">
        <v>2672</v>
      </c>
      <c r="F32" s="9" t="s">
        <v>2610</v>
      </c>
    </row>
    <row r="33" customFormat="false" ht="29.25" hidden="false" customHeight="true" outlineLevel="0" collapsed="false">
      <c r="A33" s="6" t="s">
        <v>2673</v>
      </c>
      <c r="B33" s="8" t="s">
        <v>2087</v>
      </c>
      <c r="C33" s="8" t="s">
        <v>2674</v>
      </c>
      <c r="D33" s="9" t="s">
        <v>2675</v>
      </c>
      <c r="E33" s="8" t="s">
        <v>2676</v>
      </c>
      <c r="F33" s="9" t="s">
        <v>2607</v>
      </c>
    </row>
    <row r="34" customFormat="false" ht="29.25" hidden="false" customHeight="true" outlineLevel="0" collapsed="false">
      <c r="A34" s="6" t="s">
        <v>1921</v>
      </c>
      <c r="B34" s="8" t="s">
        <v>2677</v>
      </c>
      <c r="C34" s="8" t="s">
        <v>2678</v>
      </c>
      <c r="D34" s="9" t="s">
        <v>2679</v>
      </c>
      <c r="E34" s="8" t="s">
        <v>2680</v>
      </c>
      <c r="F34" s="9" t="s">
        <v>2658</v>
      </c>
    </row>
    <row r="35" customFormat="false" ht="29.25" hidden="false" customHeight="true" outlineLevel="0" collapsed="false">
      <c r="A35" s="6" t="s">
        <v>2681</v>
      </c>
      <c r="B35" s="8" t="s">
        <v>1935</v>
      </c>
      <c r="C35" s="8" t="s">
        <v>2682</v>
      </c>
      <c r="D35" s="9" t="s">
        <v>2683</v>
      </c>
      <c r="E35" s="8" t="s">
        <v>2684</v>
      </c>
      <c r="F35" s="9" t="s">
        <v>2604</v>
      </c>
    </row>
    <row r="36" customFormat="false" ht="29.25" hidden="false" customHeight="true" outlineLevel="0" collapsed="false">
      <c r="A36" s="6" t="s">
        <v>2685</v>
      </c>
      <c r="B36" s="8" t="s">
        <v>2686</v>
      </c>
      <c r="C36" s="8" t="s">
        <v>2687</v>
      </c>
      <c r="D36" s="9" t="s">
        <v>2688</v>
      </c>
      <c r="E36" s="8" t="s">
        <v>2689</v>
      </c>
      <c r="F36" s="9" t="s">
        <v>2604</v>
      </c>
    </row>
    <row r="37" customFormat="false" ht="29.25" hidden="false" customHeight="true" outlineLevel="0" collapsed="false">
      <c r="A37" s="6" t="s">
        <v>2690</v>
      </c>
      <c r="B37" s="8" t="s">
        <v>2691</v>
      </c>
      <c r="C37" s="8" t="s">
        <v>2692</v>
      </c>
      <c r="D37" s="9" t="s">
        <v>2693</v>
      </c>
      <c r="E37" s="8" t="s">
        <v>2694</v>
      </c>
      <c r="F37" s="9" t="s">
        <v>2604</v>
      </c>
    </row>
    <row r="38" customFormat="false" ht="29.25" hidden="false" customHeight="true" outlineLevel="0" collapsed="false">
      <c r="A38" s="6" t="s">
        <v>2074</v>
      </c>
      <c r="B38" s="8" t="s">
        <v>2695</v>
      </c>
      <c r="C38" s="8" t="s">
        <v>2696</v>
      </c>
      <c r="D38" s="9" t="s">
        <v>2697</v>
      </c>
      <c r="E38" s="8" t="s">
        <v>2698</v>
      </c>
      <c r="F38" s="9" t="s">
        <v>2604</v>
      </c>
    </row>
    <row r="39" customFormat="false" ht="29.25" hidden="false" customHeight="true" outlineLevel="0" collapsed="false">
      <c r="A39" s="6" t="s">
        <v>2111</v>
      </c>
      <c r="B39" s="8" t="s">
        <v>2699</v>
      </c>
      <c r="C39" s="8" t="s">
        <v>2700</v>
      </c>
      <c r="D39" s="8" t="s">
        <v>2113</v>
      </c>
      <c r="E39" s="8" t="s">
        <v>2701</v>
      </c>
      <c r="F39" s="9" t="s">
        <v>2604</v>
      </c>
    </row>
    <row r="40" customFormat="false" ht="29.25" hidden="false" customHeight="true" outlineLevel="0" collapsed="false">
      <c r="A40" s="6" t="s">
        <v>2702</v>
      </c>
      <c r="B40" s="8" t="s">
        <v>2691</v>
      </c>
      <c r="C40" s="8" t="s">
        <v>2703</v>
      </c>
      <c r="D40" s="9" t="s">
        <v>2704</v>
      </c>
      <c r="E40" s="8" t="s">
        <v>2705</v>
      </c>
      <c r="F40" s="9" t="s">
        <v>2607</v>
      </c>
    </row>
    <row r="41" customFormat="false" ht="16.5" hidden="false" customHeight="true" outlineLevel="0" collapsed="false">
      <c r="A41" s="6" t="s">
        <v>2706</v>
      </c>
      <c r="B41" s="9" t="s">
        <v>2707</v>
      </c>
      <c r="C41" s="8" t="s">
        <v>2708</v>
      </c>
      <c r="D41" s="8" t="s">
        <v>2709</v>
      </c>
      <c r="E41" s="8" t="s">
        <v>288</v>
      </c>
      <c r="F41" s="9" t="s">
        <v>2613</v>
      </c>
    </row>
    <row r="42" customFormat="false" ht="16.5" hidden="false" customHeight="true" outlineLevel="0" collapsed="false">
      <c r="A42" s="58" t="s">
        <v>2710</v>
      </c>
      <c r="B42" s="58"/>
      <c r="C42" s="58"/>
      <c r="D42" s="58"/>
      <c r="E42" s="58"/>
      <c r="F42" s="58"/>
    </row>
    <row r="44" customFormat="false" ht="18" hidden="false" customHeight="true" outlineLevel="0" collapsed="false">
      <c r="A44" s="37" t="s">
        <v>2711</v>
      </c>
      <c r="B44" s="5"/>
      <c r="C44" s="5"/>
      <c r="D44" s="5"/>
      <c r="E44" s="5"/>
      <c r="F44" s="5"/>
    </row>
    <row r="45" customFormat="false" ht="19.5" hidden="false" customHeight="true" outlineLevel="0" collapsed="false">
      <c r="A45" s="24" t="s">
        <v>2712</v>
      </c>
      <c r="B45" s="24" t="s">
        <v>2713</v>
      </c>
      <c r="C45" s="24" t="s">
        <v>2432</v>
      </c>
      <c r="D45" s="24" t="s">
        <v>386</v>
      </c>
    </row>
    <row r="46" customFormat="false" ht="16.5" hidden="false" customHeight="true" outlineLevel="0" collapsed="false">
      <c r="A46" s="11" t="s">
        <v>2714</v>
      </c>
      <c r="B46" s="9" t="s">
        <v>2715</v>
      </c>
      <c r="C46" s="8" t="s">
        <v>2716</v>
      </c>
      <c r="D46" s="9" t="s">
        <v>2717</v>
      </c>
    </row>
    <row r="47" customFormat="false" ht="16.5" hidden="false" customHeight="true" outlineLevel="0" collapsed="false">
      <c r="A47" s="11" t="s">
        <v>2718</v>
      </c>
      <c r="B47" s="9" t="s">
        <v>2719</v>
      </c>
      <c r="C47" s="8" t="s">
        <v>2720</v>
      </c>
      <c r="D47" s="9" t="s">
        <v>2721</v>
      </c>
    </row>
    <row r="48" customFormat="false" ht="29.25" hidden="false" customHeight="true" outlineLevel="0" collapsed="false">
      <c r="A48" s="11" t="s">
        <v>2714</v>
      </c>
      <c r="B48" s="9" t="s">
        <v>2722</v>
      </c>
      <c r="C48" s="8" t="s">
        <v>2723</v>
      </c>
      <c r="D48" s="17" t="s">
        <v>2724</v>
      </c>
    </row>
    <row r="49" customFormat="false" ht="16.5" hidden="false" customHeight="true" outlineLevel="0" collapsed="false">
      <c r="A49" s="11" t="s">
        <v>2718</v>
      </c>
      <c r="B49" s="9" t="s">
        <v>2725</v>
      </c>
      <c r="C49" s="8" t="s">
        <v>2726</v>
      </c>
      <c r="D49" s="9" t="s">
        <v>2727</v>
      </c>
    </row>
    <row r="50" customFormat="false" ht="29.25" hidden="false" customHeight="true" outlineLevel="0" collapsed="false">
      <c r="A50" s="11" t="s">
        <v>2714</v>
      </c>
      <c r="B50" s="9" t="s">
        <v>2728</v>
      </c>
      <c r="C50" s="8" t="s">
        <v>2729</v>
      </c>
      <c r="D50" s="9" t="s">
        <v>2730</v>
      </c>
    </row>
    <row r="51" customFormat="false" ht="16.5" hidden="false" customHeight="true" outlineLevel="0" collapsed="false">
      <c r="A51" s="11" t="s">
        <v>2718</v>
      </c>
      <c r="B51" s="8" t="s">
        <v>2731</v>
      </c>
      <c r="C51" s="8" t="s">
        <v>2732</v>
      </c>
      <c r="D51" s="9" t="s">
        <v>2733</v>
      </c>
    </row>
    <row r="52" customFormat="false" ht="29.25" hidden="false" customHeight="true" outlineLevel="0" collapsed="false">
      <c r="A52" s="11" t="s">
        <v>2714</v>
      </c>
      <c r="B52" s="9" t="s">
        <v>2734</v>
      </c>
      <c r="C52" s="8" t="s">
        <v>2735</v>
      </c>
      <c r="D52" s="9" t="s">
        <v>2736</v>
      </c>
    </row>
    <row r="53" customFormat="false" ht="16.5" hidden="false" customHeight="true" outlineLevel="0" collapsed="false">
      <c r="A53" s="58" t="s">
        <v>2737</v>
      </c>
      <c r="B53" s="58"/>
      <c r="C53" s="58"/>
      <c r="D53" s="58"/>
      <c r="E53" s="58"/>
      <c r="F53" s="58"/>
    </row>
  </sheetData>
  <mergeCells count="10">
    <mergeCell ref="B5:F5"/>
    <mergeCell ref="B6:F6"/>
    <mergeCell ref="B7:F7"/>
    <mergeCell ref="B8:F8"/>
    <mergeCell ref="B9:F9"/>
    <mergeCell ref="B10:F10"/>
    <mergeCell ref="B11:F11"/>
    <mergeCell ref="B12:F12"/>
    <mergeCell ref="A42:F42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66"/>
    <col collapsed="false" customWidth="true" hidden="false" outlineLevel="0" max="4" min="4" style="1" width="52"/>
    <col collapsed="false" customWidth="true" hidden="false" outlineLevel="0" max="5" min="5" style="1" width="13"/>
  </cols>
  <sheetData>
    <row r="1" customFormat="false" ht="24" hidden="false" customHeight="true" outlineLevel="0" collapsed="false">
      <c r="A1" s="22" t="s">
        <v>2738</v>
      </c>
    </row>
    <row r="2" customFormat="false" ht="15" hidden="false" customHeight="true" outlineLevel="0" collapsed="false">
      <c r="A2" s="21" t="s">
        <v>2739</v>
      </c>
    </row>
    <row r="4" customFormat="false" ht="18" hidden="false" customHeight="true" outlineLevel="0" collapsed="false">
      <c r="A4" s="37" t="s">
        <v>2740</v>
      </c>
      <c r="B4" s="5"/>
      <c r="C4" s="5"/>
      <c r="D4" s="5"/>
    </row>
    <row r="5" customFormat="false" ht="19.5" hidden="false" customHeight="true" outlineLevel="0" collapsed="false">
      <c r="A5" s="23" t="s">
        <v>86</v>
      </c>
      <c r="B5" s="24" t="s">
        <v>60</v>
      </c>
      <c r="C5" s="24" t="s">
        <v>2495</v>
      </c>
      <c r="D5" s="24" t="s">
        <v>2741</v>
      </c>
    </row>
    <row r="6" customFormat="false" ht="16.5" hidden="false" customHeight="true" outlineLevel="0" collapsed="false">
      <c r="A6" s="25" t="n">
        <v>1</v>
      </c>
      <c r="B6" s="9" t="s">
        <v>2742</v>
      </c>
      <c r="C6" s="9" t="s">
        <v>2743</v>
      </c>
      <c r="D6" s="8" t="s">
        <v>2744</v>
      </c>
    </row>
    <row r="7" customFormat="false" ht="29.25" hidden="false" customHeight="true" outlineLevel="0" collapsed="false">
      <c r="A7" s="25" t="n">
        <v>2</v>
      </c>
      <c r="B7" s="9" t="s">
        <v>2745</v>
      </c>
      <c r="C7" s="9" t="s">
        <v>2746</v>
      </c>
      <c r="D7" s="8" t="s">
        <v>2747</v>
      </c>
    </row>
    <row r="8" customFormat="false" ht="29.25" hidden="false" customHeight="true" outlineLevel="0" collapsed="false">
      <c r="A8" s="25" t="n">
        <v>3</v>
      </c>
      <c r="B8" s="9" t="s">
        <v>2748</v>
      </c>
      <c r="C8" s="9" t="s">
        <v>2749</v>
      </c>
      <c r="D8" s="8" t="s">
        <v>2750</v>
      </c>
    </row>
    <row r="9" customFormat="false" ht="29.25" hidden="false" customHeight="true" outlineLevel="0" collapsed="false">
      <c r="A9" s="25" t="n">
        <v>4</v>
      </c>
      <c r="B9" s="9" t="s">
        <v>2751</v>
      </c>
      <c r="C9" s="9" t="s">
        <v>2752</v>
      </c>
      <c r="D9" s="8" t="s">
        <v>2753</v>
      </c>
    </row>
    <row r="10" customFormat="false" ht="29.25" hidden="false" customHeight="true" outlineLevel="0" collapsed="false">
      <c r="A10" s="25" t="n">
        <v>5</v>
      </c>
      <c r="B10" s="9" t="s">
        <v>2754</v>
      </c>
      <c r="C10" s="9" t="s">
        <v>2755</v>
      </c>
      <c r="D10" s="8" t="s">
        <v>2756</v>
      </c>
    </row>
    <row r="11" customFormat="false" ht="29.25" hidden="false" customHeight="true" outlineLevel="0" collapsed="false">
      <c r="A11" s="25" t="n">
        <v>6</v>
      </c>
      <c r="B11" s="9" t="s">
        <v>2757</v>
      </c>
      <c r="C11" s="9" t="s">
        <v>2758</v>
      </c>
      <c r="D11" s="8" t="s">
        <v>2759</v>
      </c>
    </row>
    <row r="12" customFormat="false" ht="16.5" hidden="false" customHeight="true" outlineLevel="0" collapsed="false">
      <c r="A12" s="25" t="n">
        <v>7</v>
      </c>
      <c r="B12" s="9" t="s">
        <v>2760</v>
      </c>
      <c r="C12" s="9" t="s">
        <v>2761</v>
      </c>
      <c r="D12" s="8" t="s">
        <v>2762</v>
      </c>
    </row>
    <row r="13" customFormat="false" ht="29.25" hidden="false" customHeight="true" outlineLevel="0" collapsed="false">
      <c r="A13" s="25" t="n">
        <v>8</v>
      </c>
      <c r="B13" s="9" t="s">
        <v>2763</v>
      </c>
      <c r="C13" s="9" t="s">
        <v>2764</v>
      </c>
      <c r="D13" s="8" t="s">
        <v>2765</v>
      </c>
    </row>
    <row r="14" customFormat="false" ht="42" hidden="false" customHeight="true" outlineLevel="0" collapsed="false">
      <c r="A14" s="25" t="n">
        <v>9</v>
      </c>
      <c r="B14" s="9" t="s">
        <v>2766</v>
      </c>
      <c r="C14" s="8" t="s">
        <v>2767</v>
      </c>
      <c r="D14" s="8" t="s">
        <v>2768</v>
      </c>
    </row>
    <row r="15" customFormat="false" ht="42" hidden="false" customHeight="true" outlineLevel="0" collapsed="false">
      <c r="A15" s="25" t="n">
        <v>10</v>
      </c>
      <c r="B15" s="9" t="s">
        <v>2769</v>
      </c>
      <c r="C15" s="9" t="s">
        <v>2770</v>
      </c>
      <c r="D15" s="8" t="s">
        <v>2771</v>
      </c>
    </row>
    <row r="16" customFormat="false" ht="16.5" hidden="false" customHeight="true" outlineLevel="0" collapsed="false">
      <c r="A16" s="25" t="n">
        <v>11</v>
      </c>
      <c r="B16" s="9" t="s">
        <v>97</v>
      </c>
      <c r="C16" s="9" t="s">
        <v>2772</v>
      </c>
      <c r="D16" s="8"/>
    </row>
    <row r="17" customFormat="false" ht="29.25" hidden="false" customHeight="true" outlineLevel="0" collapsed="false">
      <c r="A17" s="25" t="n">
        <v>12</v>
      </c>
      <c r="B17" s="8" t="s">
        <v>2773</v>
      </c>
      <c r="C17" s="9" t="s">
        <v>2774</v>
      </c>
      <c r="D17" s="8" t="s">
        <v>2775</v>
      </c>
    </row>
    <row r="18" customFormat="false" ht="16.5" hidden="false" customHeight="true" outlineLevel="0" collapsed="false">
      <c r="A18" s="25" t="n">
        <v>13</v>
      </c>
      <c r="B18" s="8" t="s">
        <v>2776</v>
      </c>
      <c r="C18" s="9" t="s">
        <v>2777</v>
      </c>
      <c r="D18" s="8" t="s">
        <v>2778</v>
      </c>
    </row>
    <row r="19" customFormat="false" ht="16.5" hidden="false" customHeight="true" outlineLevel="0" collapsed="false">
      <c r="A19" s="25" t="n">
        <v>14</v>
      </c>
      <c r="B19" s="9" t="s">
        <v>2779</v>
      </c>
      <c r="C19" s="8" t="s">
        <v>2780</v>
      </c>
      <c r="D19" s="8"/>
    </row>
    <row r="20" customFormat="false" ht="16.5" hidden="false" customHeight="true" outlineLevel="0" collapsed="false">
      <c r="A20" s="25" t="n">
        <v>15</v>
      </c>
      <c r="B20" s="9" t="s">
        <v>2781</v>
      </c>
      <c r="C20" s="8" t="s">
        <v>2782</v>
      </c>
      <c r="D20" s="8" t="s">
        <v>2783</v>
      </c>
    </row>
    <row r="21" customFormat="false" ht="29.25" hidden="false" customHeight="true" outlineLevel="0" collapsed="false">
      <c r="A21" s="25" t="n">
        <v>16</v>
      </c>
      <c r="B21" s="9" t="s">
        <v>2784</v>
      </c>
      <c r="C21" s="9" t="s">
        <v>2785</v>
      </c>
      <c r="D21" s="8" t="s">
        <v>2786</v>
      </c>
    </row>
    <row r="22" customFormat="false" ht="54.75" hidden="false" customHeight="true" outlineLevel="0" collapsed="false">
      <c r="A22" s="25" t="n">
        <v>17</v>
      </c>
      <c r="B22" s="9" t="s">
        <v>2787</v>
      </c>
      <c r="C22" s="9" t="s">
        <v>2788</v>
      </c>
      <c r="D22" s="8" t="s">
        <v>2789</v>
      </c>
    </row>
    <row r="23" customFormat="false" ht="29.25" hidden="false" customHeight="true" outlineLevel="0" collapsed="false">
      <c r="A23" s="25" t="n">
        <v>18</v>
      </c>
      <c r="B23" s="9" t="s">
        <v>2790</v>
      </c>
      <c r="C23" s="9" t="s">
        <v>2791</v>
      </c>
      <c r="D23" s="8" t="s">
        <v>2792</v>
      </c>
    </row>
    <row r="24" customFormat="false" ht="42" hidden="false" customHeight="true" outlineLevel="0" collapsed="false">
      <c r="A24" s="25" t="n">
        <v>19</v>
      </c>
      <c r="B24" s="9" t="s">
        <v>2793</v>
      </c>
      <c r="C24" s="9" t="s">
        <v>2794</v>
      </c>
      <c r="D24" s="8" t="s">
        <v>2795</v>
      </c>
    </row>
    <row r="26" customFormat="false" ht="18" hidden="false" customHeight="true" outlineLevel="0" collapsed="false">
      <c r="A26" s="37" t="s">
        <v>2796</v>
      </c>
      <c r="B26" s="5"/>
      <c r="C26" s="5"/>
      <c r="D26" s="5"/>
    </row>
    <row r="27" customFormat="false" ht="42" hidden="false" customHeight="true" outlineLevel="0" collapsed="false">
      <c r="A27" s="84" t="s">
        <v>2797</v>
      </c>
      <c r="B27" s="84"/>
      <c r="C27" s="84"/>
      <c r="D27" s="84"/>
    </row>
    <row r="28" customFormat="false" ht="29.25" hidden="false" customHeight="true" outlineLevel="0" collapsed="false">
      <c r="A28" s="25" t="n">
        <v>1</v>
      </c>
      <c r="B28" s="8" t="s">
        <v>2798</v>
      </c>
      <c r="C28" s="8" t="s">
        <v>2799</v>
      </c>
      <c r="D28" s="8" t="s">
        <v>213</v>
      </c>
    </row>
    <row r="29" customFormat="false" ht="19.5" hidden="false" customHeight="true" outlineLevel="0" collapsed="false">
      <c r="A29" s="24" t="s">
        <v>317</v>
      </c>
      <c r="B29" s="24" t="s">
        <v>2800</v>
      </c>
      <c r="C29" s="24" t="s">
        <v>2801</v>
      </c>
      <c r="D29" s="24" t="s">
        <v>2802</v>
      </c>
      <c r="E29" s="24" t="s">
        <v>2803</v>
      </c>
    </row>
    <row r="30" customFormat="false" ht="29.25" hidden="false" customHeight="true" outlineLevel="0" collapsed="false">
      <c r="A30" s="11" t="s">
        <v>213</v>
      </c>
      <c r="B30" s="9" t="s">
        <v>2804</v>
      </c>
      <c r="C30" s="9" t="s">
        <v>2805</v>
      </c>
      <c r="D30" s="8" t="s">
        <v>2806</v>
      </c>
      <c r="E30" s="9" t="s">
        <v>2807</v>
      </c>
    </row>
    <row r="31" customFormat="false" ht="42" hidden="false" customHeight="true" outlineLevel="0" collapsed="false">
      <c r="A31" s="11" t="s">
        <v>155</v>
      </c>
      <c r="B31" s="9" t="s">
        <v>2808</v>
      </c>
      <c r="C31" s="9" t="s">
        <v>2809</v>
      </c>
      <c r="D31" s="8" t="s">
        <v>2810</v>
      </c>
      <c r="E31" s="8" t="s">
        <v>2811</v>
      </c>
    </row>
    <row r="32" customFormat="false" ht="29.25" hidden="false" customHeight="true" outlineLevel="0" collapsed="false">
      <c r="A32" s="11" t="s">
        <v>201</v>
      </c>
      <c r="B32" s="9" t="s">
        <v>2812</v>
      </c>
      <c r="C32" s="9" t="s">
        <v>2813</v>
      </c>
      <c r="D32" s="8" t="s">
        <v>2814</v>
      </c>
      <c r="E32" s="8" t="s">
        <v>2815</v>
      </c>
    </row>
    <row r="33" customFormat="false" ht="29.25" hidden="false" customHeight="true" outlineLevel="0" collapsed="false">
      <c r="A33" s="11" t="s">
        <v>167</v>
      </c>
      <c r="B33" s="9" t="s">
        <v>2816</v>
      </c>
      <c r="C33" s="9" t="s">
        <v>2817</v>
      </c>
      <c r="D33" s="8" t="s">
        <v>2818</v>
      </c>
      <c r="E33" s="8" t="s">
        <v>2819</v>
      </c>
    </row>
    <row r="34" customFormat="false" ht="29.25" hidden="false" customHeight="true" outlineLevel="0" collapsed="false">
      <c r="A34" s="11" t="s">
        <v>107</v>
      </c>
      <c r="B34" s="9" t="s">
        <v>2820</v>
      </c>
      <c r="C34" s="9" t="s">
        <v>2821</v>
      </c>
      <c r="D34" s="8" t="s">
        <v>2822</v>
      </c>
      <c r="E34" s="8" t="s">
        <v>2823</v>
      </c>
    </row>
    <row r="35" customFormat="false" ht="16.5" hidden="false" customHeight="true" outlineLevel="0" collapsed="false">
      <c r="A35" s="25" t="n">
        <v>8</v>
      </c>
      <c r="B35" s="9" t="s">
        <v>2824</v>
      </c>
      <c r="C35" s="8" t="s">
        <v>2825</v>
      </c>
      <c r="D35" s="8" t="s">
        <v>2826</v>
      </c>
    </row>
    <row r="36" customFormat="false" ht="16.5" hidden="false" customHeight="true" outlineLevel="0" collapsed="false">
      <c r="A36" s="25" t="n">
        <v>9</v>
      </c>
      <c r="B36" s="9" t="s">
        <v>2827</v>
      </c>
      <c r="C36" s="8" t="s">
        <v>2828</v>
      </c>
      <c r="D36" s="8" t="s">
        <v>190</v>
      </c>
    </row>
    <row r="37" customFormat="false" ht="16.5" hidden="false" customHeight="true" outlineLevel="0" collapsed="false">
      <c r="A37" s="25" t="n">
        <v>10</v>
      </c>
      <c r="B37" s="9" t="s">
        <v>2829</v>
      </c>
      <c r="C37" s="8" t="s">
        <v>2830</v>
      </c>
      <c r="D37" s="8" t="s">
        <v>2831</v>
      </c>
    </row>
    <row r="38" customFormat="false" ht="29.25" hidden="false" customHeight="true" outlineLevel="0" collapsed="false">
      <c r="A38" s="25" t="n">
        <v>11</v>
      </c>
      <c r="B38" s="9" t="s">
        <v>2832</v>
      </c>
      <c r="C38" s="9" t="s">
        <v>2833</v>
      </c>
      <c r="D38" s="8" t="s">
        <v>2834</v>
      </c>
    </row>
    <row r="39" customFormat="false" ht="29.25" hidden="false" customHeight="true" outlineLevel="0" collapsed="false">
      <c r="A39" s="25" t="n">
        <v>12</v>
      </c>
      <c r="B39" s="9" t="s">
        <v>2835</v>
      </c>
      <c r="C39" s="9" t="s">
        <v>2836</v>
      </c>
      <c r="D39" s="8" t="s">
        <v>2837</v>
      </c>
    </row>
  </sheetData>
  <mergeCells count="1"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60"/>
    <col collapsed="false" customWidth="true" hidden="false" outlineLevel="0" max="4" min="4" style="1" width="44"/>
    <col collapsed="false" customWidth="true" hidden="false" outlineLevel="0" max="5" min="5" style="1" width="40"/>
    <col collapsed="false" customWidth="true" hidden="false" outlineLevel="0" max="7" min="6" style="1" width="10"/>
  </cols>
  <sheetData>
    <row r="1" customFormat="false" ht="24" hidden="false" customHeight="true" outlineLevel="0" collapsed="false">
      <c r="A1" s="2" t="s">
        <v>2838</v>
      </c>
    </row>
    <row r="2" customFormat="false" ht="15" hidden="false" customHeight="true" outlineLevel="0" collapsed="false">
      <c r="A2" s="21" t="s">
        <v>2839</v>
      </c>
    </row>
    <row r="4" customFormat="false" ht="15" hidden="false" customHeight="true" outlineLevel="0" collapsed="false">
      <c r="C4" s="85" t="s">
        <v>2840</v>
      </c>
      <c r="D4" s="86" t="n">
        <v>15</v>
      </c>
      <c r="E4" s="21" t="s">
        <v>2841</v>
      </c>
    </row>
    <row r="5" customFormat="false" ht="15" hidden="false" customHeight="true" outlineLevel="0" collapsed="false">
      <c r="C5" s="61" t="s">
        <v>2842</v>
      </c>
      <c r="D5" s="87" t="n">
        <f aca="false">COUNTA(B8:B29)</f>
        <v>22</v>
      </c>
    </row>
    <row r="6" customFormat="false" ht="15" hidden="false" customHeight="true" outlineLevel="0" collapsed="false">
      <c r="C6" s="61" t="s">
        <v>2843</v>
      </c>
      <c r="D6" s="87" t="n">
        <f aca="false">COUNTIF(G8:G29,"초과")</f>
        <v>0</v>
      </c>
    </row>
    <row r="7" customFormat="false" ht="21.75" hidden="false" customHeight="true" outlineLevel="0" collapsed="false">
      <c r="A7" s="23" t="s">
        <v>86</v>
      </c>
      <c r="B7" s="24" t="s">
        <v>2712</v>
      </c>
      <c r="C7" s="24" t="s">
        <v>2844</v>
      </c>
      <c r="D7" s="24" t="s">
        <v>2845</v>
      </c>
      <c r="E7" s="24" t="s">
        <v>2846</v>
      </c>
      <c r="F7" s="24" t="s">
        <v>2847</v>
      </c>
      <c r="G7" s="24" t="s">
        <v>2848</v>
      </c>
    </row>
    <row r="8" customFormat="false" ht="29.25" hidden="false" customHeight="true" outlineLevel="0" collapsed="false">
      <c r="A8" s="25" t="n">
        <v>1</v>
      </c>
      <c r="B8" s="11" t="s">
        <v>2849</v>
      </c>
      <c r="C8" s="8" t="s">
        <v>2850</v>
      </c>
      <c r="D8" s="9" t="s">
        <v>2851</v>
      </c>
      <c r="E8" s="9" t="s">
        <v>2852</v>
      </c>
      <c r="F8" s="25" t="n">
        <f aca="false">LEN(TRIM(C8))-LEN(SUBSTITUTE(TRIM(C8)," ",""))+1</f>
        <v>13</v>
      </c>
      <c r="G8" s="25" t="str">
        <f aca="false">IF(F8&lt;=$D$4,"OK","초과")</f>
        <v>OK</v>
      </c>
    </row>
    <row r="9" customFormat="false" ht="29.25" hidden="false" customHeight="true" outlineLevel="0" collapsed="false">
      <c r="A9" s="25" t="n">
        <v>2</v>
      </c>
      <c r="B9" s="11" t="s">
        <v>2853</v>
      </c>
      <c r="C9" s="8" t="s">
        <v>2854</v>
      </c>
      <c r="D9" s="9" t="s">
        <v>2855</v>
      </c>
      <c r="E9" s="9" t="s">
        <v>2856</v>
      </c>
      <c r="F9" s="25" t="n">
        <f aca="false">LEN(TRIM(C9))-LEN(SUBSTITUTE(TRIM(C9)," ",""))+1</f>
        <v>11</v>
      </c>
      <c r="G9" s="25" t="str">
        <f aca="false">IF(F9&lt;=$D$4,"OK","초과")</f>
        <v>OK</v>
      </c>
    </row>
    <row r="10" customFormat="false" ht="16.5" hidden="false" customHeight="true" outlineLevel="0" collapsed="false">
      <c r="A10" s="25" t="n">
        <v>3</v>
      </c>
      <c r="B10" s="11" t="s">
        <v>2718</v>
      </c>
      <c r="C10" s="8" t="s">
        <v>2436</v>
      </c>
      <c r="D10" s="9" t="s">
        <v>2437</v>
      </c>
      <c r="E10" s="8" t="s">
        <v>2857</v>
      </c>
      <c r="F10" s="25" t="n">
        <f aca="false">LEN(TRIM(C10))-LEN(SUBSTITUTE(TRIM(C10)," ",""))+1</f>
        <v>5</v>
      </c>
      <c r="G10" s="25" t="str">
        <f aca="false">IF(F10&lt;=$D$4,"OK","초과")</f>
        <v>OK</v>
      </c>
    </row>
    <row r="11" customFormat="false" ht="29.25" hidden="false" customHeight="true" outlineLevel="0" collapsed="false">
      <c r="A11" s="25" t="n">
        <v>4</v>
      </c>
      <c r="B11" s="11" t="s">
        <v>2853</v>
      </c>
      <c r="C11" s="8" t="s">
        <v>2858</v>
      </c>
      <c r="D11" s="9" t="s">
        <v>2859</v>
      </c>
      <c r="E11" s="9" t="s">
        <v>2860</v>
      </c>
      <c r="F11" s="25" t="n">
        <f aca="false">LEN(TRIM(C11))-LEN(SUBSTITUTE(TRIM(C11)," ",""))+1</f>
        <v>11</v>
      </c>
      <c r="G11" s="25" t="str">
        <f aca="false">IF(F11&lt;=$D$4,"OK","초과")</f>
        <v>OK</v>
      </c>
    </row>
    <row r="12" customFormat="false" ht="16.5" hidden="false" customHeight="true" outlineLevel="0" collapsed="false">
      <c r="A12" s="25" t="n">
        <v>5</v>
      </c>
      <c r="B12" s="11" t="s">
        <v>2718</v>
      </c>
      <c r="C12" s="8" t="s">
        <v>2861</v>
      </c>
      <c r="D12" s="9" t="s">
        <v>2442</v>
      </c>
      <c r="E12" s="8" t="s">
        <v>2862</v>
      </c>
      <c r="F12" s="25" t="n">
        <f aca="false">LEN(TRIM(C12))-LEN(SUBSTITUTE(TRIM(C12)," ",""))+1</f>
        <v>10</v>
      </c>
      <c r="G12" s="25" t="str">
        <f aca="false">IF(F12&lt;=$D$4,"OK","초과")</f>
        <v>OK</v>
      </c>
    </row>
    <row r="13" customFormat="false" ht="29.25" hidden="false" customHeight="true" outlineLevel="0" collapsed="false">
      <c r="A13" s="25" t="n">
        <v>6</v>
      </c>
      <c r="B13" s="11" t="s">
        <v>2853</v>
      </c>
      <c r="C13" s="8" t="s">
        <v>2863</v>
      </c>
      <c r="D13" s="9" t="s">
        <v>2864</v>
      </c>
      <c r="E13" s="9" t="s">
        <v>2865</v>
      </c>
      <c r="F13" s="25" t="n">
        <f aca="false">LEN(TRIM(C13))-LEN(SUBSTITUTE(TRIM(C13)," ",""))+1</f>
        <v>11</v>
      </c>
      <c r="G13" s="25" t="str">
        <f aca="false">IF(F13&lt;=$D$4,"OK","초과")</f>
        <v>OK</v>
      </c>
    </row>
    <row r="14" customFormat="false" ht="29.25" hidden="false" customHeight="true" outlineLevel="0" collapsed="false">
      <c r="A14" s="25" t="n">
        <v>7</v>
      </c>
      <c r="B14" s="11" t="s">
        <v>2718</v>
      </c>
      <c r="C14" s="8" t="s">
        <v>2866</v>
      </c>
      <c r="D14" s="9" t="s">
        <v>2867</v>
      </c>
      <c r="E14" s="8" t="s">
        <v>2868</v>
      </c>
      <c r="F14" s="25" t="n">
        <f aca="false">LEN(TRIM(C14))-LEN(SUBSTITUTE(TRIM(C14)," ",""))+1</f>
        <v>14</v>
      </c>
      <c r="G14" s="25" t="str">
        <f aca="false">IF(F14&lt;=$D$4,"OK","초과")</f>
        <v>OK</v>
      </c>
    </row>
    <row r="15" customFormat="false" ht="29.25" hidden="false" customHeight="true" outlineLevel="0" collapsed="false">
      <c r="A15" s="25" t="n">
        <v>8</v>
      </c>
      <c r="B15" s="11" t="s">
        <v>2849</v>
      </c>
      <c r="C15" s="8" t="s">
        <v>2456</v>
      </c>
      <c r="D15" s="9" t="s">
        <v>2457</v>
      </c>
      <c r="E15" s="9" t="s">
        <v>2869</v>
      </c>
      <c r="F15" s="25" t="n">
        <f aca="false">LEN(TRIM(C15))-LEN(SUBSTITUTE(TRIM(C15)," ",""))+1</f>
        <v>12</v>
      </c>
      <c r="G15" s="25" t="str">
        <f aca="false">IF(F15&lt;=$D$4,"OK","초과")</f>
        <v>OK</v>
      </c>
    </row>
    <row r="16" customFormat="false" ht="16.5" hidden="false" customHeight="true" outlineLevel="0" collapsed="false">
      <c r="A16" s="25" t="n">
        <v>9</v>
      </c>
      <c r="B16" s="11" t="s">
        <v>2870</v>
      </c>
      <c r="C16" s="8" t="s">
        <v>2453</v>
      </c>
      <c r="D16" s="9" t="s">
        <v>2454</v>
      </c>
      <c r="E16" s="8" t="s">
        <v>2871</v>
      </c>
      <c r="F16" s="25" t="n">
        <f aca="false">LEN(TRIM(C16))-LEN(SUBSTITUTE(TRIM(C16)," ",""))+1</f>
        <v>2</v>
      </c>
      <c r="G16" s="25" t="str">
        <f aca="false">IF(F16&lt;=$D$4,"OK","초과")</f>
        <v>OK</v>
      </c>
    </row>
    <row r="17" customFormat="false" ht="16.5" hidden="false" customHeight="true" outlineLevel="0" collapsed="false">
      <c r="A17" s="25" t="n">
        <v>10</v>
      </c>
      <c r="B17" s="11" t="s">
        <v>2718</v>
      </c>
      <c r="C17" s="8" t="s">
        <v>2872</v>
      </c>
      <c r="D17" s="8" t="s">
        <v>2873</v>
      </c>
      <c r="E17" s="8" t="s">
        <v>2874</v>
      </c>
      <c r="F17" s="25" t="n">
        <f aca="false">LEN(TRIM(C17))-LEN(SUBSTITUTE(TRIM(C17)," ",""))+1</f>
        <v>4</v>
      </c>
      <c r="G17" s="25" t="str">
        <f aca="false">IF(F17&lt;=$D$4,"OK","초과")</f>
        <v>OK</v>
      </c>
    </row>
    <row r="18" customFormat="false" ht="16.5" hidden="false" customHeight="true" outlineLevel="0" collapsed="false">
      <c r="A18" s="25" t="n">
        <v>11</v>
      </c>
      <c r="B18" s="11" t="s">
        <v>2875</v>
      </c>
      <c r="C18" s="8" t="s">
        <v>2460</v>
      </c>
      <c r="D18" s="9" t="s">
        <v>2461</v>
      </c>
      <c r="E18" s="8" t="s">
        <v>2876</v>
      </c>
      <c r="F18" s="25" t="n">
        <f aca="false">LEN(TRIM(C18))-LEN(SUBSTITUTE(TRIM(C18)," ",""))+1</f>
        <v>7</v>
      </c>
      <c r="G18" s="25" t="str">
        <f aca="false">IF(F18&lt;=$D$4,"OK","초과")</f>
        <v>OK</v>
      </c>
    </row>
    <row r="19" customFormat="false" ht="29.25" hidden="false" customHeight="true" outlineLevel="0" collapsed="false">
      <c r="A19" s="25" t="n">
        <v>12</v>
      </c>
      <c r="B19" s="11" t="s">
        <v>2714</v>
      </c>
      <c r="C19" s="8" t="s">
        <v>2463</v>
      </c>
      <c r="D19" s="9" t="s">
        <v>2464</v>
      </c>
      <c r="E19" s="8" t="s">
        <v>2877</v>
      </c>
      <c r="F19" s="25" t="n">
        <f aca="false">LEN(TRIM(C19))-LEN(SUBSTITUTE(TRIM(C19)," ",""))+1</f>
        <v>4</v>
      </c>
      <c r="G19" s="25" t="str">
        <f aca="false">IF(F19&lt;=$D$4,"OK","초과")</f>
        <v>OK</v>
      </c>
    </row>
    <row r="20" customFormat="false" ht="29.25" hidden="false" customHeight="true" outlineLevel="0" collapsed="false">
      <c r="A20" s="25" t="n">
        <v>13</v>
      </c>
      <c r="B20" s="11" t="s">
        <v>2878</v>
      </c>
      <c r="C20" s="8" t="s">
        <v>2879</v>
      </c>
      <c r="D20" s="9" t="s">
        <v>2880</v>
      </c>
      <c r="E20" s="9" t="s">
        <v>2881</v>
      </c>
      <c r="F20" s="25" t="n">
        <f aca="false">LEN(TRIM(C20))-LEN(SUBSTITUTE(TRIM(C20)," ",""))+1</f>
        <v>7</v>
      </c>
      <c r="G20" s="25" t="str">
        <f aca="false">IF(F20&lt;=$D$4,"OK","초과")</f>
        <v>OK</v>
      </c>
    </row>
    <row r="21" customFormat="false" ht="16.5" hidden="false" customHeight="true" outlineLevel="0" collapsed="false">
      <c r="A21" s="25" t="n">
        <v>14</v>
      </c>
      <c r="B21" s="11" t="s">
        <v>2718</v>
      </c>
      <c r="C21" s="8" t="s">
        <v>2882</v>
      </c>
      <c r="D21" s="9" t="s">
        <v>2883</v>
      </c>
      <c r="E21" s="9" t="s">
        <v>2884</v>
      </c>
      <c r="F21" s="25" t="n">
        <f aca="false">LEN(TRIM(C21))-LEN(SUBSTITUTE(TRIM(C21)," ",""))+1</f>
        <v>4</v>
      </c>
      <c r="G21" s="25" t="str">
        <f aca="false">IF(F21&lt;=$D$4,"OK","초과")</f>
        <v>OK</v>
      </c>
    </row>
    <row r="22" customFormat="false" ht="16.5" hidden="false" customHeight="true" outlineLevel="0" collapsed="false">
      <c r="A22" s="25" t="n">
        <v>15</v>
      </c>
      <c r="B22" s="11" t="s">
        <v>2878</v>
      </c>
      <c r="C22" s="8" t="s">
        <v>2885</v>
      </c>
      <c r="D22" s="9" t="s">
        <v>2886</v>
      </c>
      <c r="E22" s="8" t="s">
        <v>2887</v>
      </c>
      <c r="F22" s="25" t="n">
        <f aca="false">LEN(TRIM(C22))-LEN(SUBSTITUTE(TRIM(C22)," ",""))+1</f>
        <v>7</v>
      </c>
      <c r="G22" s="25" t="str">
        <f aca="false">IF(F22&lt;=$D$4,"OK","초과")</f>
        <v>OK</v>
      </c>
    </row>
    <row r="23" customFormat="false" ht="29.25" hidden="false" customHeight="true" outlineLevel="0" collapsed="false">
      <c r="A23" s="25" t="n">
        <v>16</v>
      </c>
      <c r="B23" s="11" t="s">
        <v>2888</v>
      </c>
      <c r="C23" s="8" t="s">
        <v>2889</v>
      </c>
      <c r="D23" s="9" t="s">
        <v>2890</v>
      </c>
      <c r="E23" s="9" t="s">
        <v>2891</v>
      </c>
      <c r="F23" s="25" t="n">
        <f aca="false">LEN(TRIM(C23))-LEN(SUBSTITUTE(TRIM(C23)," ",""))+1</f>
        <v>10</v>
      </c>
      <c r="G23" s="25" t="str">
        <f aca="false">IF(F23&lt;=$D$4,"OK","초과")</f>
        <v>OK</v>
      </c>
    </row>
    <row r="24" customFormat="false" ht="16.5" hidden="false" customHeight="true" outlineLevel="0" collapsed="false">
      <c r="A24" s="25" t="n">
        <v>17</v>
      </c>
      <c r="B24" s="11" t="s">
        <v>2853</v>
      </c>
      <c r="C24" s="8" t="s">
        <v>2892</v>
      </c>
      <c r="D24" s="9" t="s">
        <v>2893</v>
      </c>
      <c r="E24" s="8"/>
      <c r="F24" s="25" t="n">
        <f aca="false">LEN(TRIM(C24))-LEN(SUBSTITUTE(TRIM(C24)," ",""))+1</f>
        <v>7</v>
      </c>
      <c r="G24" s="25" t="str">
        <f aca="false">IF(F24&lt;=$D$4,"OK","초과")</f>
        <v>OK</v>
      </c>
    </row>
    <row r="25" customFormat="false" ht="16.5" hidden="false" customHeight="true" outlineLevel="0" collapsed="false">
      <c r="A25" s="25" t="n">
        <v>18</v>
      </c>
      <c r="B25" s="11" t="s">
        <v>2888</v>
      </c>
      <c r="C25" s="8" t="s">
        <v>2894</v>
      </c>
      <c r="D25" s="9" t="s">
        <v>2895</v>
      </c>
      <c r="E25" s="9" t="s">
        <v>2896</v>
      </c>
      <c r="F25" s="25" t="n">
        <f aca="false">LEN(TRIM(C25))-LEN(SUBSTITUTE(TRIM(C25)," ",""))+1</f>
        <v>6</v>
      </c>
      <c r="G25" s="25" t="str">
        <f aca="false">IF(F25&lt;=$D$4,"OK","초과")</f>
        <v>OK</v>
      </c>
    </row>
    <row r="26" customFormat="false" ht="29.25" hidden="false" customHeight="true" outlineLevel="0" collapsed="false">
      <c r="A26" s="25" t="n">
        <v>19</v>
      </c>
      <c r="B26" s="11" t="s">
        <v>2718</v>
      </c>
      <c r="C26" s="8" t="s">
        <v>2897</v>
      </c>
      <c r="D26" s="9" t="s">
        <v>2898</v>
      </c>
      <c r="E26" s="8" t="s">
        <v>2899</v>
      </c>
      <c r="F26" s="25" t="n">
        <f aca="false">LEN(TRIM(C26))-LEN(SUBSTITUTE(TRIM(C26)," ",""))+1</f>
        <v>6</v>
      </c>
      <c r="G26" s="25" t="str">
        <f aca="false">IF(F26&lt;=$D$4,"OK","초과")</f>
        <v>OK</v>
      </c>
    </row>
    <row r="27" customFormat="false" ht="16.5" hidden="false" customHeight="true" outlineLevel="0" collapsed="false">
      <c r="A27" s="25" t="n">
        <v>20</v>
      </c>
      <c r="B27" s="11" t="s">
        <v>2853</v>
      </c>
      <c r="C27" s="8" t="s">
        <v>2900</v>
      </c>
      <c r="D27" s="9" t="s">
        <v>2901</v>
      </c>
      <c r="E27" s="8" t="s">
        <v>2902</v>
      </c>
      <c r="F27" s="25" t="n">
        <f aca="false">LEN(TRIM(C27))-LEN(SUBSTITUTE(TRIM(C27)," ",""))+1</f>
        <v>4</v>
      </c>
      <c r="G27" s="25" t="str">
        <f aca="false">IF(F27&lt;=$D$4,"OK","초과")</f>
        <v>OK</v>
      </c>
    </row>
    <row r="28" customFormat="false" ht="29.25" hidden="false" customHeight="true" outlineLevel="0" collapsed="false">
      <c r="A28" s="25" t="n">
        <v>21</v>
      </c>
      <c r="B28" s="11" t="s">
        <v>2849</v>
      </c>
      <c r="C28" s="8" t="s">
        <v>2903</v>
      </c>
      <c r="D28" s="9" t="s">
        <v>2904</v>
      </c>
      <c r="E28" s="8" t="s">
        <v>2905</v>
      </c>
      <c r="F28" s="25" t="n">
        <f aca="false">LEN(TRIM(C28))-LEN(SUBSTITUTE(TRIM(C28)," ",""))+1</f>
        <v>13</v>
      </c>
      <c r="G28" s="25" t="str">
        <f aca="false">IF(F28&lt;=$D$4,"OK","초과")</f>
        <v>OK</v>
      </c>
    </row>
    <row r="29" customFormat="false" ht="29.25" hidden="false" customHeight="true" outlineLevel="0" collapsed="false">
      <c r="A29" s="25" t="n">
        <v>22</v>
      </c>
      <c r="B29" s="11" t="s">
        <v>2718</v>
      </c>
      <c r="C29" s="8" t="s">
        <v>2906</v>
      </c>
      <c r="D29" s="9" t="s">
        <v>2907</v>
      </c>
      <c r="E29" s="8"/>
      <c r="F29" s="25" t="n">
        <f aca="false">LEN(TRIM(C29))-LEN(SUBSTITUTE(TRIM(C29)," ",""))+1</f>
        <v>8</v>
      </c>
      <c r="G29" s="25" t="str">
        <f aca="false">IF(F29&lt;=$D$4,"OK","초과")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4" min="3" style="1" width="46"/>
    <col collapsed="false" customWidth="true" hidden="false" outlineLevel="0" max="5" min="5" style="1" width="24"/>
  </cols>
  <sheetData>
    <row r="1" customFormat="false" ht="24" hidden="false" customHeight="true" outlineLevel="0" collapsed="false">
      <c r="A1" s="22" t="s">
        <v>2908</v>
      </c>
    </row>
    <row r="3" customFormat="false" ht="18" hidden="false" customHeight="true" outlineLevel="0" collapsed="false">
      <c r="A3" s="37" t="s">
        <v>2909</v>
      </c>
      <c r="B3" s="5"/>
      <c r="C3" s="5"/>
      <c r="D3" s="5"/>
      <c r="E3" s="5"/>
    </row>
    <row r="4" customFormat="false" ht="19.5" hidden="false" customHeight="true" outlineLevel="0" collapsed="false">
      <c r="A4" s="23" t="s">
        <v>86</v>
      </c>
      <c r="B4" s="24" t="s">
        <v>1869</v>
      </c>
      <c r="C4" s="24" t="s">
        <v>2910</v>
      </c>
      <c r="D4" s="24" t="s">
        <v>2911</v>
      </c>
      <c r="E4" s="24" t="s">
        <v>2912</v>
      </c>
    </row>
    <row r="5" customFormat="false" ht="42" hidden="false" customHeight="true" outlineLevel="0" collapsed="false">
      <c r="A5" s="25" t="n">
        <v>1</v>
      </c>
      <c r="B5" s="17" t="s">
        <v>2913</v>
      </c>
      <c r="C5" s="9" t="s">
        <v>2914</v>
      </c>
      <c r="D5" s="9" t="s">
        <v>2915</v>
      </c>
      <c r="E5" s="9" t="s">
        <v>354</v>
      </c>
    </row>
    <row r="6" customFormat="false" ht="16.5" hidden="false" customHeight="true" outlineLevel="0" collapsed="false">
      <c r="A6" s="25" t="n">
        <v>2</v>
      </c>
      <c r="B6" s="9" t="s">
        <v>2916</v>
      </c>
      <c r="C6" s="8" t="s">
        <v>2917</v>
      </c>
      <c r="D6" s="9" t="s">
        <v>2918</v>
      </c>
      <c r="E6" s="9" t="s">
        <v>2919</v>
      </c>
    </row>
    <row r="7" customFormat="false" ht="29.25" hidden="false" customHeight="true" outlineLevel="0" collapsed="false">
      <c r="A7" s="25" t="n">
        <v>3</v>
      </c>
      <c r="B7" s="9" t="s">
        <v>2920</v>
      </c>
      <c r="C7" s="9" t="s">
        <v>2921</v>
      </c>
      <c r="D7" s="8" t="s">
        <v>2922</v>
      </c>
      <c r="E7" s="9" t="s">
        <v>354</v>
      </c>
    </row>
    <row r="8" customFormat="false" ht="42" hidden="false" customHeight="true" outlineLevel="0" collapsed="false">
      <c r="A8" s="25" t="n">
        <v>4</v>
      </c>
      <c r="B8" s="9" t="s">
        <v>2923</v>
      </c>
      <c r="C8" s="8" t="s">
        <v>288</v>
      </c>
      <c r="D8" s="8" t="s">
        <v>2924</v>
      </c>
      <c r="E8" s="9" t="s">
        <v>2925</v>
      </c>
    </row>
    <row r="9" customFormat="false" ht="29.25" hidden="false" customHeight="true" outlineLevel="0" collapsed="false">
      <c r="A9" s="25" t="n">
        <v>5</v>
      </c>
      <c r="B9" s="9" t="s">
        <v>2926</v>
      </c>
      <c r="C9" s="17" t="s">
        <v>2927</v>
      </c>
      <c r="D9" s="17" t="s">
        <v>2928</v>
      </c>
      <c r="E9" s="9" t="s">
        <v>2929</v>
      </c>
    </row>
    <row r="10" customFormat="false" ht="16.5" hidden="false" customHeight="true" outlineLevel="0" collapsed="false">
      <c r="A10" s="25" t="n">
        <v>6</v>
      </c>
      <c r="B10" s="9" t="s">
        <v>2930</v>
      </c>
      <c r="C10" s="9" t="s">
        <v>2931</v>
      </c>
      <c r="D10" s="9" t="s">
        <v>2932</v>
      </c>
      <c r="E10" s="9" t="s">
        <v>2933</v>
      </c>
    </row>
    <row r="11" customFormat="false" ht="16.5" hidden="false" customHeight="true" outlineLevel="0" collapsed="false">
      <c r="A11" s="25" t="n">
        <v>7</v>
      </c>
      <c r="B11" s="9" t="s">
        <v>2934</v>
      </c>
      <c r="C11" s="9" t="s">
        <v>2935</v>
      </c>
      <c r="D11" s="9" t="s">
        <v>2936</v>
      </c>
      <c r="E11" s="9" t="s">
        <v>2937</v>
      </c>
    </row>
    <row r="12" customFormat="false" ht="42" hidden="false" customHeight="true" outlineLevel="0" collapsed="false">
      <c r="A12" s="25" t="n">
        <v>8</v>
      </c>
      <c r="B12" s="9" t="s">
        <v>2938</v>
      </c>
      <c r="C12" s="8" t="s">
        <v>2939</v>
      </c>
      <c r="D12" s="8" t="s">
        <v>2940</v>
      </c>
      <c r="E12" s="9" t="s">
        <v>2941</v>
      </c>
    </row>
    <row r="13" customFormat="false" ht="29.25" hidden="false" customHeight="true" outlineLevel="0" collapsed="false">
      <c r="A13" s="25" t="n">
        <v>9</v>
      </c>
      <c r="B13" s="9" t="s">
        <v>2942</v>
      </c>
      <c r="C13" s="9" t="s">
        <v>2943</v>
      </c>
      <c r="D13" s="9" t="s">
        <v>2944</v>
      </c>
      <c r="E13" s="8" t="s">
        <v>2945</v>
      </c>
    </row>
    <row r="14" customFormat="false" ht="16.5" hidden="false" customHeight="true" outlineLevel="0" collapsed="false">
      <c r="A14" s="25" t="n">
        <v>10</v>
      </c>
      <c r="B14" s="9" t="s">
        <v>2946</v>
      </c>
      <c r="C14" s="9" t="s">
        <v>2947</v>
      </c>
      <c r="D14" s="9" t="s">
        <v>2948</v>
      </c>
      <c r="E14" s="9" t="s">
        <v>2949</v>
      </c>
    </row>
    <row r="15" customFormat="false" ht="29.25" hidden="false" customHeight="true" outlineLevel="0" collapsed="false">
      <c r="A15" s="25" t="n">
        <v>11</v>
      </c>
      <c r="B15" s="9" t="s">
        <v>2950</v>
      </c>
      <c r="C15" s="9" t="s">
        <v>2951</v>
      </c>
      <c r="D15" s="9" t="s">
        <v>2952</v>
      </c>
      <c r="E15" s="9" t="s">
        <v>2953</v>
      </c>
    </row>
    <row r="16" customFormat="false" ht="29.25" hidden="false" customHeight="true" outlineLevel="0" collapsed="false">
      <c r="A16" s="25" t="n">
        <v>12</v>
      </c>
      <c r="B16" s="9" t="s">
        <v>2954</v>
      </c>
      <c r="C16" s="8" t="s">
        <v>2955</v>
      </c>
      <c r="D16" s="8" t="s">
        <v>2956</v>
      </c>
      <c r="E16" s="17" t="s">
        <v>2957</v>
      </c>
    </row>
    <row r="17" customFormat="false" ht="29.25" hidden="false" customHeight="true" outlineLevel="0" collapsed="false">
      <c r="A17" s="25" t="n">
        <v>13</v>
      </c>
      <c r="B17" s="9" t="s">
        <v>1776</v>
      </c>
      <c r="C17" s="8" t="s">
        <v>2958</v>
      </c>
      <c r="D17" s="9" t="s">
        <v>2959</v>
      </c>
      <c r="E17" s="8" t="s">
        <v>2960</v>
      </c>
    </row>
    <row r="18" customFormat="false" ht="42" hidden="false" customHeight="true" outlineLevel="0" collapsed="false">
      <c r="A18" s="25" t="n">
        <v>14</v>
      </c>
      <c r="B18" s="9" t="s">
        <v>2961</v>
      </c>
      <c r="C18" s="9" t="s">
        <v>2962</v>
      </c>
      <c r="D18" s="9" t="s">
        <v>2963</v>
      </c>
      <c r="E18" s="17" t="s">
        <v>2964</v>
      </c>
    </row>
    <row r="19" customFormat="false" ht="29.25" hidden="false" customHeight="true" outlineLevel="0" collapsed="false">
      <c r="A19" s="25" t="n">
        <v>15</v>
      </c>
      <c r="B19" s="9" t="s">
        <v>2965</v>
      </c>
      <c r="C19" s="17" t="s">
        <v>2966</v>
      </c>
      <c r="D19" s="17" t="s">
        <v>2967</v>
      </c>
      <c r="E19" s="9" t="s">
        <v>2968</v>
      </c>
    </row>
    <row r="20" customFormat="false" ht="29.25" hidden="false" customHeight="true" outlineLevel="0" collapsed="false">
      <c r="A20" s="25" t="n">
        <v>16</v>
      </c>
      <c r="B20" s="9" t="s">
        <v>2969</v>
      </c>
      <c r="C20" s="17" t="s">
        <v>2970</v>
      </c>
      <c r="D20" s="17" t="s">
        <v>2971</v>
      </c>
      <c r="E20" s="17" t="s">
        <v>2972</v>
      </c>
    </row>
    <row r="21" customFormat="false" ht="29.25" hidden="false" customHeight="true" outlineLevel="0" collapsed="false">
      <c r="A21" s="25" t="n">
        <v>17</v>
      </c>
      <c r="B21" s="9" t="s">
        <v>1570</v>
      </c>
      <c r="C21" s="8" t="s">
        <v>2973</v>
      </c>
      <c r="D21" s="17" t="s">
        <v>2974</v>
      </c>
      <c r="E21" s="9" t="s">
        <v>2975</v>
      </c>
    </row>
    <row r="22" customFormat="false" ht="29.25" hidden="false" customHeight="true" outlineLevel="0" collapsed="false">
      <c r="A22" s="25" t="n">
        <v>18</v>
      </c>
      <c r="B22" s="9" t="s">
        <v>2976</v>
      </c>
      <c r="C22" s="8" t="s">
        <v>2977</v>
      </c>
      <c r="D22" s="17" t="s">
        <v>2978</v>
      </c>
      <c r="E22" s="17" t="s">
        <v>2979</v>
      </c>
    </row>
    <row r="23" customFormat="false" ht="29.25" hidden="false" customHeight="true" outlineLevel="0" collapsed="false">
      <c r="A23" s="25" t="n">
        <v>19</v>
      </c>
      <c r="B23" s="9" t="s">
        <v>2793</v>
      </c>
      <c r="C23" s="9" t="s">
        <v>2980</v>
      </c>
      <c r="D23" s="9" t="s">
        <v>2981</v>
      </c>
      <c r="E23" s="9" t="s">
        <v>69</v>
      </c>
    </row>
    <row r="24" customFormat="false" ht="16.5" hidden="false" customHeight="true" outlineLevel="0" collapsed="false">
      <c r="A24" s="25" t="n">
        <v>20</v>
      </c>
      <c r="B24" s="9" t="s">
        <v>2982</v>
      </c>
      <c r="C24" s="8" t="s">
        <v>2983</v>
      </c>
      <c r="D24" s="8" t="s">
        <v>2984</v>
      </c>
      <c r="E24" s="9" t="s">
        <v>354</v>
      </c>
    </row>
    <row r="25" customFormat="false" ht="42" hidden="false" customHeight="true" outlineLevel="0" collapsed="false">
      <c r="A25" s="25" t="n">
        <v>21</v>
      </c>
      <c r="B25" s="9" t="s">
        <v>2985</v>
      </c>
      <c r="C25" s="8" t="s">
        <v>2986</v>
      </c>
      <c r="D25" s="17" t="s">
        <v>2987</v>
      </c>
      <c r="E25" s="9" t="s">
        <v>2988</v>
      </c>
    </row>
    <row r="26" customFormat="false" ht="42" hidden="false" customHeight="true" outlineLevel="0" collapsed="false">
      <c r="A26" s="25" t="n">
        <v>22</v>
      </c>
      <c r="B26" s="9" t="s">
        <v>2989</v>
      </c>
      <c r="C26" s="8" t="s">
        <v>2990</v>
      </c>
      <c r="D26" s="8" t="s">
        <v>2991</v>
      </c>
      <c r="E26" s="9" t="s">
        <v>2949</v>
      </c>
    </row>
    <row r="27" customFormat="false" ht="29.25" hidden="false" customHeight="true" outlineLevel="0" collapsed="false">
      <c r="A27" s="25" t="n">
        <v>23</v>
      </c>
      <c r="B27" s="9" t="s">
        <v>2992</v>
      </c>
      <c r="C27" s="8" t="s">
        <v>2993</v>
      </c>
      <c r="D27" s="9" t="s">
        <v>2994</v>
      </c>
      <c r="E27" s="9" t="s">
        <v>31</v>
      </c>
    </row>
    <row r="28" customFormat="false" ht="29.25" hidden="false" customHeight="true" outlineLevel="0" collapsed="false">
      <c r="A28" s="25" t="n">
        <v>24</v>
      </c>
      <c r="B28" s="9" t="s">
        <v>2995</v>
      </c>
      <c r="C28" s="17" t="s">
        <v>2996</v>
      </c>
      <c r="D28" s="17" t="s">
        <v>2997</v>
      </c>
      <c r="E28" s="17" t="s">
        <v>288</v>
      </c>
    </row>
    <row r="29" customFormat="false" ht="16.5" hidden="false" customHeight="true" outlineLevel="0" collapsed="false"/>
    <row r="30" customFormat="false" ht="29.25" hidden="false" customHeight="true" outlineLevel="0" collapsed="false">
      <c r="A30" s="37" t="s">
        <v>2998</v>
      </c>
      <c r="B30" s="5"/>
      <c r="C30" s="5"/>
      <c r="D30" s="5"/>
      <c r="E30" s="5"/>
    </row>
    <row r="31" customFormat="false" ht="29.25" hidden="false" customHeight="true" outlineLevel="0" collapsed="false">
      <c r="A31" s="23" t="s">
        <v>86</v>
      </c>
      <c r="B31" s="24" t="s">
        <v>1869</v>
      </c>
      <c r="C31" s="24" t="s">
        <v>2495</v>
      </c>
      <c r="D31" s="24" t="s">
        <v>2999</v>
      </c>
      <c r="E31" s="24" t="s">
        <v>3000</v>
      </c>
    </row>
    <row r="32" customFormat="false" ht="42" hidden="false" customHeight="true" outlineLevel="0" collapsed="false">
      <c r="A32" s="25" t="n">
        <v>1</v>
      </c>
      <c r="B32" s="9" t="s">
        <v>3001</v>
      </c>
      <c r="C32" s="9" t="s">
        <v>3002</v>
      </c>
      <c r="D32" s="9" t="s">
        <v>3003</v>
      </c>
      <c r="E32" s="9" t="s">
        <v>3004</v>
      </c>
    </row>
    <row r="33" customFormat="false" ht="42" hidden="false" customHeight="true" outlineLevel="0" collapsed="false">
      <c r="A33" s="25" t="n">
        <v>2</v>
      </c>
      <c r="B33" s="9" t="s">
        <v>3005</v>
      </c>
      <c r="C33" s="9" t="s">
        <v>3006</v>
      </c>
      <c r="D33" s="17" t="s">
        <v>3007</v>
      </c>
      <c r="E33" s="9" t="s">
        <v>3008</v>
      </c>
    </row>
    <row r="34" customFormat="false" ht="16.5" hidden="false" customHeight="true" outlineLevel="0" collapsed="false">
      <c r="A34" s="25" t="n">
        <v>3</v>
      </c>
      <c r="B34" s="8" t="s">
        <v>3009</v>
      </c>
      <c r="C34" s="9" t="s">
        <v>3010</v>
      </c>
      <c r="D34" s="9" t="s">
        <v>3011</v>
      </c>
      <c r="E34" s="17" t="s">
        <v>2972</v>
      </c>
    </row>
    <row r="35" customFormat="false" ht="29.25" hidden="false" customHeight="true" outlineLevel="0" collapsed="false">
      <c r="A35" s="25" t="n">
        <v>4</v>
      </c>
      <c r="B35" s="17" t="s">
        <v>3012</v>
      </c>
      <c r="C35" s="8" t="s">
        <v>3013</v>
      </c>
      <c r="D35" s="17" t="s">
        <v>3014</v>
      </c>
      <c r="E35" s="9" t="s">
        <v>59</v>
      </c>
    </row>
    <row r="36" customFormat="false" ht="16.5" hidden="false" customHeight="true" outlineLevel="0" collapsed="false">
      <c r="A36" s="25" t="n">
        <v>5</v>
      </c>
      <c r="B36" s="9" t="s">
        <v>3015</v>
      </c>
      <c r="C36" s="8" t="s">
        <v>3016</v>
      </c>
      <c r="D36" s="9" t="s">
        <v>3017</v>
      </c>
      <c r="E36" s="9" t="s">
        <v>2929</v>
      </c>
    </row>
    <row r="37" customFormat="false" ht="29.25" hidden="false" customHeight="true" outlineLevel="0" collapsed="false">
      <c r="A37" s="25" t="n">
        <v>6</v>
      </c>
      <c r="B37" s="9" t="s">
        <v>3018</v>
      </c>
      <c r="C37" s="9" t="s">
        <v>3019</v>
      </c>
      <c r="D37" s="9" t="s">
        <v>3020</v>
      </c>
      <c r="E37" s="8" t="s">
        <v>3021</v>
      </c>
    </row>
    <row r="38" customFormat="false" ht="42" hidden="false" customHeight="true" outlineLevel="0" collapsed="false">
      <c r="A38" s="25" t="n">
        <v>7</v>
      </c>
      <c r="B38" s="9" t="s">
        <v>3022</v>
      </c>
      <c r="C38" s="9" t="s">
        <v>3023</v>
      </c>
      <c r="D38" s="9" t="s">
        <v>3024</v>
      </c>
      <c r="E38" s="9" t="s">
        <v>3025</v>
      </c>
    </row>
    <row r="39" customFormat="false" ht="29.25" hidden="false" customHeight="true" outlineLevel="0" collapsed="false">
      <c r="A39" s="25" t="n">
        <v>8</v>
      </c>
      <c r="B39" s="9" t="s">
        <v>3026</v>
      </c>
      <c r="C39" s="17" t="s">
        <v>3027</v>
      </c>
      <c r="D39" s="9" t="s">
        <v>3028</v>
      </c>
      <c r="E39" s="9" t="s">
        <v>2949</v>
      </c>
    </row>
    <row r="40" customFormat="false" ht="29.25" hidden="false" customHeight="true" outlineLevel="0" collapsed="false">
      <c r="A40" s="25" t="n">
        <v>9</v>
      </c>
      <c r="B40" s="9" t="s">
        <v>1878</v>
      </c>
      <c r="C40" s="8" t="s">
        <v>3029</v>
      </c>
      <c r="D40" s="8" t="s">
        <v>3030</v>
      </c>
      <c r="E40" s="9" t="s">
        <v>2949</v>
      </c>
    </row>
    <row r="41" customFormat="false" ht="67.5" hidden="false" customHeight="true" outlineLevel="0" collapsed="false">
      <c r="A41" s="25" t="n">
        <v>10</v>
      </c>
      <c r="B41" s="9" t="s">
        <v>2208</v>
      </c>
      <c r="C41" s="9" t="s">
        <v>3031</v>
      </c>
      <c r="D41" s="9" t="s">
        <v>3032</v>
      </c>
      <c r="E41" s="9" t="s">
        <v>2949</v>
      </c>
    </row>
    <row r="42" customFormat="false" ht="67.5" hidden="false" customHeight="true" outlineLevel="0" collapsed="false">
      <c r="A42" s="25" t="n">
        <v>11</v>
      </c>
      <c r="B42" s="9" t="s">
        <v>3033</v>
      </c>
      <c r="C42" s="9" t="s">
        <v>3034</v>
      </c>
      <c r="D42" s="17" t="s">
        <v>3035</v>
      </c>
      <c r="E42" s="9" t="s">
        <v>3036</v>
      </c>
    </row>
    <row r="43" customFormat="false" ht="54.75" hidden="false" customHeight="true" outlineLevel="0" collapsed="false">
      <c r="A43" s="25" t="n">
        <v>12</v>
      </c>
      <c r="B43" s="17" t="s">
        <v>3037</v>
      </c>
      <c r="C43" s="9" t="s">
        <v>3038</v>
      </c>
      <c r="D43" s="17" t="s">
        <v>3039</v>
      </c>
      <c r="E43" s="9" t="s">
        <v>34</v>
      </c>
    </row>
    <row r="44" customFormat="false" ht="29.25" hidden="false" customHeight="true" outlineLevel="0" collapsed="false">
      <c r="A44" s="25" t="n">
        <v>13</v>
      </c>
      <c r="B44" s="9" t="s">
        <v>3040</v>
      </c>
      <c r="C44" s="8" t="s">
        <v>3041</v>
      </c>
      <c r="D44" s="9" t="s">
        <v>3042</v>
      </c>
      <c r="E44" s="9" t="s">
        <v>3043</v>
      </c>
    </row>
    <row r="45" customFormat="false" ht="54.75" hidden="false" customHeight="true" outlineLevel="0" collapsed="false">
      <c r="A45" s="25" t="n">
        <v>14</v>
      </c>
      <c r="B45" s="17" t="s">
        <v>3044</v>
      </c>
      <c r="C45" s="8" t="s">
        <v>3045</v>
      </c>
      <c r="D45" s="9" t="s">
        <v>3046</v>
      </c>
      <c r="E45" s="9" t="s">
        <v>3047</v>
      </c>
    </row>
    <row r="46" customFormat="false" ht="80.25" hidden="false" customHeight="true" outlineLevel="0" collapsed="false">
      <c r="A46" s="25" t="n">
        <v>15</v>
      </c>
      <c r="B46" s="17" t="s">
        <v>3048</v>
      </c>
      <c r="C46" s="9" t="s">
        <v>3049</v>
      </c>
      <c r="D46" s="9" t="s">
        <v>3050</v>
      </c>
      <c r="E46" s="9" t="s">
        <v>3051</v>
      </c>
    </row>
    <row r="47" customFormat="false" ht="54.75" hidden="false" customHeight="true" outlineLevel="0" collapsed="false">
      <c r="A47" s="25" t="n">
        <v>16</v>
      </c>
      <c r="B47" s="9" t="s">
        <v>3052</v>
      </c>
      <c r="C47" s="9" t="s">
        <v>3053</v>
      </c>
      <c r="D47" s="9" t="s">
        <v>3054</v>
      </c>
      <c r="E47" s="9" t="s">
        <v>3055</v>
      </c>
    </row>
    <row r="48" customFormat="false" ht="42" hidden="false" customHeight="true" outlineLevel="0" collapsed="false"/>
    <row r="49" customFormat="false" ht="67.5" hidden="false" customHeight="true" outlineLevel="0" collapsed="false"/>
    <row r="50" customFormat="false" ht="29.25" hidden="false" customHeight="true" outlineLevel="0" collapsed="false"/>
    <row r="51" customFormat="false" ht="80.25" hidden="false" customHeight="true" outlineLevel="0" collapsed="false"/>
    <row r="53" customFormat="false" ht="18" hidden="false" customHeight="true" outlineLevel="0" collapsed="false"/>
    <row r="54" customFormat="false" ht="19.5" hidden="false" customHeight="true" outlineLevel="0" collapsed="false"/>
    <row r="55" customFormat="false" ht="29.25" hidden="false" customHeight="true" outlineLevel="0" collapsed="false"/>
    <row r="56" customFormat="false" ht="29.25" hidden="false" customHeight="true" outlineLevel="0" collapsed="false"/>
    <row r="57" customFormat="false" ht="29.25" hidden="false" customHeight="true" outlineLevel="0" collapsed="false"/>
    <row r="58" customFormat="false" ht="29.25" hidden="false" customHeight="true" outlineLevel="0" collapsed="false"/>
    <row r="59" customFormat="false" ht="29.25" hidden="false" customHeight="true" outlineLevel="0" collapsed="false"/>
    <row r="60" customFormat="false" ht="29.25" hidden="false" customHeight="true" outlineLevel="0" collapsed="false"/>
    <row r="61" customFormat="false" ht="29.25" hidden="false" customHeight="true" outlineLevel="0" collapsed="false"/>
    <row r="62" customFormat="false" ht="29.25" hidden="false" customHeight="true" outlineLevel="0" collapsed="false"/>
    <row r="63" customFormat="false" ht="29.25" hidden="false" customHeight="true" outlineLevel="0" collapsed="false"/>
    <row r="64" customFormat="false" ht="29.25" hidden="false" customHeight="true" outlineLevel="0" collapsed="false"/>
    <row r="65" customFormat="false" ht="29.25" hidden="false" customHeight="true" outlineLevel="0" collapsed="false"/>
    <row r="66" customFormat="false" ht="16.5" hidden="false" customHeight="true" outlineLevel="0" collapsed="false"/>
    <row r="67" customFormat="false" ht="29.25" hidden="false" customHeight="true" outlineLevel="0" collapsed="false"/>
    <row r="68" customFormat="false" ht="29.25" hidden="false" customHeight="true" outlineLevel="0" collapsed="false"/>
    <row r="69" customFormat="false" ht="42" hidden="false" customHeight="true" outlineLevel="0" collapsed="false"/>
    <row r="70" customFormat="false" ht="29.25" hidden="false" customHeight="true" outlineLevel="0" collapsed="false"/>
    <row r="71" customFormat="false" ht="29.25" hidden="false" customHeight="true" outlineLevel="0" collapsed="false"/>
    <row r="72" customFormat="false" ht="42" hidden="false" customHeight="true" outlineLevel="0" collapsed="false"/>
    <row r="73" customFormat="false" ht="42" hidden="false" customHeight="true" outlineLevel="0" collapsed="false"/>
    <row r="74" customFormat="false" ht="29.25" hidden="false" customHeight="true" outlineLevel="0" collapsed="false"/>
    <row r="75" customFormat="false" ht="42" hidden="false" customHeight="true" outlineLevel="0" collapsed="false"/>
    <row r="76" customFormat="false" ht="29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2026-09-22T22:55:55Z</dcterms:created>
  <dc:creator>openpyxl</dc:creator>
  <dc:description/>
  <dc:language>en-US</dc:language>
  <cp:lastModifiedBy/>
  <dcterms:modified xsi:type="dcterms:W3CDTF">2026-09-25T00:43:53Z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